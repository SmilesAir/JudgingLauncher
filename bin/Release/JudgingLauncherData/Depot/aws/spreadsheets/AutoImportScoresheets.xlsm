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2.xml" ContentType="application/vnd.openxmlformats-officedocument.drawing+xml"/>
  <Override PartName="/xl/activeX/activeX8.xml" ContentType="application/vnd.ms-office.activeX+xml"/>
  <Override PartName="/xl/activeX/activeX8.bin" ContentType="application/vnd.ms-office.activeX"/>
  <Override PartName="/xl/tables/tableSingleCells1.xml" ContentType="application/vnd.openxmlformats-officedocument.spreadsheetml.tableSingleCells+xml"/>
  <Override PartName="/xl/comments1.xml" ContentType="application/vnd.openxmlformats-officedocument.spreadsheetml.comments+xml"/>
  <Override PartName="/xl/tables/tableSingleCells2.xml" ContentType="application/vnd.openxmlformats-officedocument.spreadsheetml.tableSingleCells+xml"/>
  <Override PartName="/xl/comments2.xml" ContentType="application/vnd.openxmlformats-officedocument.spreadsheetml.comments+xml"/>
  <Override PartName="/xl/tables/tableSingleCells3.xml" ContentType="application/vnd.openxmlformats-officedocument.spreadsheetml.tableSingleCells+xml"/>
  <Override PartName="/xl/tables/tableSingleCells4.xml" ContentType="application/vnd.openxmlformats-officedocument.spreadsheetml.tableSingleCells+xml"/>
  <Override PartName="/xl/tables/tableSingleCells5.xml" ContentType="application/vnd.openxmlformats-officedocument.spreadsheetml.tableSingleCells+xml"/>
  <Override PartName="/xl/tables/tableSingleCells6.xml" ContentType="application/vnd.openxmlformats-officedocument.spreadsheetml.tableSingleCells+xml"/>
  <Override PartName="/xl/tables/tableSingleCells7.xml" ContentType="application/vnd.openxmlformats-officedocument.spreadsheetml.tableSingleCells+xml"/>
  <Override PartName="/xl/tables/tableSingleCells8.xml" ContentType="application/vnd.openxmlformats-officedocument.spreadsheetml.tableSingleCells+xml"/>
  <Override PartName="/xl/tables/tableSingleCells9.xml" ContentType="application/vnd.openxmlformats-officedocument.spreadsheetml.tableSingleCells+xml"/>
  <Override PartName="/xl/tables/tableSingleCells10.xml" ContentType="application/vnd.openxmlformats-officedocument.spreadsheetml.tableSingleCells+xml"/>
  <Override PartName="/xl/queryTables/queryTable1.xml" ContentType="application/vnd.openxmlformats-officedocument.spreadsheetml.queryTable+xml"/>
  <Override PartName="/xl/drawings/drawing3.xml" ContentType="application/vnd.openxmlformats-officedocument.drawing+xml"/>
  <Override PartName="/xl/activeX/activeX9.xml" ContentType="application/vnd.ms-office.activeX+xml"/>
  <Override PartName="/xl/activeX/activeX9.bin" ContentType="application/vnd.ms-office.activeX"/>
  <Override PartName="/xl/tables/table1.xml" ContentType="application/vnd.openxmlformats-officedocument.spreadsheetml.table+xml"/>
  <Override PartName="/xl/drawings/drawing4.xml" ContentType="application/vnd.openxmlformats-officedocument.drawing+xml"/>
  <Override PartName="/xl/charts/chart1.xml" ContentType="application/vnd.openxmlformats-officedocument.drawingml.chart+xml"/>
  <Override PartName="/xl/queryTables/queryTable2.xml" ContentType="application/vnd.openxmlformats-officedocument.spreadsheetml.queryTable+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629" codeName="{54D0D2CB-4C12-4D6E-6EDF-ACB5E8E520A3}"/>
  <workbookPr backupFile="1" codeName="FPAScoreSheetWorbook" defaultThemeVersion="124226"/>
  <mc:AlternateContent xmlns:mc="http://schemas.openxmlformats.org/markup-compatibility/2006">
    <mc:Choice Requires="x15">
      <x15ac:absPath xmlns:x15ac="http://schemas.microsoft.com/office/spreadsheetml/2010/11/ac" url="C:\Users\Ryan\Desktop\LisaHelper\Spreadsheets\"/>
    </mc:Choice>
  </mc:AlternateContent>
  <xr:revisionPtr revIDLastSave="0" documentId="13_ncr:1_{5FF0DA9E-EFA0-4474-B34E-71CB18B61CBE}" xr6:coauthVersionLast="43" xr6:coauthVersionMax="43" xr10:uidLastSave="{00000000-0000-0000-0000-000000000000}"/>
  <bookViews>
    <workbookView xWindow="-120" yWindow="-120" windowWidth="38640" windowHeight="21390" tabRatio="870" activeTab="1" xr2:uid="{00000000-000D-0000-FFFF-FFFF00000000}"/>
  </bookViews>
  <sheets>
    <sheet name="Settings" sheetId="30" r:id="rId1"/>
    <sheet name="Starterlist" sheetId="12" r:id="rId2"/>
    <sheet name="EX 1" sheetId="16" r:id="rId3"/>
    <sheet name="EX 2" sheetId="18" r:id="rId4"/>
    <sheet name="EX 3" sheetId="19" r:id="rId5"/>
    <sheet name="AI 1" sheetId="14" r:id="rId6"/>
    <sheet name="AI 2" sheetId="20" r:id="rId7"/>
    <sheet name="AI 3" sheetId="21" r:id="rId8"/>
    <sheet name="DIF 1" sheetId="15" r:id="rId9"/>
    <sheet name="DIF 2" sheetId="22" r:id="rId10"/>
    <sheet name="DIF 3" sheetId="23" r:id="rId11"/>
    <sheet name="Anouncer" sheetId="25" r:id="rId12"/>
    <sheet name="Competitors" sheetId="33" state="hidden" r:id="rId13"/>
    <sheet name="Variety Checklist" sheetId="28" state="hidden" r:id="rId14"/>
    <sheet name="Point Scale" sheetId="29" state="hidden" r:id="rId15"/>
    <sheet name="Teams" sheetId="34" state="hidden" r:id="rId16"/>
    <sheet name="Export" sheetId="27" state="hidden" r:id="rId17"/>
    <sheet name="Results (Rankings)" sheetId="37" state="hidden" r:id="rId18"/>
    <sheet name="Results" sheetId="10" r:id="rId19"/>
    <sheet name="Results (Text)" sheetId="24" r:id="rId20"/>
    <sheet name="Rankings" sheetId="31" r:id="rId21"/>
    <sheet name="Countries" sheetId="38" state="hidden" r:id="rId22"/>
    <sheet name="TODOS" sheetId="35" state="hidden" r:id="rId23"/>
  </sheets>
  <functionGroups builtInGroupCount="19"/>
  <definedNames>
    <definedName name="_xlnm._FilterDatabase" localSheetId="16" hidden="1">Export!$B$1:$R$11</definedName>
    <definedName name="_xlnm._FilterDatabase" localSheetId="17" hidden="1">'Results (Rankings)'!#REF!</definedName>
    <definedName name="EventType">'Point Scale'!#REF!</definedName>
    <definedName name="Points">'Point Scale'!$A$3:$G$66</definedName>
    <definedName name="pointscales_1" localSheetId="14">'Point Scale'!$A$1:$G$66</definedName>
    <definedName name="_xlnm.Print_Area" localSheetId="5">'AI 1'!$A$1:$K$15</definedName>
    <definedName name="_xlnm.Print_Area" localSheetId="6">'AI 2'!$A$1:$K$15</definedName>
    <definedName name="_xlnm.Print_Area" localSheetId="7">'AI 3'!$A$1:$K$15</definedName>
    <definedName name="_xlnm.Print_Area" localSheetId="11">Anouncer!$A$1:$I$15</definedName>
    <definedName name="_xlnm.Print_Area" localSheetId="8">'DIF 1'!$A$1:$Z$25</definedName>
    <definedName name="_xlnm.Print_Area" localSheetId="9">'DIF 2'!$A$1:$Z$25</definedName>
    <definedName name="_xlnm.Print_Area" localSheetId="10">'DIF 3'!$A$1:$Z$25</definedName>
    <definedName name="_xlnm.Print_Area" localSheetId="2">'EX 1'!$A$1:$I$15</definedName>
    <definedName name="_xlnm.Print_Area" localSheetId="3">'EX 2'!$A$1:$I$15</definedName>
    <definedName name="_xlnm.Print_Area" localSheetId="4">'EX 3'!$A$1:$I$15</definedName>
    <definedName name="_xlnm.Print_Area" localSheetId="16">Export!$A$1:$R$9</definedName>
    <definedName name="_xlnm.Print_Area" localSheetId="18">Results!$A$1:$W$16</definedName>
    <definedName name="_xlnm.Print_Area" localSheetId="0">Settings!$A$1:$C$23</definedName>
    <definedName name="_xlnm.Print_Area" localSheetId="1">Starterlist!$A$1:$K$22</definedName>
    <definedName name="_xlnm.Print_Area" localSheetId="13">'Variety Checklist'!$A$1:$M$67</definedName>
    <definedName name="rankopen" localSheetId="20">Rankings!$A$1:$G$1174</definedName>
    <definedName name="ResultEntryRange">Results!$C$6:$N$13</definedName>
  </definedNames>
  <calcPr calcId="181029"/>
  <customWorkbookViews>
    <customWorkbookView name="erste seite" guid="{B79B27C6-AF70-4A08-A1D8-3346050707C8}" maximized="1" xWindow="1" yWindow="1" windowWidth="1280" windowHeight="803" activeSheetId="11"/>
  </customWorkbookView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1" i="12" l="1"/>
  <c r="P1" i="10"/>
  <c r="P2" i="10"/>
  <c r="AA7" i="23"/>
  <c r="M2" i="27" s="1"/>
  <c r="AA9" i="23"/>
  <c r="M3" i="27" s="1"/>
  <c r="AA11" i="23"/>
  <c r="M4" i="27" s="1"/>
  <c r="AA13" i="23"/>
  <c r="M5" i="27" s="1"/>
  <c r="AA15" i="23"/>
  <c r="M6" i="27" s="1"/>
  <c r="AA17" i="23"/>
  <c r="M7" i="27" s="1"/>
  <c r="AA19" i="23"/>
  <c r="M8" i="27" s="1"/>
  <c r="AA21" i="23"/>
  <c r="M9" i="27" s="1"/>
  <c r="AA23" i="23"/>
  <c r="M10" i="27" s="1"/>
  <c r="AA25" i="23"/>
  <c r="M11" i="27" s="1"/>
  <c r="AA25" i="22"/>
  <c r="L11" i="27" s="1"/>
  <c r="AA23" i="22"/>
  <c r="L10" i="27" s="1"/>
  <c r="AA21" i="22"/>
  <c r="L9" i="27" s="1"/>
  <c r="AA19" i="22"/>
  <c r="L8" i="27" s="1"/>
  <c r="AA17" i="22"/>
  <c r="L7" i="27" s="1"/>
  <c r="AA15" i="22"/>
  <c r="L6" i="27" s="1"/>
  <c r="AA13" i="22"/>
  <c r="L5" i="27" s="1"/>
  <c r="AA11" i="22"/>
  <c r="L4" i="27" s="1"/>
  <c r="AA9" i="22"/>
  <c r="L3" i="27" s="1"/>
  <c r="AA25" i="15"/>
  <c r="K11" i="27" s="1"/>
  <c r="AA17" i="15"/>
  <c r="K7" i="27" s="1"/>
  <c r="AA11" i="15"/>
  <c r="K4" i="27" s="1"/>
  <c r="AA9" i="15"/>
  <c r="K3" i="27" s="1"/>
  <c r="AA8" i="15"/>
  <c r="AA10" i="15"/>
  <c r="AA12" i="15"/>
  <c r="AA14" i="15"/>
  <c r="AA16" i="15"/>
  <c r="AA18" i="15"/>
  <c r="AA20" i="15"/>
  <c r="AA22" i="15"/>
  <c r="AA24" i="15"/>
  <c r="AA26" i="15"/>
  <c r="J2" i="27"/>
  <c r="J3" i="27"/>
  <c r="J4" i="27"/>
  <c r="J5" i="27"/>
  <c r="J6" i="27"/>
  <c r="J7" i="27"/>
  <c r="J8" i="27"/>
  <c r="J9" i="27"/>
  <c r="J10" i="27"/>
  <c r="J11" i="27"/>
  <c r="I2" i="27"/>
  <c r="I3" i="27"/>
  <c r="I4" i="27"/>
  <c r="I5" i="27"/>
  <c r="I6" i="27"/>
  <c r="I7" i="27"/>
  <c r="I8" i="27"/>
  <c r="I9" i="27"/>
  <c r="I10" i="27"/>
  <c r="I11" i="27"/>
  <c r="H2" i="27"/>
  <c r="H3" i="27"/>
  <c r="O3" i="27" s="1"/>
  <c r="P7" i="10" s="1"/>
  <c r="H4" i="27"/>
  <c r="H5" i="27"/>
  <c r="O5" i="27" s="1"/>
  <c r="P9" i="10" s="1"/>
  <c r="H6" i="27"/>
  <c r="H7" i="27"/>
  <c r="H8" i="27"/>
  <c r="H9" i="27"/>
  <c r="O9" i="27" s="1"/>
  <c r="P13" i="10" s="1"/>
  <c r="H10" i="27"/>
  <c r="H11" i="27"/>
  <c r="O8" i="27" l="1"/>
  <c r="P12" i="10" s="1"/>
  <c r="O7" i="27"/>
  <c r="P11" i="10" s="1"/>
  <c r="O4" i="27"/>
  <c r="P8" i="10" s="1"/>
  <c r="O6" i="27"/>
  <c r="P10" i="10" s="1"/>
  <c r="O2" i="27"/>
  <c r="P6" i="10" s="1"/>
  <c r="O11" i="27"/>
  <c r="P15" i="10" s="1"/>
  <c r="O10" i="27"/>
  <c r="P14" i="10" s="1"/>
  <c r="P3" i="27"/>
  <c r="Q7" i="10" s="1"/>
  <c r="P11" i="27"/>
  <c r="Q15" i="10" s="1"/>
  <c r="P7" i="27"/>
  <c r="Q11" i="10" s="1"/>
  <c r="P4" i="27"/>
  <c r="Q8" i="10" s="1"/>
  <c r="I13" i="10"/>
  <c r="I12" i="10"/>
  <c r="I11" i="10"/>
  <c r="I10" i="10"/>
  <c r="I9" i="10"/>
  <c r="I7" i="10"/>
  <c r="I6" i="10"/>
  <c r="C13" i="12" l="1"/>
  <c r="C14" i="12"/>
  <c r="D2" i="34" l="1"/>
  <c r="B2" i="34"/>
  <c r="K14" i="12" l="1"/>
  <c r="K15" i="12"/>
  <c r="K16" i="12"/>
  <c r="K17" i="12"/>
  <c r="K18" i="12"/>
  <c r="K19" i="12"/>
  <c r="K20" i="12"/>
  <c r="K21" i="12"/>
  <c r="K13" i="12"/>
  <c r="C2" i="34"/>
  <c r="G14" i="12" l="1"/>
  <c r="G15" i="12"/>
  <c r="G16" i="12"/>
  <c r="G17" i="12"/>
  <c r="G18" i="12"/>
  <c r="G19" i="12"/>
  <c r="G20" i="12"/>
  <c r="G21" i="12"/>
  <c r="G22" i="12"/>
  <c r="G13" i="12"/>
  <c r="E14" i="12"/>
  <c r="E15" i="12"/>
  <c r="E16" i="12"/>
  <c r="E17" i="12"/>
  <c r="E18" i="12"/>
  <c r="E19" i="12"/>
  <c r="E20" i="12"/>
  <c r="E21" i="12"/>
  <c r="E22" i="12"/>
  <c r="E13" i="12"/>
  <c r="C15" i="12"/>
  <c r="C16" i="12"/>
  <c r="C17" i="12"/>
  <c r="C18" i="12"/>
  <c r="C19" i="12"/>
  <c r="C20" i="12"/>
  <c r="C21" i="12"/>
  <c r="C22" i="12"/>
  <c r="I9" i="31" l="1"/>
  <c r="I10" i="31"/>
  <c r="I11" i="31"/>
  <c r="I12" i="31"/>
  <c r="I13" i="31"/>
  <c r="I14" i="31"/>
  <c r="I15" i="31"/>
  <c r="I16" i="31"/>
  <c r="I17" i="31"/>
  <c r="I18" i="31"/>
  <c r="I19" i="31"/>
  <c r="I20" i="31"/>
  <c r="I21" i="31"/>
  <c r="I22" i="31"/>
  <c r="I23" i="31"/>
  <c r="I24" i="31"/>
  <c r="I25" i="31"/>
  <c r="I26" i="31"/>
  <c r="I27" i="31"/>
  <c r="I28" i="31"/>
  <c r="I29" i="31"/>
  <c r="I30" i="31"/>
  <c r="I31" i="31"/>
  <c r="I32" i="31"/>
  <c r="I33" i="31"/>
  <c r="I34" i="31"/>
  <c r="I35" i="31"/>
  <c r="I36" i="31"/>
  <c r="I37" i="31"/>
  <c r="I38" i="31"/>
  <c r="I39" i="31"/>
  <c r="I40" i="31"/>
  <c r="I41" i="31"/>
  <c r="I42" i="31"/>
  <c r="I43" i="31"/>
  <c r="I44" i="31"/>
  <c r="I45" i="31"/>
  <c r="I46" i="31"/>
  <c r="I47" i="31"/>
  <c r="I48" i="31"/>
  <c r="I49" i="31"/>
  <c r="I50" i="31"/>
  <c r="I51" i="31"/>
  <c r="I52" i="31"/>
  <c r="I53" i="31"/>
  <c r="I54" i="31"/>
  <c r="I55" i="31"/>
  <c r="I56" i="31"/>
  <c r="I57" i="31"/>
  <c r="I58" i="31"/>
  <c r="I59" i="31"/>
  <c r="I60" i="31"/>
  <c r="I61" i="31"/>
  <c r="I62" i="31"/>
  <c r="I63" i="31"/>
  <c r="I64" i="31"/>
  <c r="I65" i="31"/>
  <c r="I66" i="31"/>
  <c r="I67" i="31"/>
  <c r="I68" i="31"/>
  <c r="I69" i="31"/>
  <c r="I70" i="31"/>
  <c r="I71" i="31"/>
  <c r="I72" i="31"/>
  <c r="I73" i="31"/>
  <c r="I74" i="31"/>
  <c r="I75" i="31"/>
  <c r="I76" i="31"/>
  <c r="I77" i="31"/>
  <c r="I78" i="31"/>
  <c r="I79" i="31"/>
  <c r="I80" i="31"/>
  <c r="I81" i="31"/>
  <c r="I82" i="31"/>
  <c r="I83" i="31"/>
  <c r="I84" i="31"/>
  <c r="I85" i="31"/>
  <c r="I86" i="31"/>
  <c r="I87" i="31"/>
  <c r="I88" i="31"/>
  <c r="I89" i="31"/>
  <c r="I90" i="31"/>
  <c r="I91" i="31"/>
  <c r="I92" i="31"/>
  <c r="I93" i="31"/>
  <c r="I94" i="31"/>
  <c r="I95" i="31"/>
  <c r="I96" i="31"/>
  <c r="I97" i="31"/>
  <c r="I98" i="31"/>
  <c r="I99" i="31"/>
  <c r="I100" i="31"/>
  <c r="I101" i="31"/>
  <c r="I102" i="31"/>
  <c r="I103" i="31"/>
  <c r="I104" i="31"/>
  <c r="I105" i="31"/>
  <c r="I106" i="31"/>
  <c r="I107" i="31"/>
  <c r="I108" i="31"/>
  <c r="I109" i="31"/>
  <c r="I110" i="31"/>
  <c r="I111" i="31"/>
  <c r="I112" i="31"/>
  <c r="I113" i="31"/>
  <c r="I114" i="31"/>
  <c r="I115" i="31"/>
  <c r="I116" i="31"/>
  <c r="I117" i="31"/>
  <c r="I118" i="31"/>
  <c r="I119" i="31"/>
  <c r="I120" i="31"/>
  <c r="I121" i="31"/>
  <c r="I122" i="31"/>
  <c r="I123" i="31"/>
  <c r="I124" i="31"/>
  <c r="I125" i="31"/>
  <c r="I126" i="31"/>
  <c r="I127" i="31"/>
  <c r="I128" i="31"/>
  <c r="I129" i="31"/>
  <c r="I130" i="31"/>
  <c r="I131" i="31"/>
  <c r="I132" i="31"/>
  <c r="I133" i="31"/>
  <c r="I134" i="31"/>
  <c r="I135" i="31"/>
  <c r="I136" i="31"/>
  <c r="I137" i="31"/>
  <c r="I138" i="31"/>
  <c r="I139" i="31"/>
  <c r="I140" i="31"/>
  <c r="I141" i="31"/>
  <c r="I142" i="31"/>
  <c r="I143" i="31"/>
  <c r="I144" i="31"/>
  <c r="I145" i="31"/>
  <c r="I146" i="31"/>
  <c r="I147" i="31"/>
  <c r="I148" i="31"/>
  <c r="I149" i="31"/>
  <c r="I150" i="31"/>
  <c r="I151" i="31"/>
  <c r="I152" i="31"/>
  <c r="I153" i="31"/>
  <c r="I154" i="31"/>
  <c r="I155" i="31"/>
  <c r="I156" i="31"/>
  <c r="I157" i="31"/>
  <c r="I158" i="31"/>
  <c r="I159" i="31"/>
  <c r="I160" i="31"/>
  <c r="I161" i="31"/>
  <c r="I162" i="31"/>
  <c r="I163" i="31"/>
  <c r="I164" i="31"/>
  <c r="I165" i="31"/>
  <c r="I166" i="31"/>
  <c r="I167" i="31"/>
  <c r="I168" i="31"/>
  <c r="I169" i="31"/>
  <c r="I170" i="31"/>
  <c r="I171" i="31"/>
  <c r="I172" i="31"/>
  <c r="I173" i="31"/>
  <c r="I174" i="31"/>
  <c r="I175" i="31"/>
  <c r="I176" i="31"/>
  <c r="I177" i="31"/>
  <c r="I178" i="31"/>
  <c r="I179" i="31"/>
  <c r="I180" i="31"/>
  <c r="I181" i="31"/>
  <c r="I182" i="31"/>
  <c r="I183" i="31"/>
  <c r="I184" i="31"/>
  <c r="I185" i="31"/>
  <c r="I186" i="31"/>
  <c r="I187" i="31"/>
  <c r="I188" i="31"/>
  <c r="I189" i="31"/>
  <c r="I190" i="31"/>
  <c r="I191" i="31"/>
  <c r="I192" i="31"/>
  <c r="I193" i="31"/>
  <c r="I194" i="31"/>
  <c r="I195" i="31"/>
  <c r="I196" i="31"/>
  <c r="I197" i="31"/>
  <c r="I198" i="31"/>
  <c r="I199" i="31"/>
  <c r="I200" i="31"/>
  <c r="I201" i="31"/>
  <c r="I202" i="31"/>
  <c r="I203" i="31"/>
  <c r="I204" i="31"/>
  <c r="I205" i="31"/>
  <c r="I206" i="31"/>
  <c r="I207" i="31"/>
  <c r="I208" i="31"/>
  <c r="I209" i="31"/>
  <c r="I210" i="31"/>
  <c r="I211" i="31"/>
  <c r="I212" i="31"/>
  <c r="I213" i="31"/>
  <c r="I214" i="31"/>
  <c r="I215" i="31"/>
  <c r="I216" i="31"/>
  <c r="I217" i="31"/>
  <c r="I218" i="31"/>
  <c r="I219" i="31"/>
  <c r="I220" i="31"/>
  <c r="I221" i="31"/>
  <c r="I222" i="31"/>
  <c r="I223" i="31"/>
  <c r="I224" i="31"/>
  <c r="I225" i="31"/>
  <c r="I226" i="31"/>
  <c r="I227" i="31"/>
  <c r="I228" i="31"/>
  <c r="I229" i="31"/>
  <c r="I230" i="31"/>
  <c r="I231" i="31"/>
  <c r="I232" i="31"/>
  <c r="I233" i="31"/>
  <c r="I234" i="31"/>
  <c r="I235" i="31"/>
  <c r="I236" i="31"/>
  <c r="I237" i="31"/>
  <c r="I238" i="31"/>
  <c r="I239" i="31"/>
  <c r="I240" i="31"/>
  <c r="I241" i="31"/>
  <c r="I242" i="31"/>
  <c r="I243" i="31"/>
  <c r="I244" i="31"/>
  <c r="I245" i="31"/>
  <c r="I246" i="31"/>
  <c r="I247" i="31"/>
  <c r="I248" i="31"/>
  <c r="I249" i="31"/>
  <c r="I250" i="31"/>
  <c r="I251" i="31"/>
  <c r="I252" i="31"/>
  <c r="I253" i="31"/>
  <c r="I254" i="31"/>
  <c r="I255" i="31"/>
  <c r="I256" i="31"/>
  <c r="I257" i="31"/>
  <c r="I258" i="31"/>
  <c r="I259" i="31"/>
  <c r="I260" i="31"/>
  <c r="I261" i="31"/>
  <c r="I262" i="31"/>
  <c r="I263" i="31"/>
  <c r="I264" i="31"/>
  <c r="I265" i="31"/>
  <c r="I266" i="31"/>
  <c r="I267" i="31"/>
  <c r="I268" i="31"/>
  <c r="I269" i="31"/>
  <c r="I270" i="31"/>
  <c r="I271" i="31"/>
  <c r="I272" i="31"/>
  <c r="I273" i="31"/>
  <c r="I274" i="31"/>
  <c r="I275" i="31"/>
  <c r="I276" i="31"/>
  <c r="I277" i="31"/>
  <c r="I278" i="31"/>
  <c r="I279" i="31"/>
  <c r="I280" i="31"/>
  <c r="I281" i="31"/>
  <c r="I282" i="31"/>
  <c r="I283" i="31"/>
  <c r="I284" i="31"/>
  <c r="I285" i="31"/>
  <c r="I286" i="31"/>
  <c r="I287" i="31"/>
  <c r="I288" i="31"/>
  <c r="I289" i="31"/>
  <c r="I290" i="31"/>
  <c r="I291" i="31"/>
  <c r="I292" i="31"/>
  <c r="I293" i="31"/>
  <c r="I294" i="31"/>
  <c r="I295" i="31"/>
  <c r="I296" i="31"/>
  <c r="I297" i="31"/>
  <c r="I298" i="31"/>
  <c r="I299" i="31"/>
  <c r="I300" i="31"/>
  <c r="I301" i="31"/>
  <c r="I302" i="31"/>
  <c r="I303" i="31"/>
  <c r="I304" i="31"/>
  <c r="I305" i="31"/>
  <c r="I306" i="31"/>
  <c r="I307" i="31"/>
  <c r="I308" i="31"/>
  <c r="I309" i="31"/>
  <c r="I310" i="31"/>
  <c r="I311" i="31"/>
  <c r="I312" i="31"/>
  <c r="I313" i="31"/>
  <c r="I314" i="31"/>
  <c r="I315" i="31"/>
  <c r="I316" i="31"/>
  <c r="I317" i="31"/>
  <c r="I318" i="31"/>
  <c r="I319" i="31"/>
  <c r="I320" i="31"/>
  <c r="I321" i="31"/>
  <c r="I322" i="31"/>
  <c r="I323" i="31"/>
  <c r="I324" i="31"/>
  <c r="I325" i="31"/>
  <c r="I326" i="31"/>
  <c r="I327" i="31"/>
  <c r="I328" i="31"/>
  <c r="I329" i="31"/>
  <c r="I330" i="31"/>
  <c r="I331" i="31"/>
  <c r="I332" i="31"/>
  <c r="I333" i="31"/>
  <c r="I334" i="31"/>
  <c r="I335" i="31"/>
  <c r="I336" i="31"/>
  <c r="I337" i="31"/>
  <c r="I338" i="31"/>
  <c r="I339" i="31"/>
  <c r="I340" i="31"/>
  <c r="I341" i="31"/>
  <c r="I342" i="31"/>
  <c r="I343" i="31"/>
  <c r="I344" i="31"/>
  <c r="I345" i="31"/>
  <c r="I346" i="31"/>
  <c r="I347" i="31"/>
  <c r="I348" i="31"/>
  <c r="I349" i="31"/>
  <c r="I350" i="31"/>
  <c r="I351" i="31"/>
  <c r="I352" i="31"/>
  <c r="I353" i="31"/>
  <c r="I354" i="31"/>
  <c r="I355" i="31"/>
  <c r="I356" i="31"/>
  <c r="I357" i="31"/>
  <c r="I358" i="31"/>
  <c r="I359" i="31"/>
  <c r="I360" i="31"/>
  <c r="I361" i="31"/>
  <c r="I362" i="31"/>
  <c r="I363" i="31"/>
  <c r="I364" i="31"/>
  <c r="I365" i="31"/>
  <c r="I366" i="31"/>
  <c r="I367" i="31"/>
  <c r="I368" i="31"/>
  <c r="I369" i="31"/>
  <c r="I370" i="31"/>
  <c r="I371" i="31"/>
  <c r="I372" i="31"/>
  <c r="I373" i="31"/>
  <c r="I374" i="31"/>
  <c r="I375" i="31"/>
  <c r="I376" i="31"/>
  <c r="I377" i="31"/>
  <c r="I378" i="31"/>
  <c r="I379" i="31"/>
  <c r="I380" i="31"/>
  <c r="I381" i="31"/>
  <c r="I382" i="31"/>
  <c r="I383" i="31"/>
  <c r="I384" i="31"/>
  <c r="I385" i="31"/>
  <c r="I386" i="31"/>
  <c r="I387" i="31"/>
  <c r="I388" i="31"/>
  <c r="I389" i="31"/>
  <c r="I390" i="31"/>
  <c r="I391" i="31"/>
  <c r="I392" i="31"/>
  <c r="I393" i="31"/>
  <c r="I394" i="31"/>
  <c r="I395" i="31"/>
  <c r="I396" i="31"/>
  <c r="I397" i="31"/>
  <c r="I398" i="31"/>
  <c r="I399" i="31"/>
  <c r="I400" i="31"/>
  <c r="I401" i="31"/>
  <c r="I402" i="31"/>
  <c r="I403" i="31"/>
  <c r="I404" i="31"/>
  <c r="I405" i="31"/>
  <c r="I406" i="31"/>
  <c r="I407" i="31"/>
  <c r="I408" i="31"/>
  <c r="I409" i="31"/>
  <c r="I410" i="31"/>
  <c r="I411" i="31"/>
  <c r="I412" i="31"/>
  <c r="I413" i="31"/>
  <c r="I414" i="31"/>
  <c r="I415" i="31"/>
  <c r="I416" i="31"/>
  <c r="I417" i="31"/>
  <c r="I418" i="31"/>
  <c r="I419" i="31"/>
  <c r="I420" i="31"/>
  <c r="I421" i="31"/>
  <c r="I422" i="31"/>
  <c r="I423" i="31"/>
  <c r="I424" i="31"/>
  <c r="I425" i="31"/>
  <c r="I426" i="31"/>
  <c r="I427" i="31"/>
  <c r="I428" i="31"/>
  <c r="I429" i="31"/>
  <c r="I430" i="31"/>
  <c r="I431" i="31"/>
  <c r="I432" i="31"/>
  <c r="I433" i="31"/>
  <c r="I434" i="31"/>
  <c r="I435" i="31"/>
  <c r="I436" i="31"/>
  <c r="I437" i="31"/>
  <c r="I438" i="31"/>
  <c r="I439" i="31"/>
  <c r="I440" i="31"/>
  <c r="I441" i="31"/>
  <c r="I442" i="31"/>
  <c r="I443" i="31"/>
  <c r="I444" i="31"/>
  <c r="I445" i="31"/>
  <c r="I446" i="31"/>
  <c r="I447" i="31"/>
  <c r="I448" i="31"/>
  <c r="I449" i="31"/>
  <c r="I450" i="31"/>
  <c r="I451" i="31"/>
  <c r="I452" i="31"/>
  <c r="I453" i="31"/>
  <c r="I454" i="31"/>
  <c r="I455" i="31"/>
  <c r="I456" i="31"/>
  <c r="I457" i="31"/>
  <c r="I458" i="31"/>
  <c r="I459" i="31"/>
  <c r="I460" i="31"/>
  <c r="I461" i="31"/>
  <c r="I462" i="31"/>
  <c r="I463" i="31"/>
  <c r="I464" i="31"/>
  <c r="I465" i="31"/>
  <c r="I466" i="31"/>
  <c r="I467" i="31"/>
  <c r="I468" i="31"/>
  <c r="I469" i="31"/>
  <c r="I470" i="31"/>
  <c r="I471" i="31"/>
  <c r="I472" i="31"/>
  <c r="I473" i="31"/>
  <c r="I474" i="31"/>
  <c r="I475" i="31"/>
  <c r="I476" i="31"/>
  <c r="I477" i="31"/>
  <c r="I478" i="31"/>
  <c r="I479" i="31"/>
  <c r="I480" i="31"/>
  <c r="I481" i="31"/>
  <c r="I482" i="31"/>
  <c r="I483" i="31"/>
  <c r="I484" i="31"/>
  <c r="I485" i="31"/>
  <c r="I486" i="31"/>
  <c r="I487" i="31"/>
  <c r="I488" i="31"/>
  <c r="I489" i="31"/>
  <c r="I490" i="31"/>
  <c r="I491" i="31"/>
  <c r="I492" i="31"/>
  <c r="I493" i="31"/>
  <c r="I494" i="31"/>
  <c r="I495" i="31"/>
  <c r="I496" i="31"/>
  <c r="I497" i="31"/>
  <c r="I498" i="31"/>
  <c r="I499" i="31"/>
  <c r="I500" i="31"/>
  <c r="I501" i="31"/>
  <c r="I502" i="31"/>
  <c r="I503" i="31"/>
  <c r="I504" i="31"/>
  <c r="I505" i="31"/>
  <c r="I506" i="31"/>
  <c r="I507" i="31"/>
  <c r="I508" i="31"/>
  <c r="I509" i="31"/>
  <c r="I510" i="31"/>
  <c r="I511" i="31"/>
  <c r="I512" i="31"/>
  <c r="I513" i="31"/>
  <c r="I514" i="31"/>
  <c r="I515" i="31"/>
  <c r="I516" i="31"/>
  <c r="I517" i="31"/>
  <c r="I518" i="31"/>
  <c r="I519" i="31"/>
  <c r="I520" i="31"/>
  <c r="I521" i="31"/>
  <c r="I522" i="31"/>
  <c r="I523" i="31"/>
  <c r="I524" i="31"/>
  <c r="I525" i="31"/>
  <c r="I526" i="31"/>
  <c r="I527" i="31"/>
  <c r="I528" i="31"/>
  <c r="I529" i="31"/>
  <c r="I530" i="31"/>
  <c r="I531" i="31"/>
  <c r="I532" i="31"/>
  <c r="I533" i="31"/>
  <c r="I534" i="31"/>
  <c r="I535" i="31"/>
  <c r="I536" i="31"/>
  <c r="I537" i="31"/>
  <c r="I538" i="31"/>
  <c r="I539" i="31"/>
  <c r="I540" i="31"/>
  <c r="I541" i="31"/>
  <c r="I542" i="31"/>
  <c r="I543" i="31"/>
  <c r="I544" i="31"/>
  <c r="I545" i="31"/>
  <c r="I546" i="31"/>
  <c r="I547" i="31"/>
  <c r="I548" i="31"/>
  <c r="I549" i="31"/>
  <c r="I550" i="31"/>
  <c r="I551" i="31"/>
  <c r="I552" i="31"/>
  <c r="I553" i="31"/>
  <c r="I554" i="31"/>
  <c r="I555" i="31"/>
  <c r="I556" i="31"/>
  <c r="I557" i="31"/>
  <c r="I558" i="31"/>
  <c r="I559" i="31"/>
  <c r="I560" i="31"/>
  <c r="I561" i="31"/>
  <c r="I562" i="31"/>
  <c r="I563" i="31"/>
  <c r="I564" i="31"/>
  <c r="I565" i="31"/>
  <c r="I566" i="31"/>
  <c r="I567" i="31"/>
  <c r="I568" i="31"/>
  <c r="I569" i="31"/>
  <c r="I570" i="31"/>
  <c r="I571" i="31"/>
  <c r="I572" i="31"/>
  <c r="I573" i="31"/>
  <c r="I574" i="31"/>
  <c r="I575" i="31"/>
  <c r="I576" i="31"/>
  <c r="I577" i="31"/>
  <c r="I578" i="31"/>
  <c r="I579" i="31"/>
  <c r="I580" i="31"/>
  <c r="I581" i="31"/>
  <c r="I582" i="31"/>
  <c r="I583" i="31"/>
  <c r="I584" i="31"/>
  <c r="I585" i="31"/>
  <c r="I586" i="31"/>
  <c r="I587" i="31"/>
  <c r="I588" i="31"/>
  <c r="I589" i="31"/>
  <c r="I590" i="31"/>
  <c r="I591" i="31"/>
  <c r="I592" i="31"/>
  <c r="I593" i="31"/>
  <c r="I594" i="31"/>
  <c r="I595" i="31"/>
  <c r="I596" i="31"/>
  <c r="I597" i="31"/>
  <c r="I598" i="31"/>
  <c r="I599" i="31"/>
  <c r="I600" i="31"/>
  <c r="I601" i="31"/>
  <c r="I602" i="31"/>
  <c r="I603" i="31"/>
  <c r="I604" i="31"/>
  <c r="I605" i="31"/>
  <c r="I606" i="31"/>
  <c r="I607" i="31"/>
  <c r="I608" i="31"/>
  <c r="I609" i="31"/>
  <c r="I610" i="31"/>
  <c r="I611" i="31"/>
  <c r="I612" i="31"/>
  <c r="I613" i="31"/>
  <c r="I614" i="31"/>
  <c r="I615" i="31"/>
  <c r="I616" i="31"/>
  <c r="I617" i="31"/>
  <c r="I618" i="31"/>
  <c r="I619" i="31"/>
  <c r="I620" i="31"/>
  <c r="I621" i="31"/>
  <c r="I622" i="31"/>
  <c r="I623" i="31"/>
  <c r="I624" i="31"/>
  <c r="I625" i="31"/>
  <c r="I626" i="31"/>
  <c r="I627" i="31"/>
  <c r="I628" i="31"/>
  <c r="I629" i="31"/>
  <c r="I630" i="31"/>
  <c r="I631" i="31"/>
  <c r="I632" i="31"/>
  <c r="I633" i="31"/>
  <c r="I634" i="31"/>
  <c r="I635" i="31"/>
  <c r="I636" i="31"/>
  <c r="I637" i="31"/>
  <c r="I638" i="31"/>
  <c r="I639" i="31"/>
  <c r="I640" i="31"/>
  <c r="I641" i="31"/>
  <c r="I642" i="31"/>
  <c r="I643" i="31"/>
  <c r="I644" i="31"/>
  <c r="I645" i="31"/>
  <c r="I646" i="31"/>
  <c r="I647" i="31"/>
  <c r="I648" i="31"/>
  <c r="I649" i="31"/>
  <c r="I650" i="31"/>
  <c r="I651" i="31"/>
  <c r="I652" i="31"/>
  <c r="I653" i="31"/>
  <c r="I654" i="31"/>
  <c r="I655" i="31"/>
  <c r="I656" i="31"/>
  <c r="I657" i="31"/>
  <c r="I658" i="31"/>
  <c r="I659" i="31"/>
  <c r="I660" i="31"/>
  <c r="I661" i="31"/>
  <c r="I662" i="31"/>
  <c r="I663" i="31"/>
  <c r="I664" i="31"/>
  <c r="I665" i="31"/>
  <c r="I666" i="31"/>
  <c r="I667" i="31"/>
  <c r="I668" i="31"/>
  <c r="I669" i="31"/>
  <c r="I670" i="31"/>
  <c r="I671" i="31"/>
  <c r="I672" i="31"/>
  <c r="I673" i="31"/>
  <c r="I674" i="31"/>
  <c r="I675" i="31"/>
  <c r="I676" i="31"/>
  <c r="I677" i="31"/>
  <c r="I678" i="31"/>
  <c r="I679" i="31"/>
  <c r="I680" i="31"/>
  <c r="I681" i="31"/>
  <c r="I682" i="31"/>
  <c r="I683" i="31"/>
  <c r="I684" i="31"/>
  <c r="I685" i="31"/>
  <c r="I686" i="31"/>
  <c r="I687" i="31"/>
  <c r="I688" i="31"/>
  <c r="I689" i="31"/>
  <c r="I690" i="31"/>
  <c r="I691" i="31"/>
  <c r="I692" i="31"/>
  <c r="I693" i="31"/>
  <c r="I694" i="31"/>
  <c r="I695" i="31"/>
  <c r="I696" i="31"/>
  <c r="I697" i="31"/>
  <c r="I698" i="31"/>
  <c r="I699" i="31"/>
  <c r="I700" i="31"/>
  <c r="I701" i="31"/>
  <c r="I702" i="31"/>
  <c r="I703" i="31"/>
  <c r="I704" i="31"/>
  <c r="I705" i="31"/>
  <c r="I706" i="31"/>
  <c r="I707" i="31"/>
  <c r="I708" i="31"/>
  <c r="I709" i="31"/>
  <c r="I710" i="31"/>
  <c r="I711" i="31"/>
  <c r="I712" i="31"/>
  <c r="I713" i="31"/>
  <c r="I714" i="31"/>
  <c r="I715" i="31"/>
  <c r="I716" i="31"/>
  <c r="I717" i="31"/>
  <c r="I718" i="31"/>
  <c r="I719" i="31"/>
  <c r="I720" i="31"/>
  <c r="I721" i="31"/>
  <c r="I722" i="31"/>
  <c r="I723" i="31"/>
  <c r="I724" i="31"/>
  <c r="I725" i="31"/>
  <c r="I726" i="31"/>
  <c r="I727" i="31"/>
  <c r="I728" i="31"/>
  <c r="I729" i="31"/>
  <c r="I730" i="31"/>
  <c r="I731" i="31"/>
  <c r="I732" i="31"/>
  <c r="I733" i="31"/>
  <c r="I734" i="31"/>
  <c r="I735" i="31"/>
  <c r="I736" i="31"/>
  <c r="I737" i="31"/>
  <c r="I738" i="31"/>
  <c r="I739" i="31"/>
  <c r="I740" i="31"/>
  <c r="I741" i="31"/>
  <c r="I742" i="31"/>
  <c r="I743" i="31"/>
  <c r="I744" i="31"/>
  <c r="I745" i="31"/>
  <c r="I746" i="31"/>
  <c r="I747" i="31"/>
  <c r="I748" i="31"/>
  <c r="I749" i="31"/>
  <c r="I750" i="31"/>
  <c r="I751" i="31"/>
  <c r="I752" i="31"/>
  <c r="I753" i="31"/>
  <c r="I754" i="31"/>
  <c r="I755" i="31"/>
  <c r="I756" i="31"/>
  <c r="I757" i="31"/>
  <c r="I758" i="31"/>
  <c r="I759" i="31"/>
  <c r="I760" i="31"/>
  <c r="I761" i="31"/>
  <c r="I762" i="31"/>
  <c r="I763" i="31"/>
  <c r="I764" i="31"/>
  <c r="I765" i="31"/>
  <c r="I766" i="31"/>
  <c r="I767" i="31"/>
  <c r="I768" i="31"/>
  <c r="I769" i="31"/>
  <c r="I770" i="31"/>
  <c r="I771" i="31"/>
  <c r="I772" i="31"/>
  <c r="I773" i="31"/>
  <c r="I774" i="31"/>
  <c r="I775" i="31"/>
  <c r="I776" i="31"/>
  <c r="I777" i="31"/>
  <c r="I778" i="31"/>
  <c r="I779" i="31"/>
  <c r="I780" i="31"/>
  <c r="I781" i="31"/>
  <c r="I782" i="31"/>
  <c r="I783" i="31"/>
  <c r="I784" i="31"/>
  <c r="I785" i="31"/>
  <c r="I786" i="31"/>
  <c r="I787" i="31"/>
  <c r="I788" i="31"/>
  <c r="I789" i="31"/>
  <c r="I790" i="31"/>
  <c r="I791" i="31"/>
  <c r="I792" i="31"/>
  <c r="I793" i="31"/>
  <c r="I794" i="31"/>
  <c r="I795" i="31"/>
  <c r="I796" i="31"/>
  <c r="I797" i="31"/>
  <c r="I798" i="31"/>
  <c r="I799" i="31"/>
  <c r="I800" i="31"/>
  <c r="I801" i="31"/>
  <c r="I802" i="31"/>
  <c r="I803" i="31"/>
  <c r="I804" i="31"/>
  <c r="I805" i="31"/>
  <c r="I806" i="31"/>
  <c r="I807" i="31"/>
  <c r="I808" i="31"/>
  <c r="I809" i="31"/>
  <c r="I810" i="31"/>
  <c r="I811" i="31"/>
  <c r="I812" i="31"/>
  <c r="I813" i="31"/>
  <c r="I814" i="31"/>
  <c r="I815" i="31"/>
  <c r="I816" i="31"/>
  <c r="I817" i="31"/>
  <c r="I818" i="31"/>
  <c r="I819" i="31"/>
  <c r="I820" i="31"/>
  <c r="I821" i="31"/>
  <c r="I822" i="31"/>
  <c r="I823" i="31"/>
  <c r="I824" i="31"/>
  <c r="I825" i="31"/>
  <c r="I826" i="31"/>
  <c r="I827" i="31"/>
  <c r="I828" i="31"/>
  <c r="I829" i="31"/>
  <c r="I830" i="31"/>
  <c r="I831" i="31"/>
  <c r="I832" i="31"/>
  <c r="I833" i="31"/>
  <c r="I834" i="31"/>
  <c r="I835" i="31"/>
  <c r="I836" i="31"/>
  <c r="I837" i="31"/>
  <c r="I838" i="31"/>
  <c r="I839" i="31"/>
  <c r="I840" i="31"/>
  <c r="I841" i="31"/>
  <c r="I842" i="31"/>
  <c r="I843" i="31"/>
  <c r="I844" i="31"/>
  <c r="I845" i="31"/>
  <c r="I846" i="31"/>
  <c r="I847" i="31"/>
  <c r="I848" i="31"/>
  <c r="I849" i="31"/>
  <c r="I850" i="31"/>
  <c r="I851" i="31"/>
  <c r="I852" i="31"/>
  <c r="I853" i="31"/>
  <c r="I854" i="31"/>
  <c r="I855" i="31"/>
  <c r="I856" i="31"/>
  <c r="I857" i="31"/>
  <c r="I858" i="31"/>
  <c r="I859" i="31"/>
  <c r="I860" i="31"/>
  <c r="I861" i="31"/>
  <c r="I862" i="31"/>
  <c r="I863" i="31"/>
  <c r="I864" i="31"/>
  <c r="I865" i="31"/>
  <c r="I866" i="31"/>
  <c r="I867" i="31"/>
  <c r="I868" i="31"/>
  <c r="I869" i="31"/>
  <c r="I870" i="31"/>
  <c r="I871" i="31"/>
  <c r="I872" i="31"/>
  <c r="I873" i="31"/>
  <c r="I874" i="31"/>
  <c r="I875" i="31"/>
  <c r="I876" i="31"/>
  <c r="I877" i="31"/>
  <c r="I878" i="31"/>
  <c r="I879" i="31"/>
  <c r="I880" i="31"/>
  <c r="I881" i="31"/>
  <c r="I882" i="31"/>
  <c r="I883" i="31"/>
  <c r="I884" i="31"/>
  <c r="I885" i="31"/>
  <c r="I886" i="31"/>
  <c r="I887" i="31"/>
  <c r="I888" i="31"/>
  <c r="I889" i="31"/>
  <c r="I890" i="31"/>
  <c r="I891" i="31"/>
  <c r="I892" i="31"/>
  <c r="I893" i="31"/>
  <c r="I894" i="31"/>
  <c r="I895" i="31"/>
  <c r="I896" i="31"/>
  <c r="I897" i="31"/>
  <c r="I898" i="31"/>
  <c r="I899" i="31"/>
  <c r="I900" i="31"/>
  <c r="I901" i="31"/>
  <c r="I902" i="31"/>
  <c r="I903" i="31"/>
  <c r="I904" i="31"/>
  <c r="I905" i="31"/>
  <c r="I906" i="31"/>
  <c r="I907" i="31"/>
  <c r="I908" i="31"/>
  <c r="I909" i="31"/>
  <c r="I910" i="31"/>
  <c r="I911" i="31"/>
  <c r="I912" i="31"/>
  <c r="I913" i="31"/>
  <c r="I914" i="31"/>
  <c r="I915" i="31"/>
  <c r="I916" i="31"/>
  <c r="I917" i="31"/>
  <c r="I918" i="31"/>
  <c r="I919" i="31"/>
  <c r="I920" i="31"/>
  <c r="I921" i="31"/>
  <c r="I922" i="31"/>
  <c r="I923" i="31"/>
  <c r="I924" i="31"/>
  <c r="I925" i="31"/>
  <c r="I926" i="31"/>
  <c r="I927" i="31"/>
  <c r="I928" i="31"/>
  <c r="I929" i="31"/>
  <c r="I930" i="31"/>
  <c r="I931" i="31"/>
  <c r="I932" i="31"/>
  <c r="I933" i="31"/>
  <c r="I934" i="31"/>
  <c r="I935" i="31"/>
  <c r="I936" i="31"/>
  <c r="I937" i="31"/>
  <c r="I938" i="31"/>
  <c r="I939" i="31"/>
  <c r="I940" i="31"/>
  <c r="I941" i="31"/>
  <c r="I942" i="31"/>
  <c r="I943" i="31"/>
  <c r="I944" i="31"/>
  <c r="I945" i="31"/>
  <c r="I946" i="31"/>
  <c r="I947" i="31"/>
  <c r="I948" i="31"/>
  <c r="I949" i="31"/>
  <c r="I950" i="31"/>
  <c r="I951" i="31"/>
  <c r="I952" i="31"/>
  <c r="I953" i="31"/>
  <c r="I954" i="31"/>
  <c r="I955" i="31"/>
  <c r="I956" i="31"/>
  <c r="I957" i="31"/>
  <c r="I958" i="31"/>
  <c r="I959" i="31"/>
  <c r="I960" i="31"/>
  <c r="I961" i="31"/>
  <c r="I962" i="31"/>
  <c r="I963" i="31"/>
  <c r="I964" i="31"/>
  <c r="I965" i="31"/>
  <c r="I966" i="31"/>
  <c r="I967" i="31"/>
  <c r="I968" i="31"/>
  <c r="I969" i="31"/>
  <c r="I970" i="31"/>
  <c r="I971" i="31"/>
  <c r="I972" i="31"/>
  <c r="I973" i="31"/>
  <c r="I974" i="31"/>
  <c r="I975" i="31"/>
  <c r="I976" i="31"/>
  <c r="I977" i="31"/>
  <c r="I978" i="31"/>
  <c r="I979" i="31"/>
  <c r="I980" i="31"/>
  <c r="I981" i="31"/>
  <c r="I982" i="31"/>
  <c r="I983" i="31"/>
  <c r="I984" i="31"/>
  <c r="I985" i="31"/>
  <c r="I986" i="31"/>
  <c r="I987" i="31"/>
  <c r="I988" i="31"/>
  <c r="I989" i="31"/>
  <c r="I990" i="31"/>
  <c r="I991" i="31"/>
  <c r="I992" i="31"/>
  <c r="I993" i="31"/>
  <c r="I994" i="31"/>
  <c r="I995" i="31"/>
  <c r="I996" i="31"/>
  <c r="I997" i="31"/>
  <c r="I998" i="31"/>
  <c r="I999" i="31"/>
  <c r="I1000" i="31"/>
  <c r="I3" i="31"/>
  <c r="I4" i="31"/>
  <c r="I5" i="31"/>
  <c r="I6" i="31"/>
  <c r="I7" i="31"/>
  <c r="I8" i="31"/>
  <c r="I2" i="31"/>
  <c r="A2" i="33" l="1"/>
  <c r="B2" i="33" s="1"/>
  <c r="A4" i="33"/>
  <c r="B4" i="33" s="1"/>
  <c r="A6" i="33"/>
  <c r="B6" i="33" s="1"/>
  <c r="A8" i="33"/>
  <c r="B8" i="33" s="1"/>
  <c r="A10" i="33"/>
  <c r="B10" i="33" s="1"/>
  <c r="A12" i="33"/>
  <c r="B12" i="33" s="1"/>
  <c r="A14" i="33"/>
  <c r="B14" i="33" s="1"/>
  <c r="A16" i="33"/>
  <c r="B16" i="33" s="1"/>
  <c r="A18" i="33"/>
  <c r="B18" i="33" s="1"/>
  <c r="A20" i="33"/>
  <c r="B20" i="33" s="1"/>
  <c r="A22" i="33"/>
  <c r="B22" i="33" s="1"/>
  <c r="A24" i="33"/>
  <c r="B24" i="33" s="1"/>
  <c r="A26" i="33"/>
  <c r="B26" i="33" s="1"/>
  <c r="A28" i="33"/>
  <c r="B28" i="33" s="1"/>
  <c r="A30" i="33"/>
  <c r="B30" i="33" s="1"/>
  <c r="A32" i="33"/>
  <c r="B32" i="33" s="1"/>
  <c r="A34" i="33"/>
  <c r="B34" i="33" s="1"/>
  <c r="A36" i="33"/>
  <c r="B36" i="33" s="1"/>
  <c r="A38" i="33"/>
  <c r="B38" i="33" s="1"/>
  <c r="A40" i="33"/>
  <c r="B40" i="33" s="1"/>
  <c r="A42" i="33"/>
  <c r="B42" i="33" s="1"/>
  <c r="A44" i="33"/>
  <c r="B44" i="33" s="1"/>
  <c r="A46" i="33"/>
  <c r="B46" i="33" s="1"/>
  <c r="A48" i="33"/>
  <c r="B48" i="33" s="1"/>
  <c r="A50" i="33"/>
  <c r="B50" i="33" s="1"/>
  <c r="A52" i="33"/>
  <c r="B52" i="33" s="1"/>
  <c r="A54" i="33"/>
  <c r="B54" i="33" s="1"/>
  <c r="A56" i="33"/>
  <c r="B56" i="33" s="1"/>
  <c r="A58" i="33"/>
  <c r="B58" i="33" s="1"/>
  <c r="A60" i="33"/>
  <c r="B60" i="33" s="1"/>
  <c r="A62" i="33"/>
  <c r="B62" i="33" s="1"/>
  <c r="A64" i="33"/>
  <c r="B64" i="33" s="1"/>
  <c r="A66" i="33"/>
  <c r="B66" i="33" s="1"/>
  <c r="A68" i="33"/>
  <c r="B68" i="33" s="1"/>
  <c r="A70" i="33"/>
  <c r="B70" i="33" s="1"/>
  <c r="A72" i="33"/>
  <c r="B72" i="33" s="1"/>
  <c r="A74" i="33"/>
  <c r="B74" i="33" s="1"/>
  <c r="A76" i="33"/>
  <c r="B76" i="33" s="1"/>
  <c r="A78" i="33"/>
  <c r="B78" i="33" s="1"/>
  <c r="A80" i="33"/>
  <c r="B80" i="33" s="1"/>
  <c r="A82" i="33"/>
  <c r="B82" i="33" s="1"/>
  <c r="A84" i="33"/>
  <c r="B84" i="33" s="1"/>
  <c r="A86" i="33"/>
  <c r="B86" i="33" s="1"/>
  <c r="A88" i="33"/>
  <c r="B88" i="33" s="1"/>
  <c r="A90" i="33"/>
  <c r="B90" i="33" s="1"/>
  <c r="A92" i="33"/>
  <c r="B92" i="33" s="1"/>
  <c r="A94" i="33"/>
  <c r="B94" i="33" s="1"/>
  <c r="A96" i="33"/>
  <c r="B96" i="33" s="1"/>
  <c r="A98" i="33"/>
  <c r="B98" i="33" s="1"/>
  <c r="A100" i="33"/>
  <c r="B100" i="33" s="1"/>
  <c r="A102" i="33"/>
  <c r="B102" i="33" s="1"/>
  <c r="A104" i="33"/>
  <c r="B104" i="33" s="1"/>
  <c r="A106" i="33"/>
  <c r="B106" i="33" s="1"/>
  <c r="A108" i="33"/>
  <c r="B108" i="33" s="1"/>
  <c r="A110" i="33"/>
  <c r="B110" i="33" s="1"/>
  <c r="A112" i="33"/>
  <c r="B112" i="33" s="1"/>
  <c r="A114" i="33"/>
  <c r="B114" i="33" s="1"/>
  <c r="A116" i="33"/>
  <c r="B116" i="33" s="1"/>
  <c r="A118" i="33"/>
  <c r="B118" i="33" s="1"/>
  <c r="A120" i="33"/>
  <c r="B120" i="33" s="1"/>
  <c r="A122" i="33"/>
  <c r="B122" i="33" s="1"/>
  <c r="A124" i="33"/>
  <c r="B124" i="33" s="1"/>
  <c r="A126" i="33"/>
  <c r="B126" i="33" s="1"/>
  <c r="A128" i="33"/>
  <c r="B128" i="33" s="1"/>
  <c r="A130" i="33"/>
  <c r="B130" i="33" s="1"/>
  <c r="A132" i="33"/>
  <c r="B132" i="33" s="1"/>
  <c r="A134" i="33"/>
  <c r="B134" i="33" s="1"/>
  <c r="A136" i="33"/>
  <c r="B136" i="33" s="1"/>
  <c r="A138" i="33"/>
  <c r="B138" i="33" s="1"/>
  <c r="A140" i="33"/>
  <c r="B140" i="33" s="1"/>
  <c r="A142" i="33"/>
  <c r="B142" i="33" s="1"/>
  <c r="A144" i="33"/>
  <c r="B144" i="33" s="1"/>
  <c r="A146" i="33"/>
  <c r="B146" i="33" s="1"/>
  <c r="A148" i="33"/>
  <c r="B148" i="33" s="1"/>
  <c r="A150" i="33"/>
  <c r="B150" i="33" s="1"/>
  <c r="A152" i="33"/>
  <c r="B152" i="33" s="1"/>
  <c r="A154" i="33"/>
  <c r="B154" i="33" s="1"/>
  <c r="A156" i="33"/>
  <c r="B156" i="33" s="1"/>
  <c r="A158" i="33"/>
  <c r="B158" i="33" s="1"/>
  <c r="A160" i="33"/>
  <c r="B160" i="33" s="1"/>
  <c r="A162" i="33"/>
  <c r="B162" i="33" s="1"/>
  <c r="A164" i="33"/>
  <c r="B164" i="33" s="1"/>
  <c r="A166" i="33"/>
  <c r="B166" i="33" s="1"/>
  <c r="A168" i="33"/>
  <c r="B168" i="33" s="1"/>
  <c r="A170" i="33"/>
  <c r="B170" i="33" s="1"/>
  <c r="A3" i="33"/>
  <c r="B3" i="33" s="1"/>
  <c r="A5" i="33"/>
  <c r="B5" i="33" s="1"/>
  <c r="A7" i="33"/>
  <c r="B7" i="33" s="1"/>
  <c r="A9" i="33"/>
  <c r="B9" i="33" s="1"/>
  <c r="A11" i="33"/>
  <c r="B11" i="33" s="1"/>
  <c r="A13" i="33"/>
  <c r="B13" i="33" s="1"/>
  <c r="A15" i="33"/>
  <c r="B15" i="33" s="1"/>
  <c r="A17" i="33"/>
  <c r="B17" i="33" s="1"/>
  <c r="A19" i="33"/>
  <c r="B19" i="33" s="1"/>
  <c r="A21" i="33"/>
  <c r="B21" i="33" s="1"/>
  <c r="A23" i="33"/>
  <c r="B23" i="33" s="1"/>
  <c r="A25" i="33"/>
  <c r="B25" i="33" s="1"/>
  <c r="A27" i="33"/>
  <c r="B27" i="33" s="1"/>
  <c r="A29" i="33"/>
  <c r="B29" i="33" s="1"/>
  <c r="A31" i="33"/>
  <c r="B31" i="33" s="1"/>
  <c r="A33" i="33"/>
  <c r="B33" i="33" s="1"/>
  <c r="A35" i="33"/>
  <c r="B35" i="33" s="1"/>
  <c r="A37" i="33"/>
  <c r="B37" i="33" s="1"/>
  <c r="A39" i="33"/>
  <c r="B39" i="33" s="1"/>
  <c r="A41" i="33"/>
  <c r="B41" i="33" s="1"/>
  <c r="A43" i="33"/>
  <c r="B43" i="33" s="1"/>
  <c r="A45" i="33"/>
  <c r="B45" i="33" s="1"/>
  <c r="A47" i="33"/>
  <c r="B47" i="33" s="1"/>
  <c r="A49" i="33"/>
  <c r="B49" i="33" s="1"/>
  <c r="A51" i="33"/>
  <c r="B51" i="33" s="1"/>
  <c r="A53" i="33"/>
  <c r="B53" i="33" s="1"/>
  <c r="A55" i="33"/>
  <c r="B55" i="33" s="1"/>
  <c r="A57" i="33"/>
  <c r="B57" i="33" s="1"/>
  <c r="A59" i="33"/>
  <c r="B59" i="33" s="1"/>
  <c r="A61" i="33"/>
  <c r="B61" i="33" s="1"/>
  <c r="A63" i="33"/>
  <c r="B63" i="33" s="1"/>
  <c r="A65" i="33"/>
  <c r="B65" i="33" s="1"/>
  <c r="A67" i="33"/>
  <c r="B67" i="33" s="1"/>
  <c r="A69" i="33"/>
  <c r="B69" i="33" s="1"/>
  <c r="A71" i="33"/>
  <c r="B71" i="33" s="1"/>
  <c r="A73" i="33"/>
  <c r="B73" i="33" s="1"/>
  <c r="A75" i="33"/>
  <c r="B75" i="33" s="1"/>
  <c r="A77" i="33"/>
  <c r="B77" i="33" s="1"/>
  <c r="A79" i="33"/>
  <c r="B79" i="33" s="1"/>
  <c r="A81" i="33"/>
  <c r="B81" i="33" s="1"/>
  <c r="A83" i="33"/>
  <c r="B83" i="33" s="1"/>
  <c r="A85" i="33"/>
  <c r="B85" i="33" s="1"/>
  <c r="A87" i="33"/>
  <c r="B87" i="33" s="1"/>
  <c r="A89" i="33"/>
  <c r="B89" i="33" s="1"/>
  <c r="A91" i="33"/>
  <c r="B91" i="33" s="1"/>
  <c r="A93" i="33"/>
  <c r="B93" i="33" s="1"/>
  <c r="A95" i="33"/>
  <c r="B95" i="33" s="1"/>
  <c r="A97" i="33"/>
  <c r="B97" i="33" s="1"/>
  <c r="A99" i="33"/>
  <c r="B99" i="33" s="1"/>
  <c r="A101" i="33"/>
  <c r="B101" i="33" s="1"/>
  <c r="A103" i="33"/>
  <c r="B103" i="33" s="1"/>
  <c r="A105" i="33"/>
  <c r="B105" i="33" s="1"/>
  <c r="A107" i="33"/>
  <c r="B107" i="33" s="1"/>
  <c r="A109" i="33"/>
  <c r="B109" i="33" s="1"/>
  <c r="A111" i="33"/>
  <c r="B111" i="33" s="1"/>
  <c r="A113" i="33"/>
  <c r="B113" i="33" s="1"/>
  <c r="A115" i="33"/>
  <c r="B115" i="33" s="1"/>
  <c r="A117" i="33"/>
  <c r="B117" i="33" s="1"/>
  <c r="A119" i="33"/>
  <c r="B119" i="33" s="1"/>
  <c r="A121" i="33"/>
  <c r="B121" i="33" s="1"/>
  <c r="A123" i="33"/>
  <c r="B123" i="33" s="1"/>
  <c r="A125" i="33"/>
  <c r="B125" i="33" s="1"/>
  <c r="A127" i="33"/>
  <c r="B127" i="33" s="1"/>
  <c r="A129" i="33"/>
  <c r="B129" i="33" s="1"/>
  <c r="A131" i="33"/>
  <c r="B131" i="33" s="1"/>
  <c r="A133" i="33"/>
  <c r="B133" i="33" s="1"/>
  <c r="A135" i="33"/>
  <c r="B135" i="33" s="1"/>
  <c r="A137" i="33"/>
  <c r="B137" i="33" s="1"/>
  <c r="A139" i="33"/>
  <c r="B139" i="33" s="1"/>
  <c r="A141" i="33"/>
  <c r="B141" i="33" s="1"/>
  <c r="A143" i="33"/>
  <c r="B143" i="33" s="1"/>
  <c r="A145" i="33"/>
  <c r="B145" i="33" s="1"/>
  <c r="A147" i="33"/>
  <c r="B147" i="33" s="1"/>
  <c r="A149" i="33"/>
  <c r="B149" i="33" s="1"/>
  <c r="A151" i="33"/>
  <c r="B151" i="33" s="1"/>
  <c r="A153" i="33"/>
  <c r="B153" i="33" s="1"/>
  <c r="A155" i="33"/>
  <c r="B155" i="33" s="1"/>
  <c r="A157" i="33"/>
  <c r="B157" i="33" s="1"/>
  <c r="A159" i="33"/>
  <c r="B159" i="33" s="1"/>
  <c r="A161" i="33"/>
  <c r="B161" i="33" s="1"/>
  <c r="A163" i="33"/>
  <c r="B163" i="33" s="1"/>
  <c r="A165" i="33"/>
  <c r="B165" i="33" s="1"/>
  <c r="A167" i="33"/>
  <c r="B167" i="33" s="1"/>
  <c r="A169" i="33"/>
  <c r="B169" i="33" s="1"/>
  <c r="A171" i="33"/>
  <c r="B171" i="33" s="1"/>
  <c r="A173" i="33"/>
  <c r="B173" i="33" s="1"/>
  <c r="A175" i="33"/>
  <c r="B175" i="33" s="1"/>
  <c r="A177" i="33"/>
  <c r="B177" i="33" s="1"/>
  <c r="A179" i="33"/>
  <c r="B179" i="33" s="1"/>
  <c r="A181" i="33"/>
  <c r="B181" i="33" s="1"/>
  <c r="A183" i="33"/>
  <c r="B183" i="33" s="1"/>
  <c r="A185" i="33"/>
  <c r="B185" i="33" s="1"/>
  <c r="A187" i="33"/>
  <c r="B187" i="33" s="1"/>
  <c r="A189" i="33"/>
  <c r="B189" i="33" s="1"/>
  <c r="A191" i="33"/>
  <c r="B191" i="33" s="1"/>
  <c r="A193" i="33"/>
  <c r="B193" i="33" s="1"/>
  <c r="A195" i="33"/>
  <c r="B195" i="33" s="1"/>
  <c r="A197" i="33"/>
  <c r="B197" i="33" s="1"/>
  <c r="A199" i="33"/>
  <c r="B199" i="33" s="1"/>
  <c r="A201" i="33"/>
  <c r="B201" i="33" s="1"/>
  <c r="A203" i="33"/>
  <c r="B203" i="33" s="1"/>
  <c r="A205" i="33"/>
  <c r="B205" i="33" s="1"/>
  <c r="A207" i="33"/>
  <c r="B207" i="33" s="1"/>
  <c r="A209" i="33"/>
  <c r="B209" i="33" s="1"/>
  <c r="A211" i="33"/>
  <c r="B211" i="33" s="1"/>
  <c r="A213" i="33"/>
  <c r="B213" i="33" s="1"/>
  <c r="A215" i="33"/>
  <c r="B215" i="33" s="1"/>
  <c r="A217" i="33"/>
  <c r="B217" i="33" s="1"/>
  <c r="A219" i="33"/>
  <c r="B219" i="33" s="1"/>
  <c r="A221" i="33"/>
  <c r="B221" i="33" s="1"/>
  <c r="A223" i="33"/>
  <c r="B223" i="33" s="1"/>
  <c r="A225" i="33"/>
  <c r="B225" i="33" s="1"/>
  <c r="A227" i="33"/>
  <c r="B227" i="33" s="1"/>
  <c r="A229" i="33"/>
  <c r="B229" i="33" s="1"/>
  <c r="A231" i="33"/>
  <c r="B231" i="33" s="1"/>
  <c r="A233" i="33"/>
  <c r="B233" i="33" s="1"/>
  <c r="A235" i="33"/>
  <c r="B235" i="33" s="1"/>
  <c r="A237" i="33"/>
  <c r="B237" i="33" s="1"/>
  <c r="A239" i="33"/>
  <c r="B239" i="33" s="1"/>
  <c r="A241" i="33"/>
  <c r="B241" i="33" s="1"/>
  <c r="A243" i="33"/>
  <c r="B243" i="33" s="1"/>
  <c r="A245" i="33"/>
  <c r="B245" i="33" s="1"/>
  <c r="A247" i="33"/>
  <c r="B247" i="33" s="1"/>
  <c r="A249" i="33"/>
  <c r="B249" i="33" s="1"/>
  <c r="A251" i="33"/>
  <c r="B251" i="33" s="1"/>
  <c r="A253" i="33"/>
  <c r="B253" i="33" s="1"/>
  <c r="A255" i="33"/>
  <c r="B255" i="33" s="1"/>
  <c r="A257" i="33"/>
  <c r="B257" i="33" s="1"/>
  <c r="A259" i="33"/>
  <c r="B259" i="33" s="1"/>
  <c r="A261" i="33"/>
  <c r="B261" i="33" s="1"/>
  <c r="A263" i="33"/>
  <c r="B263" i="33" s="1"/>
  <c r="A265" i="33"/>
  <c r="B265" i="33" s="1"/>
  <c r="A267" i="33"/>
  <c r="B267" i="33" s="1"/>
  <c r="A269" i="33"/>
  <c r="B269" i="33" s="1"/>
  <c r="A271" i="33"/>
  <c r="B271" i="33" s="1"/>
  <c r="A273" i="33"/>
  <c r="B273" i="33" s="1"/>
  <c r="A275" i="33"/>
  <c r="B275" i="33" s="1"/>
  <c r="A277" i="33"/>
  <c r="B277" i="33" s="1"/>
  <c r="A279" i="33"/>
  <c r="B279" i="33" s="1"/>
  <c r="A281" i="33"/>
  <c r="B281" i="33" s="1"/>
  <c r="A283" i="33"/>
  <c r="B283" i="33" s="1"/>
  <c r="A285" i="33"/>
  <c r="B285" i="33" s="1"/>
  <c r="A287" i="33"/>
  <c r="B287" i="33" s="1"/>
  <c r="A289" i="33"/>
  <c r="B289" i="33" s="1"/>
  <c r="A291" i="33"/>
  <c r="B291" i="33" s="1"/>
  <c r="A293" i="33"/>
  <c r="B293" i="33" s="1"/>
  <c r="A295" i="33"/>
  <c r="B295" i="33" s="1"/>
  <c r="A297" i="33"/>
  <c r="B297" i="33" s="1"/>
  <c r="A299" i="33"/>
  <c r="B299" i="33" s="1"/>
  <c r="A301" i="33"/>
  <c r="B301" i="33" s="1"/>
  <c r="A303" i="33"/>
  <c r="B303" i="33" s="1"/>
  <c r="A305" i="33"/>
  <c r="B305" i="33" s="1"/>
  <c r="A307" i="33"/>
  <c r="B307" i="33" s="1"/>
  <c r="A309" i="33"/>
  <c r="B309" i="33" s="1"/>
  <c r="A311" i="33"/>
  <c r="B311" i="33" s="1"/>
  <c r="A313" i="33"/>
  <c r="B313" i="33" s="1"/>
  <c r="A315" i="33"/>
  <c r="B315" i="33" s="1"/>
  <c r="A317" i="33"/>
  <c r="B317" i="33" s="1"/>
  <c r="A319" i="33"/>
  <c r="B319" i="33" s="1"/>
  <c r="A321" i="33"/>
  <c r="B321" i="33" s="1"/>
  <c r="A323" i="33"/>
  <c r="B323" i="33" s="1"/>
  <c r="A325" i="33"/>
  <c r="B325" i="33" s="1"/>
  <c r="A327" i="33"/>
  <c r="B327" i="33" s="1"/>
  <c r="A329" i="33"/>
  <c r="B329" i="33" s="1"/>
  <c r="A331" i="33"/>
  <c r="B331" i="33" s="1"/>
  <c r="A333" i="33"/>
  <c r="B333" i="33" s="1"/>
  <c r="A335" i="33"/>
  <c r="B335" i="33" s="1"/>
  <c r="A337" i="33"/>
  <c r="B337" i="33" s="1"/>
  <c r="A339" i="33"/>
  <c r="B339" i="33" s="1"/>
  <c r="A341" i="33"/>
  <c r="B341" i="33" s="1"/>
  <c r="A343" i="33"/>
  <c r="B343" i="33" s="1"/>
  <c r="A345" i="33"/>
  <c r="B345" i="33" s="1"/>
  <c r="A347" i="33"/>
  <c r="B347" i="33" s="1"/>
  <c r="A349" i="33"/>
  <c r="B349" i="33" s="1"/>
  <c r="A351" i="33"/>
  <c r="B351" i="33" s="1"/>
  <c r="A353" i="33"/>
  <c r="B353" i="33" s="1"/>
  <c r="A355" i="33"/>
  <c r="B355" i="33" s="1"/>
  <c r="A357" i="33"/>
  <c r="B357" i="33" s="1"/>
  <c r="A359" i="33"/>
  <c r="B359" i="33" s="1"/>
  <c r="A361" i="33"/>
  <c r="B361" i="33" s="1"/>
  <c r="A363" i="33"/>
  <c r="B363" i="33" s="1"/>
  <c r="A365" i="33"/>
  <c r="B365" i="33" s="1"/>
  <c r="A367" i="33"/>
  <c r="B367" i="33" s="1"/>
  <c r="A369" i="33"/>
  <c r="B369" i="33" s="1"/>
  <c r="A371" i="33"/>
  <c r="B371" i="33" s="1"/>
  <c r="A373" i="33"/>
  <c r="B373" i="33" s="1"/>
  <c r="A375" i="33"/>
  <c r="B375" i="33" s="1"/>
  <c r="A377" i="33"/>
  <c r="B377" i="33" s="1"/>
  <c r="A379" i="33"/>
  <c r="B379" i="33" s="1"/>
  <c r="A381" i="33"/>
  <c r="B381" i="33" s="1"/>
  <c r="A383" i="33"/>
  <c r="B383" i="33" s="1"/>
  <c r="A385" i="33"/>
  <c r="B385" i="33" s="1"/>
  <c r="A387" i="33"/>
  <c r="B387" i="33" s="1"/>
  <c r="A389" i="33"/>
  <c r="B389" i="33" s="1"/>
  <c r="A391" i="33"/>
  <c r="B391" i="33" s="1"/>
  <c r="A393" i="33"/>
  <c r="B393" i="33" s="1"/>
  <c r="A395" i="33"/>
  <c r="B395" i="33" s="1"/>
  <c r="A397" i="33"/>
  <c r="B397" i="33" s="1"/>
  <c r="A399" i="33"/>
  <c r="B399" i="33" s="1"/>
  <c r="A401" i="33"/>
  <c r="B401" i="33" s="1"/>
  <c r="A403" i="33"/>
  <c r="B403" i="33" s="1"/>
  <c r="A405" i="33"/>
  <c r="B405" i="33" s="1"/>
  <c r="A407" i="33"/>
  <c r="B407" i="33" s="1"/>
  <c r="A409" i="33"/>
  <c r="B409" i="33" s="1"/>
  <c r="A411" i="33"/>
  <c r="B411" i="33" s="1"/>
  <c r="A413" i="33"/>
  <c r="B413" i="33" s="1"/>
  <c r="A415" i="33"/>
  <c r="B415" i="33" s="1"/>
  <c r="A417" i="33"/>
  <c r="B417" i="33" s="1"/>
  <c r="A419" i="33"/>
  <c r="B419" i="33" s="1"/>
  <c r="A421" i="33"/>
  <c r="B421" i="33" s="1"/>
  <c r="A423" i="33"/>
  <c r="B423" i="33" s="1"/>
  <c r="A425" i="33"/>
  <c r="B425" i="33" s="1"/>
  <c r="A427" i="33"/>
  <c r="B427" i="33" s="1"/>
  <c r="A429" i="33"/>
  <c r="B429" i="33" s="1"/>
  <c r="A431" i="33"/>
  <c r="B431" i="33" s="1"/>
  <c r="A433" i="33"/>
  <c r="B433" i="33" s="1"/>
  <c r="A435" i="33"/>
  <c r="B435" i="33" s="1"/>
  <c r="A437" i="33"/>
  <c r="B437" i="33" s="1"/>
  <c r="A172" i="33"/>
  <c r="B172" i="33" s="1"/>
  <c r="A174" i="33"/>
  <c r="B174" i="33" s="1"/>
  <c r="A176" i="33"/>
  <c r="B176" i="33" s="1"/>
  <c r="A178" i="33"/>
  <c r="B178" i="33" s="1"/>
  <c r="A180" i="33"/>
  <c r="B180" i="33" s="1"/>
  <c r="A182" i="33"/>
  <c r="B182" i="33" s="1"/>
  <c r="A184" i="33"/>
  <c r="B184" i="33" s="1"/>
  <c r="A186" i="33"/>
  <c r="B186" i="33" s="1"/>
  <c r="A188" i="33"/>
  <c r="B188" i="33" s="1"/>
  <c r="A190" i="33"/>
  <c r="B190" i="33" s="1"/>
  <c r="A192" i="33"/>
  <c r="B192" i="33" s="1"/>
  <c r="A194" i="33"/>
  <c r="B194" i="33" s="1"/>
  <c r="A196" i="33"/>
  <c r="B196" i="33" s="1"/>
  <c r="A198" i="33"/>
  <c r="B198" i="33" s="1"/>
  <c r="A200" i="33"/>
  <c r="B200" i="33" s="1"/>
  <c r="A202" i="33"/>
  <c r="B202" i="33" s="1"/>
  <c r="A204" i="33"/>
  <c r="B204" i="33" s="1"/>
  <c r="A206" i="33"/>
  <c r="B206" i="33" s="1"/>
  <c r="A208" i="33"/>
  <c r="B208" i="33" s="1"/>
  <c r="A210" i="33"/>
  <c r="B210" i="33" s="1"/>
  <c r="A212" i="33"/>
  <c r="B212" i="33" s="1"/>
  <c r="A214" i="33"/>
  <c r="B214" i="33" s="1"/>
  <c r="A216" i="33"/>
  <c r="B216" i="33" s="1"/>
  <c r="A218" i="33"/>
  <c r="B218" i="33" s="1"/>
  <c r="A220" i="33"/>
  <c r="B220" i="33" s="1"/>
  <c r="A222" i="33"/>
  <c r="B222" i="33" s="1"/>
  <c r="A224" i="33"/>
  <c r="B224" i="33" s="1"/>
  <c r="A226" i="33"/>
  <c r="B226" i="33" s="1"/>
  <c r="A228" i="33"/>
  <c r="B228" i="33" s="1"/>
  <c r="A230" i="33"/>
  <c r="B230" i="33" s="1"/>
  <c r="A232" i="33"/>
  <c r="B232" i="33" s="1"/>
  <c r="A234" i="33"/>
  <c r="B234" i="33" s="1"/>
  <c r="A236" i="33"/>
  <c r="B236" i="33" s="1"/>
  <c r="A238" i="33"/>
  <c r="B238" i="33" s="1"/>
  <c r="A240" i="33"/>
  <c r="B240" i="33" s="1"/>
  <c r="A242" i="33"/>
  <c r="B242" i="33" s="1"/>
  <c r="A244" i="33"/>
  <c r="B244" i="33" s="1"/>
  <c r="A246" i="33"/>
  <c r="B246" i="33" s="1"/>
  <c r="A248" i="33"/>
  <c r="B248" i="33" s="1"/>
  <c r="A250" i="33"/>
  <c r="B250" i="33" s="1"/>
  <c r="A252" i="33"/>
  <c r="B252" i="33" s="1"/>
  <c r="A254" i="33"/>
  <c r="B254" i="33" s="1"/>
  <c r="A256" i="33"/>
  <c r="B256" i="33" s="1"/>
  <c r="A258" i="33"/>
  <c r="B258" i="33" s="1"/>
  <c r="A260" i="33"/>
  <c r="B260" i="33" s="1"/>
  <c r="A262" i="33"/>
  <c r="B262" i="33" s="1"/>
  <c r="A264" i="33"/>
  <c r="B264" i="33" s="1"/>
  <c r="A266" i="33"/>
  <c r="B266" i="33" s="1"/>
  <c r="A268" i="33"/>
  <c r="B268" i="33" s="1"/>
  <c r="A270" i="33"/>
  <c r="B270" i="33" s="1"/>
  <c r="A272" i="33"/>
  <c r="B272" i="33" s="1"/>
  <c r="A274" i="33"/>
  <c r="B274" i="33" s="1"/>
  <c r="A276" i="33"/>
  <c r="B276" i="33" s="1"/>
  <c r="A278" i="33"/>
  <c r="B278" i="33" s="1"/>
  <c r="A280" i="33"/>
  <c r="B280" i="33" s="1"/>
  <c r="A282" i="33"/>
  <c r="B282" i="33" s="1"/>
  <c r="A284" i="33"/>
  <c r="B284" i="33" s="1"/>
  <c r="A286" i="33"/>
  <c r="B286" i="33" s="1"/>
  <c r="A288" i="33"/>
  <c r="B288" i="33" s="1"/>
  <c r="A290" i="33"/>
  <c r="B290" i="33" s="1"/>
  <c r="A292" i="33"/>
  <c r="B292" i="33" s="1"/>
  <c r="A294" i="33"/>
  <c r="B294" i="33" s="1"/>
  <c r="A296" i="33"/>
  <c r="B296" i="33" s="1"/>
  <c r="A298" i="33"/>
  <c r="B298" i="33" s="1"/>
  <c r="A300" i="33"/>
  <c r="B300" i="33" s="1"/>
  <c r="A302" i="33"/>
  <c r="B302" i="33" s="1"/>
  <c r="A304" i="33"/>
  <c r="B304" i="33" s="1"/>
  <c r="A306" i="33"/>
  <c r="B306" i="33" s="1"/>
  <c r="A308" i="33"/>
  <c r="B308" i="33" s="1"/>
  <c r="A310" i="33"/>
  <c r="B310" i="33" s="1"/>
  <c r="A312" i="33"/>
  <c r="B312" i="33" s="1"/>
  <c r="A314" i="33"/>
  <c r="B314" i="33" s="1"/>
  <c r="A316" i="33"/>
  <c r="B316" i="33" s="1"/>
  <c r="A318" i="33"/>
  <c r="B318" i="33" s="1"/>
  <c r="A320" i="33"/>
  <c r="B320" i="33" s="1"/>
  <c r="A322" i="33"/>
  <c r="B322" i="33" s="1"/>
  <c r="A324" i="33"/>
  <c r="B324" i="33" s="1"/>
  <c r="A326" i="33"/>
  <c r="B326" i="33" s="1"/>
  <c r="A328" i="33"/>
  <c r="B328" i="33" s="1"/>
  <c r="A330" i="33"/>
  <c r="B330" i="33" s="1"/>
  <c r="A332" i="33"/>
  <c r="B332" i="33" s="1"/>
  <c r="A334" i="33"/>
  <c r="B334" i="33" s="1"/>
  <c r="A336" i="33"/>
  <c r="B336" i="33" s="1"/>
  <c r="A338" i="33"/>
  <c r="B338" i="33" s="1"/>
  <c r="A340" i="33"/>
  <c r="B340" i="33" s="1"/>
  <c r="A342" i="33"/>
  <c r="B342" i="33" s="1"/>
  <c r="A346" i="33"/>
  <c r="B346" i="33" s="1"/>
  <c r="A350" i="33"/>
  <c r="B350" i="33" s="1"/>
  <c r="A354" i="33"/>
  <c r="B354" i="33" s="1"/>
  <c r="A358" i="33"/>
  <c r="B358" i="33" s="1"/>
  <c r="A362" i="33"/>
  <c r="B362" i="33" s="1"/>
  <c r="A366" i="33"/>
  <c r="B366" i="33" s="1"/>
  <c r="A370" i="33"/>
  <c r="B370" i="33" s="1"/>
  <c r="A374" i="33"/>
  <c r="B374" i="33" s="1"/>
  <c r="A378" i="33"/>
  <c r="B378" i="33" s="1"/>
  <c r="A382" i="33"/>
  <c r="B382" i="33" s="1"/>
  <c r="A386" i="33"/>
  <c r="B386" i="33" s="1"/>
  <c r="A390" i="33"/>
  <c r="B390" i="33" s="1"/>
  <c r="A394" i="33"/>
  <c r="B394" i="33" s="1"/>
  <c r="A398" i="33"/>
  <c r="B398" i="33" s="1"/>
  <c r="A402" i="33"/>
  <c r="B402" i="33" s="1"/>
  <c r="A406" i="33"/>
  <c r="B406" i="33" s="1"/>
  <c r="A410" i="33"/>
  <c r="B410" i="33" s="1"/>
  <c r="A414" i="33"/>
  <c r="B414" i="33" s="1"/>
  <c r="A418" i="33"/>
  <c r="B418" i="33" s="1"/>
  <c r="A422" i="33"/>
  <c r="B422" i="33" s="1"/>
  <c r="A426" i="33"/>
  <c r="B426" i="33" s="1"/>
  <c r="A430" i="33"/>
  <c r="B430" i="33" s="1"/>
  <c r="A434" i="33"/>
  <c r="B434" i="33" s="1"/>
  <c r="A438" i="33"/>
  <c r="B438" i="33" s="1"/>
  <c r="A440" i="33"/>
  <c r="B440" i="33" s="1"/>
  <c r="A442" i="33"/>
  <c r="B442" i="33" s="1"/>
  <c r="A444" i="33"/>
  <c r="B444" i="33" s="1"/>
  <c r="A446" i="33"/>
  <c r="B446" i="33" s="1"/>
  <c r="A448" i="33"/>
  <c r="B448" i="33" s="1"/>
  <c r="A450" i="33"/>
  <c r="B450" i="33" s="1"/>
  <c r="A452" i="33"/>
  <c r="B452" i="33" s="1"/>
  <c r="A454" i="33"/>
  <c r="B454" i="33" s="1"/>
  <c r="A456" i="33"/>
  <c r="B456" i="33" s="1"/>
  <c r="A458" i="33"/>
  <c r="B458" i="33" s="1"/>
  <c r="A460" i="33"/>
  <c r="B460" i="33" s="1"/>
  <c r="A462" i="33"/>
  <c r="B462" i="33" s="1"/>
  <c r="A464" i="33"/>
  <c r="B464" i="33" s="1"/>
  <c r="A466" i="33"/>
  <c r="B466" i="33" s="1"/>
  <c r="A468" i="33"/>
  <c r="B468" i="33" s="1"/>
  <c r="A470" i="33"/>
  <c r="B470" i="33" s="1"/>
  <c r="A472" i="33"/>
  <c r="B472" i="33" s="1"/>
  <c r="A474" i="33"/>
  <c r="B474" i="33" s="1"/>
  <c r="A476" i="33"/>
  <c r="B476" i="33" s="1"/>
  <c r="A478" i="33"/>
  <c r="B478" i="33" s="1"/>
  <c r="A480" i="33"/>
  <c r="B480" i="33" s="1"/>
  <c r="A482" i="33"/>
  <c r="B482" i="33" s="1"/>
  <c r="A484" i="33"/>
  <c r="B484" i="33" s="1"/>
  <c r="A486" i="33"/>
  <c r="B486" i="33" s="1"/>
  <c r="A488" i="33"/>
  <c r="B488" i="33" s="1"/>
  <c r="A490" i="33"/>
  <c r="B490" i="33" s="1"/>
  <c r="A492" i="33"/>
  <c r="B492" i="33" s="1"/>
  <c r="A494" i="33"/>
  <c r="B494" i="33" s="1"/>
  <c r="A496" i="33"/>
  <c r="B496" i="33" s="1"/>
  <c r="A498" i="33"/>
  <c r="B498" i="33" s="1"/>
  <c r="A500" i="33"/>
  <c r="B500" i="33" s="1"/>
  <c r="A502" i="33"/>
  <c r="B502" i="33" s="1"/>
  <c r="A504" i="33"/>
  <c r="B504" i="33" s="1"/>
  <c r="A506" i="33"/>
  <c r="B506" i="33" s="1"/>
  <c r="A508" i="33"/>
  <c r="B508" i="33" s="1"/>
  <c r="A510" i="33"/>
  <c r="B510" i="33" s="1"/>
  <c r="A512" i="33"/>
  <c r="B512" i="33" s="1"/>
  <c r="A514" i="33"/>
  <c r="B514" i="33" s="1"/>
  <c r="A516" i="33"/>
  <c r="B516" i="33" s="1"/>
  <c r="A518" i="33"/>
  <c r="B518" i="33" s="1"/>
  <c r="A520" i="33"/>
  <c r="B520" i="33" s="1"/>
  <c r="A522" i="33"/>
  <c r="B522" i="33" s="1"/>
  <c r="A524" i="33"/>
  <c r="B524" i="33" s="1"/>
  <c r="A526" i="33"/>
  <c r="B526" i="33" s="1"/>
  <c r="A528" i="33"/>
  <c r="B528" i="33" s="1"/>
  <c r="A530" i="33"/>
  <c r="B530" i="33" s="1"/>
  <c r="A532" i="33"/>
  <c r="B532" i="33" s="1"/>
  <c r="A534" i="33"/>
  <c r="B534" i="33" s="1"/>
  <c r="A536" i="33"/>
  <c r="B536" i="33" s="1"/>
  <c r="A538" i="33"/>
  <c r="B538" i="33" s="1"/>
  <c r="A540" i="33"/>
  <c r="B540" i="33" s="1"/>
  <c r="A542" i="33"/>
  <c r="B542" i="33" s="1"/>
  <c r="A544" i="33"/>
  <c r="B544" i="33" s="1"/>
  <c r="A546" i="33"/>
  <c r="B546" i="33" s="1"/>
  <c r="A548" i="33"/>
  <c r="B548" i="33" s="1"/>
  <c r="A550" i="33"/>
  <c r="B550" i="33" s="1"/>
  <c r="A552" i="33"/>
  <c r="B552" i="33" s="1"/>
  <c r="A554" i="33"/>
  <c r="B554" i="33" s="1"/>
  <c r="A556" i="33"/>
  <c r="B556" i="33" s="1"/>
  <c r="A558" i="33"/>
  <c r="B558" i="33" s="1"/>
  <c r="A560" i="33"/>
  <c r="B560" i="33" s="1"/>
  <c r="A562" i="33"/>
  <c r="B562" i="33" s="1"/>
  <c r="A564" i="33"/>
  <c r="B564" i="33" s="1"/>
  <c r="A566" i="33"/>
  <c r="B566" i="33" s="1"/>
  <c r="A568" i="33"/>
  <c r="B568" i="33" s="1"/>
  <c r="A570" i="33"/>
  <c r="B570" i="33" s="1"/>
  <c r="A572" i="33"/>
  <c r="B572" i="33" s="1"/>
  <c r="A574" i="33"/>
  <c r="B574" i="33" s="1"/>
  <c r="A576" i="33"/>
  <c r="B576" i="33" s="1"/>
  <c r="A578" i="33"/>
  <c r="B578" i="33" s="1"/>
  <c r="A580" i="33"/>
  <c r="B580" i="33" s="1"/>
  <c r="A582" i="33"/>
  <c r="B582" i="33" s="1"/>
  <c r="A584" i="33"/>
  <c r="B584" i="33" s="1"/>
  <c r="A586" i="33"/>
  <c r="B586" i="33" s="1"/>
  <c r="A588" i="33"/>
  <c r="B588" i="33" s="1"/>
  <c r="A590" i="33"/>
  <c r="B590" i="33" s="1"/>
  <c r="A592" i="33"/>
  <c r="B592" i="33" s="1"/>
  <c r="A594" i="33"/>
  <c r="B594" i="33" s="1"/>
  <c r="A596" i="33"/>
  <c r="B596" i="33" s="1"/>
  <c r="A598" i="33"/>
  <c r="B598" i="33" s="1"/>
  <c r="A600" i="33"/>
  <c r="B600" i="33" s="1"/>
  <c r="A602" i="33"/>
  <c r="B602" i="33" s="1"/>
  <c r="A604" i="33"/>
  <c r="B604" i="33" s="1"/>
  <c r="A606" i="33"/>
  <c r="B606" i="33" s="1"/>
  <c r="A608" i="33"/>
  <c r="B608" i="33" s="1"/>
  <c r="A610" i="33"/>
  <c r="B610" i="33" s="1"/>
  <c r="A612" i="33"/>
  <c r="B612" i="33" s="1"/>
  <c r="A614" i="33"/>
  <c r="B614" i="33" s="1"/>
  <c r="A616" i="33"/>
  <c r="B616" i="33" s="1"/>
  <c r="A618" i="33"/>
  <c r="B618" i="33" s="1"/>
  <c r="A620" i="33"/>
  <c r="B620" i="33" s="1"/>
  <c r="A622" i="33"/>
  <c r="B622" i="33" s="1"/>
  <c r="A624" i="33"/>
  <c r="B624" i="33" s="1"/>
  <c r="A626" i="33"/>
  <c r="B626" i="33" s="1"/>
  <c r="A628" i="33"/>
  <c r="B628" i="33" s="1"/>
  <c r="A630" i="33"/>
  <c r="B630" i="33" s="1"/>
  <c r="A632" i="33"/>
  <c r="B632" i="33" s="1"/>
  <c r="A634" i="33"/>
  <c r="B634" i="33" s="1"/>
  <c r="A636" i="33"/>
  <c r="B636" i="33" s="1"/>
  <c r="A638" i="33"/>
  <c r="B638" i="33" s="1"/>
  <c r="A640" i="33"/>
  <c r="B640" i="33" s="1"/>
  <c r="A642" i="33"/>
  <c r="B642" i="33" s="1"/>
  <c r="A644" i="33"/>
  <c r="B644" i="33" s="1"/>
  <c r="A646" i="33"/>
  <c r="B646" i="33" s="1"/>
  <c r="A648" i="33"/>
  <c r="B648" i="33" s="1"/>
  <c r="A650" i="33"/>
  <c r="B650" i="33" s="1"/>
  <c r="A652" i="33"/>
  <c r="B652" i="33" s="1"/>
  <c r="A654" i="33"/>
  <c r="B654" i="33" s="1"/>
  <c r="A656" i="33"/>
  <c r="B656" i="33" s="1"/>
  <c r="A658" i="33"/>
  <c r="B658" i="33" s="1"/>
  <c r="A660" i="33"/>
  <c r="B660" i="33" s="1"/>
  <c r="A662" i="33"/>
  <c r="B662" i="33" s="1"/>
  <c r="A664" i="33"/>
  <c r="B664" i="33" s="1"/>
  <c r="A666" i="33"/>
  <c r="B666" i="33" s="1"/>
  <c r="A668" i="33"/>
  <c r="B668" i="33" s="1"/>
  <c r="A670" i="33"/>
  <c r="B670" i="33" s="1"/>
  <c r="A672" i="33"/>
  <c r="B672" i="33" s="1"/>
  <c r="A674" i="33"/>
  <c r="B674" i="33" s="1"/>
  <c r="A676" i="33"/>
  <c r="B676" i="33" s="1"/>
  <c r="A678" i="33"/>
  <c r="B678" i="33" s="1"/>
  <c r="A680" i="33"/>
  <c r="B680" i="33" s="1"/>
  <c r="A682" i="33"/>
  <c r="B682" i="33" s="1"/>
  <c r="A684" i="33"/>
  <c r="B684" i="33" s="1"/>
  <c r="A686" i="33"/>
  <c r="B686" i="33" s="1"/>
  <c r="A688" i="33"/>
  <c r="B688" i="33" s="1"/>
  <c r="A690" i="33"/>
  <c r="B690" i="33" s="1"/>
  <c r="A692" i="33"/>
  <c r="B692" i="33" s="1"/>
  <c r="A694" i="33"/>
  <c r="B694" i="33" s="1"/>
  <c r="A696" i="33"/>
  <c r="B696" i="33" s="1"/>
  <c r="A698" i="33"/>
  <c r="B698" i="33" s="1"/>
  <c r="A700" i="33"/>
  <c r="B700" i="33" s="1"/>
  <c r="A702" i="33"/>
  <c r="B702" i="33" s="1"/>
  <c r="A704" i="33"/>
  <c r="B704" i="33" s="1"/>
  <c r="A706" i="33"/>
  <c r="B706" i="33" s="1"/>
  <c r="A708" i="33"/>
  <c r="B708" i="33" s="1"/>
  <c r="A710" i="33"/>
  <c r="B710" i="33" s="1"/>
  <c r="A712" i="33"/>
  <c r="B712" i="33" s="1"/>
  <c r="A714" i="33"/>
  <c r="B714" i="33" s="1"/>
  <c r="A716" i="33"/>
  <c r="B716" i="33" s="1"/>
  <c r="A718" i="33"/>
  <c r="B718" i="33" s="1"/>
  <c r="A720" i="33"/>
  <c r="B720" i="33" s="1"/>
  <c r="A722" i="33"/>
  <c r="B722" i="33" s="1"/>
  <c r="A724" i="33"/>
  <c r="B724" i="33" s="1"/>
  <c r="A726" i="33"/>
  <c r="B726" i="33" s="1"/>
  <c r="A728" i="33"/>
  <c r="B728" i="33" s="1"/>
  <c r="A344" i="33"/>
  <c r="B344" i="33" s="1"/>
  <c r="A348" i="33"/>
  <c r="B348" i="33" s="1"/>
  <c r="A352" i="33"/>
  <c r="B352" i="33" s="1"/>
  <c r="A356" i="33"/>
  <c r="B356" i="33" s="1"/>
  <c r="A360" i="33"/>
  <c r="B360" i="33" s="1"/>
  <c r="A364" i="33"/>
  <c r="B364" i="33" s="1"/>
  <c r="A368" i="33"/>
  <c r="B368" i="33" s="1"/>
  <c r="A372" i="33"/>
  <c r="B372" i="33" s="1"/>
  <c r="A376" i="33"/>
  <c r="B376" i="33" s="1"/>
  <c r="A380" i="33"/>
  <c r="B380" i="33" s="1"/>
  <c r="A384" i="33"/>
  <c r="B384" i="33" s="1"/>
  <c r="A388" i="33"/>
  <c r="B388" i="33" s="1"/>
  <c r="A392" i="33"/>
  <c r="B392" i="33" s="1"/>
  <c r="A396" i="33"/>
  <c r="B396" i="33" s="1"/>
  <c r="A400" i="33"/>
  <c r="B400" i="33" s="1"/>
  <c r="A404" i="33"/>
  <c r="B404" i="33" s="1"/>
  <c r="A408" i="33"/>
  <c r="B408" i="33" s="1"/>
  <c r="A412" i="33"/>
  <c r="B412" i="33" s="1"/>
  <c r="A416" i="33"/>
  <c r="B416" i="33" s="1"/>
  <c r="A420" i="33"/>
  <c r="B420" i="33" s="1"/>
  <c r="A424" i="33"/>
  <c r="B424" i="33" s="1"/>
  <c r="A428" i="33"/>
  <c r="B428" i="33" s="1"/>
  <c r="A432" i="33"/>
  <c r="B432" i="33" s="1"/>
  <c r="A436" i="33"/>
  <c r="B436" i="33" s="1"/>
  <c r="A439" i="33"/>
  <c r="B439" i="33" s="1"/>
  <c r="A441" i="33"/>
  <c r="B441" i="33" s="1"/>
  <c r="A443" i="33"/>
  <c r="B443" i="33" s="1"/>
  <c r="A445" i="33"/>
  <c r="B445" i="33" s="1"/>
  <c r="A447" i="33"/>
  <c r="B447" i="33" s="1"/>
  <c r="A449" i="33"/>
  <c r="B449" i="33" s="1"/>
  <c r="A451" i="33"/>
  <c r="B451" i="33" s="1"/>
  <c r="A453" i="33"/>
  <c r="B453" i="33" s="1"/>
  <c r="A455" i="33"/>
  <c r="B455" i="33" s="1"/>
  <c r="A457" i="33"/>
  <c r="B457" i="33" s="1"/>
  <c r="A459" i="33"/>
  <c r="B459" i="33" s="1"/>
  <c r="A461" i="33"/>
  <c r="B461" i="33" s="1"/>
  <c r="A463" i="33"/>
  <c r="B463" i="33" s="1"/>
  <c r="A465" i="33"/>
  <c r="B465" i="33" s="1"/>
  <c r="A467" i="33"/>
  <c r="B467" i="33" s="1"/>
  <c r="A469" i="33"/>
  <c r="B469" i="33" s="1"/>
  <c r="A471" i="33"/>
  <c r="B471" i="33" s="1"/>
  <c r="A473" i="33"/>
  <c r="B473" i="33" s="1"/>
  <c r="A475" i="33"/>
  <c r="B475" i="33" s="1"/>
  <c r="A477" i="33"/>
  <c r="B477" i="33" s="1"/>
  <c r="A479" i="33"/>
  <c r="B479" i="33" s="1"/>
  <c r="A481" i="33"/>
  <c r="B481" i="33" s="1"/>
  <c r="A483" i="33"/>
  <c r="B483" i="33" s="1"/>
  <c r="A485" i="33"/>
  <c r="B485" i="33" s="1"/>
  <c r="A487" i="33"/>
  <c r="B487" i="33" s="1"/>
  <c r="A489" i="33"/>
  <c r="B489" i="33" s="1"/>
  <c r="A491" i="33"/>
  <c r="B491" i="33" s="1"/>
  <c r="A493" i="33"/>
  <c r="B493" i="33" s="1"/>
  <c r="A495" i="33"/>
  <c r="B495" i="33" s="1"/>
  <c r="A497" i="33"/>
  <c r="B497" i="33" s="1"/>
  <c r="A499" i="33"/>
  <c r="B499" i="33" s="1"/>
  <c r="A501" i="33"/>
  <c r="B501" i="33" s="1"/>
  <c r="A503" i="33"/>
  <c r="B503" i="33" s="1"/>
  <c r="A505" i="33"/>
  <c r="B505" i="33" s="1"/>
  <c r="A507" i="33"/>
  <c r="B507" i="33" s="1"/>
  <c r="A509" i="33"/>
  <c r="B509" i="33" s="1"/>
  <c r="A511" i="33"/>
  <c r="B511" i="33" s="1"/>
  <c r="A513" i="33"/>
  <c r="B513" i="33" s="1"/>
  <c r="A515" i="33"/>
  <c r="B515" i="33" s="1"/>
  <c r="A517" i="33"/>
  <c r="B517" i="33" s="1"/>
  <c r="A519" i="33"/>
  <c r="B519" i="33" s="1"/>
  <c r="A521" i="33"/>
  <c r="B521" i="33" s="1"/>
  <c r="A523" i="33"/>
  <c r="B523" i="33" s="1"/>
  <c r="A525" i="33"/>
  <c r="B525" i="33" s="1"/>
  <c r="A527" i="33"/>
  <c r="B527" i="33" s="1"/>
  <c r="A529" i="33"/>
  <c r="B529" i="33" s="1"/>
  <c r="A531" i="33"/>
  <c r="B531" i="33" s="1"/>
  <c r="A533" i="33"/>
  <c r="B533" i="33" s="1"/>
  <c r="A535" i="33"/>
  <c r="B535" i="33" s="1"/>
  <c r="A537" i="33"/>
  <c r="B537" i="33" s="1"/>
  <c r="A539" i="33"/>
  <c r="B539" i="33" s="1"/>
  <c r="A541" i="33"/>
  <c r="B541" i="33" s="1"/>
  <c r="A543" i="33"/>
  <c r="B543" i="33" s="1"/>
  <c r="A545" i="33"/>
  <c r="B545" i="33" s="1"/>
  <c r="A547" i="33"/>
  <c r="B547" i="33" s="1"/>
  <c r="A549" i="33"/>
  <c r="B549" i="33" s="1"/>
  <c r="A551" i="33"/>
  <c r="B551" i="33" s="1"/>
  <c r="A553" i="33"/>
  <c r="B553" i="33" s="1"/>
  <c r="A555" i="33"/>
  <c r="B555" i="33" s="1"/>
  <c r="A557" i="33"/>
  <c r="B557" i="33" s="1"/>
  <c r="A559" i="33"/>
  <c r="B559" i="33" s="1"/>
  <c r="A561" i="33"/>
  <c r="B561" i="33" s="1"/>
  <c r="A563" i="33"/>
  <c r="B563" i="33" s="1"/>
  <c r="A565" i="33"/>
  <c r="B565" i="33" s="1"/>
  <c r="A567" i="33"/>
  <c r="B567" i="33" s="1"/>
  <c r="A569" i="33"/>
  <c r="B569" i="33" s="1"/>
  <c r="A571" i="33"/>
  <c r="B571" i="33" s="1"/>
  <c r="A573" i="33"/>
  <c r="B573" i="33" s="1"/>
  <c r="A575" i="33"/>
  <c r="B575" i="33" s="1"/>
  <c r="A577" i="33"/>
  <c r="B577" i="33" s="1"/>
  <c r="A579" i="33"/>
  <c r="B579" i="33" s="1"/>
  <c r="A581" i="33"/>
  <c r="B581" i="33" s="1"/>
  <c r="A583" i="33"/>
  <c r="B583" i="33" s="1"/>
  <c r="A585" i="33"/>
  <c r="B585" i="33" s="1"/>
  <c r="A587" i="33"/>
  <c r="B587" i="33" s="1"/>
  <c r="A589" i="33"/>
  <c r="B589" i="33" s="1"/>
  <c r="A591" i="33"/>
  <c r="B591" i="33" s="1"/>
  <c r="A593" i="33"/>
  <c r="B593" i="33" s="1"/>
  <c r="A595" i="33"/>
  <c r="B595" i="33" s="1"/>
  <c r="A597" i="33"/>
  <c r="B597" i="33" s="1"/>
  <c r="A599" i="33"/>
  <c r="B599" i="33" s="1"/>
  <c r="A601" i="33"/>
  <c r="B601" i="33" s="1"/>
  <c r="A603" i="33"/>
  <c r="B603" i="33" s="1"/>
  <c r="A605" i="33"/>
  <c r="B605" i="33" s="1"/>
  <c r="A607" i="33"/>
  <c r="B607" i="33" s="1"/>
  <c r="A609" i="33"/>
  <c r="B609" i="33" s="1"/>
  <c r="A611" i="33"/>
  <c r="B611" i="33" s="1"/>
  <c r="A613" i="33"/>
  <c r="B613" i="33" s="1"/>
  <c r="A615" i="33"/>
  <c r="B615" i="33" s="1"/>
  <c r="A617" i="33"/>
  <c r="B617" i="33" s="1"/>
  <c r="A619" i="33"/>
  <c r="B619" i="33" s="1"/>
  <c r="A621" i="33"/>
  <c r="B621" i="33" s="1"/>
  <c r="A623" i="33"/>
  <c r="B623" i="33" s="1"/>
  <c r="A625" i="33"/>
  <c r="B625" i="33" s="1"/>
  <c r="A627" i="33"/>
  <c r="B627" i="33" s="1"/>
  <c r="A629" i="33"/>
  <c r="B629" i="33" s="1"/>
  <c r="A631" i="33"/>
  <c r="B631" i="33" s="1"/>
  <c r="A633" i="33"/>
  <c r="B633" i="33" s="1"/>
  <c r="A635" i="33"/>
  <c r="B635" i="33" s="1"/>
  <c r="A637" i="33"/>
  <c r="B637" i="33" s="1"/>
  <c r="A639" i="33"/>
  <c r="B639" i="33" s="1"/>
  <c r="A641" i="33"/>
  <c r="B641" i="33" s="1"/>
  <c r="A643" i="33"/>
  <c r="B643" i="33" s="1"/>
  <c r="A645" i="33"/>
  <c r="B645" i="33" s="1"/>
  <c r="A647" i="33"/>
  <c r="B647" i="33" s="1"/>
  <c r="A649" i="33"/>
  <c r="B649" i="33" s="1"/>
  <c r="A651" i="33"/>
  <c r="B651" i="33" s="1"/>
  <c r="A653" i="33"/>
  <c r="B653" i="33" s="1"/>
  <c r="A655" i="33"/>
  <c r="B655" i="33" s="1"/>
  <c r="A657" i="33"/>
  <c r="B657" i="33" s="1"/>
  <c r="A659" i="33"/>
  <c r="B659" i="33" s="1"/>
  <c r="A661" i="33"/>
  <c r="B661" i="33" s="1"/>
  <c r="A663" i="33"/>
  <c r="B663" i="33" s="1"/>
  <c r="A665" i="33"/>
  <c r="B665" i="33" s="1"/>
  <c r="A667" i="33"/>
  <c r="B667" i="33" s="1"/>
  <c r="A669" i="33"/>
  <c r="B669" i="33" s="1"/>
  <c r="A671" i="33"/>
  <c r="B671" i="33" s="1"/>
  <c r="A673" i="33"/>
  <c r="B673" i="33" s="1"/>
  <c r="A675" i="33"/>
  <c r="B675" i="33" s="1"/>
  <c r="A677" i="33"/>
  <c r="B677" i="33" s="1"/>
  <c r="A679" i="33"/>
  <c r="B679" i="33" s="1"/>
  <c r="A681" i="33"/>
  <c r="B681" i="33" s="1"/>
  <c r="A683" i="33"/>
  <c r="B683" i="33" s="1"/>
  <c r="A685" i="33"/>
  <c r="B685" i="33" s="1"/>
  <c r="A687" i="33"/>
  <c r="B687" i="33" s="1"/>
  <c r="A689" i="33"/>
  <c r="B689" i="33" s="1"/>
  <c r="A691" i="33"/>
  <c r="B691" i="33" s="1"/>
  <c r="A693" i="33"/>
  <c r="B693" i="33" s="1"/>
  <c r="A695" i="33"/>
  <c r="B695" i="33" s="1"/>
  <c r="A697" i="33"/>
  <c r="B697" i="33" s="1"/>
  <c r="A699" i="33"/>
  <c r="B699" i="33" s="1"/>
  <c r="A701" i="33"/>
  <c r="B701" i="33" s="1"/>
  <c r="A703" i="33"/>
  <c r="B703" i="33" s="1"/>
  <c r="A705" i="33"/>
  <c r="B705" i="33" s="1"/>
  <c r="A707" i="33"/>
  <c r="B707" i="33" s="1"/>
  <c r="A709" i="33"/>
  <c r="B709" i="33" s="1"/>
  <c r="A711" i="33"/>
  <c r="B711" i="33" s="1"/>
  <c r="A713" i="33"/>
  <c r="B713" i="33" s="1"/>
  <c r="A715" i="33"/>
  <c r="B715" i="33" s="1"/>
  <c r="A717" i="33"/>
  <c r="B717" i="33" s="1"/>
  <c r="A719" i="33"/>
  <c r="B719" i="33" s="1"/>
  <c r="A721" i="33"/>
  <c r="B721" i="33" s="1"/>
  <c r="A723" i="33"/>
  <c r="B723" i="33" s="1"/>
  <c r="A725" i="33"/>
  <c r="B725" i="33" s="1"/>
  <c r="A727" i="33"/>
  <c r="B727" i="33" s="1"/>
  <c r="A729" i="33"/>
  <c r="B729" i="33" s="1"/>
  <c r="A999" i="33"/>
  <c r="B999" i="33" s="1"/>
  <c r="A997" i="33"/>
  <c r="B997" i="33" s="1"/>
  <c r="A995" i="33"/>
  <c r="B995" i="33" s="1"/>
  <c r="A993" i="33"/>
  <c r="B993" i="33" s="1"/>
  <c r="A991" i="33"/>
  <c r="B991" i="33" s="1"/>
  <c r="A989" i="33"/>
  <c r="B989" i="33" s="1"/>
  <c r="A987" i="33"/>
  <c r="B987" i="33" s="1"/>
  <c r="A985" i="33"/>
  <c r="B985" i="33" s="1"/>
  <c r="A983" i="33"/>
  <c r="B983" i="33" s="1"/>
  <c r="A981" i="33"/>
  <c r="B981" i="33" s="1"/>
  <c r="A979" i="33"/>
  <c r="B979" i="33" s="1"/>
  <c r="A977" i="33"/>
  <c r="B977" i="33" s="1"/>
  <c r="A975" i="33"/>
  <c r="B975" i="33" s="1"/>
  <c r="A973" i="33"/>
  <c r="B973" i="33" s="1"/>
  <c r="A971" i="33"/>
  <c r="B971" i="33" s="1"/>
  <c r="A969" i="33"/>
  <c r="B969" i="33" s="1"/>
  <c r="A967" i="33"/>
  <c r="B967" i="33" s="1"/>
  <c r="A965" i="33"/>
  <c r="B965" i="33" s="1"/>
  <c r="A963" i="33"/>
  <c r="B963" i="33" s="1"/>
  <c r="A961" i="33"/>
  <c r="B961" i="33" s="1"/>
  <c r="A959" i="33"/>
  <c r="B959" i="33" s="1"/>
  <c r="A957" i="33"/>
  <c r="B957" i="33" s="1"/>
  <c r="A955" i="33"/>
  <c r="B955" i="33" s="1"/>
  <c r="A953" i="33"/>
  <c r="B953" i="33" s="1"/>
  <c r="A951" i="33"/>
  <c r="B951" i="33" s="1"/>
  <c r="A949" i="33"/>
  <c r="B949" i="33" s="1"/>
  <c r="A947" i="33"/>
  <c r="B947" i="33" s="1"/>
  <c r="A945" i="33"/>
  <c r="B945" i="33" s="1"/>
  <c r="A943" i="33"/>
  <c r="B943" i="33" s="1"/>
  <c r="A941" i="33"/>
  <c r="B941" i="33" s="1"/>
  <c r="A939" i="33"/>
  <c r="B939" i="33" s="1"/>
  <c r="A937" i="33"/>
  <c r="B937" i="33" s="1"/>
  <c r="A935" i="33"/>
  <c r="B935" i="33" s="1"/>
  <c r="A933" i="33"/>
  <c r="B933" i="33" s="1"/>
  <c r="A931" i="33"/>
  <c r="B931" i="33" s="1"/>
  <c r="A929" i="33"/>
  <c r="B929" i="33" s="1"/>
  <c r="A927" i="33"/>
  <c r="B927" i="33" s="1"/>
  <c r="A925" i="33"/>
  <c r="B925" i="33" s="1"/>
  <c r="A923" i="33"/>
  <c r="B923" i="33" s="1"/>
  <c r="A921" i="33"/>
  <c r="B921" i="33" s="1"/>
  <c r="A919" i="33"/>
  <c r="B919" i="33" s="1"/>
  <c r="A917" i="33"/>
  <c r="B917" i="33" s="1"/>
  <c r="A915" i="33"/>
  <c r="B915" i="33" s="1"/>
  <c r="A913" i="33"/>
  <c r="B913" i="33" s="1"/>
  <c r="A911" i="33"/>
  <c r="B911" i="33" s="1"/>
  <c r="A909" i="33"/>
  <c r="B909" i="33" s="1"/>
  <c r="A907" i="33"/>
  <c r="B907" i="33" s="1"/>
  <c r="A905" i="33"/>
  <c r="B905" i="33" s="1"/>
  <c r="A903" i="33"/>
  <c r="B903" i="33" s="1"/>
  <c r="A901" i="33"/>
  <c r="B901" i="33" s="1"/>
  <c r="A899" i="33"/>
  <c r="B899" i="33" s="1"/>
  <c r="A897" i="33"/>
  <c r="B897" i="33" s="1"/>
  <c r="A895" i="33"/>
  <c r="B895" i="33" s="1"/>
  <c r="A893" i="33"/>
  <c r="B893" i="33" s="1"/>
  <c r="A891" i="33"/>
  <c r="B891" i="33" s="1"/>
  <c r="A889" i="33"/>
  <c r="B889" i="33" s="1"/>
  <c r="A887" i="33"/>
  <c r="B887" i="33" s="1"/>
  <c r="A885" i="33"/>
  <c r="B885" i="33" s="1"/>
  <c r="A883" i="33"/>
  <c r="B883" i="33" s="1"/>
  <c r="A881" i="33"/>
  <c r="B881" i="33" s="1"/>
  <c r="A879" i="33"/>
  <c r="B879" i="33" s="1"/>
  <c r="A877" i="33"/>
  <c r="B877" i="33" s="1"/>
  <c r="A875" i="33"/>
  <c r="B875" i="33" s="1"/>
  <c r="A873" i="33"/>
  <c r="B873" i="33" s="1"/>
  <c r="A871" i="33"/>
  <c r="B871" i="33" s="1"/>
  <c r="A869" i="33"/>
  <c r="B869" i="33" s="1"/>
  <c r="A867" i="33"/>
  <c r="B867" i="33" s="1"/>
  <c r="A865" i="33"/>
  <c r="B865" i="33" s="1"/>
  <c r="A863" i="33"/>
  <c r="B863" i="33" s="1"/>
  <c r="A861" i="33"/>
  <c r="B861" i="33" s="1"/>
  <c r="A859" i="33"/>
  <c r="B859" i="33" s="1"/>
  <c r="A857" i="33"/>
  <c r="B857" i="33" s="1"/>
  <c r="A855" i="33"/>
  <c r="B855" i="33" s="1"/>
  <c r="A853" i="33"/>
  <c r="B853" i="33" s="1"/>
  <c r="A851" i="33"/>
  <c r="B851" i="33" s="1"/>
  <c r="A849" i="33"/>
  <c r="B849" i="33" s="1"/>
  <c r="A847" i="33"/>
  <c r="B847" i="33" s="1"/>
  <c r="A845" i="33"/>
  <c r="B845" i="33" s="1"/>
  <c r="A843" i="33"/>
  <c r="B843" i="33" s="1"/>
  <c r="A841" i="33"/>
  <c r="B841" i="33" s="1"/>
  <c r="A839" i="33"/>
  <c r="B839" i="33" s="1"/>
  <c r="A837" i="33"/>
  <c r="B837" i="33" s="1"/>
  <c r="A835" i="33"/>
  <c r="B835" i="33" s="1"/>
  <c r="A833" i="33"/>
  <c r="B833" i="33" s="1"/>
  <c r="A831" i="33"/>
  <c r="B831" i="33" s="1"/>
  <c r="A829" i="33"/>
  <c r="B829" i="33" s="1"/>
  <c r="A827" i="33"/>
  <c r="B827" i="33" s="1"/>
  <c r="A825" i="33"/>
  <c r="B825" i="33" s="1"/>
  <c r="A823" i="33"/>
  <c r="B823" i="33" s="1"/>
  <c r="A821" i="33"/>
  <c r="B821" i="33" s="1"/>
  <c r="A819" i="33"/>
  <c r="B819" i="33" s="1"/>
  <c r="A817" i="33"/>
  <c r="B817" i="33" s="1"/>
  <c r="A815" i="33"/>
  <c r="B815" i="33" s="1"/>
  <c r="A813" i="33"/>
  <c r="B813" i="33" s="1"/>
  <c r="A811" i="33"/>
  <c r="B811" i="33" s="1"/>
  <c r="A809" i="33"/>
  <c r="B809" i="33" s="1"/>
  <c r="A807" i="33"/>
  <c r="B807" i="33" s="1"/>
  <c r="A805" i="33"/>
  <c r="B805" i="33" s="1"/>
  <c r="A803" i="33"/>
  <c r="B803" i="33" s="1"/>
  <c r="A801" i="33"/>
  <c r="B801" i="33" s="1"/>
  <c r="A799" i="33"/>
  <c r="B799" i="33" s="1"/>
  <c r="A797" i="33"/>
  <c r="B797" i="33" s="1"/>
  <c r="A795" i="33"/>
  <c r="B795" i="33" s="1"/>
  <c r="A793" i="33"/>
  <c r="B793" i="33" s="1"/>
  <c r="A791" i="33"/>
  <c r="B791" i="33" s="1"/>
  <c r="A789" i="33"/>
  <c r="B789" i="33" s="1"/>
  <c r="A787" i="33"/>
  <c r="B787" i="33" s="1"/>
  <c r="A785" i="33"/>
  <c r="B785" i="33" s="1"/>
  <c r="A783" i="33"/>
  <c r="B783" i="33" s="1"/>
  <c r="A781" i="33"/>
  <c r="B781" i="33" s="1"/>
  <c r="A779" i="33"/>
  <c r="B779" i="33" s="1"/>
  <c r="A777" i="33"/>
  <c r="B777" i="33" s="1"/>
  <c r="A775" i="33"/>
  <c r="B775" i="33" s="1"/>
  <c r="A773" i="33"/>
  <c r="B773" i="33" s="1"/>
  <c r="A771" i="33"/>
  <c r="B771" i="33" s="1"/>
  <c r="A769" i="33"/>
  <c r="B769" i="33" s="1"/>
  <c r="A767" i="33"/>
  <c r="B767" i="33" s="1"/>
  <c r="A765" i="33"/>
  <c r="B765" i="33" s="1"/>
  <c r="A763" i="33"/>
  <c r="B763" i="33" s="1"/>
  <c r="A761" i="33"/>
  <c r="B761" i="33" s="1"/>
  <c r="A759" i="33"/>
  <c r="B759" i="33" s="1"/>
  <c r="A757" i="33"/>
  <c r="B757" i="33" s="1"/>
  <c r="A755" i="33"/>
  <c r="B755" i="33" s="1"/>
  <c r="A753" i="33"/>
  <c r="B753" i="33" s="1"/>
  <c r="A751" i="33"/>
  <c r="B751" i="33" s="1"/>
  <c r="A749" i="33"/>
  <c r="B749" i="33" s="1"/>
  <c r="A747" i="33"/>
  <c r="B747" i="33" s="1"/>
  <c r="A745" i="33"/>
  <c r="B745" i="33" s="1"/>
  <c r="A743" i="33"/>
  <c r="B743" i="33" s="1"/>
  <c r="A741" i="33"/>
  <c r="B741" i="33" s="1"/>
  <c r="A739" i="33"/>
  <c r="B739" i="33" s="1"/>
  <c r="A737" i="33"/>
  <c r="B737" i="33" s="1"/>
  <c r="A735" i="33"/>
  <c r="B735" i="33" s="1"/>
  <c r="A733" i="33"/>
  <c r="B733" i="33" s="1"/>
  <c r="A731" i="33"/>
  <c r="B731" i="33" s="1"/>
  <c r="A1" i="33"/>
  <c r="B1" i="33" s="1"/>
  <c r="A998" i="33"/>
  <c r="B998" i="33" s="1"/>
  <c r="A996" i="33"/>
  <c r="B996" i="33" s="1"/>
  <c r="A994" i="33"/>
  <c r="B994" i="33" s="1"/>
  <c r="A992" i="33"/>
  <c r="B992" i="33" s="1"/>
  <c r="A990" i="33"/>
  <c r="B990" i="33" s="1"/>
  <c r="A988" i="33"/>
  <c r="B988" i="33" s="1"/>
  <c r="A986" i="33"/>
  <c r="B986" i="33" s="1"/>
  <c r="A984" i="33"/>
  <c r="B984" i="33" s="1"/>
  <c r="A982" i="33"/>
  <c r="B982" i="33" s="1"/>
  <c r="A980" i="33"/>
  <c r="B980" i="33" s="1"/>
  <c r="A978" i="33"/>
  <c r="B978" i="33" s="1"/>
  <c r="A976" i="33"/>
  <c r="B976" i="33" s="1"/>
  <c r="A974" i="33"/>
  <c r="B974" i="33" s="1"/>
  <c r="A972" i="33"/>
  <c r="B972" i="33" s="1"/>
  <c r="A970" i="33"/>
  <c r="B970" i="33" s="1"/>
  <c r="A968" i="33"/>
  <c r="B968" i="33" s="1"/>
  <c r="A966" i="33"/>
  <c r="B966" i="33" s="1"/>
  <c r="A964" i="33"/>
  <c r="B964" i="33" s="1"/>
  <c r="A962" i="33"/>
  <c r="B962" i="33" s="1"/>
  <c r="A960" i="33"/>
  <c r="B960" i="33" s="1"/>
  <c r="A958" i="33"/>
  <c r="B958" i="33" s="1"/>
  <c r="A956" i="33"/>
  <c r="B956" i="33" s="1"/>
  <c r="A954" i="33"/>
  <c r="B954" i="33" s="1"/>
  <c r="A952" i="33"/>
  <c r="B952" i="33" s="1"/>
  <c r="A950" i="33"/>
  <c r="B950" i="33" s="1"/>
  <c r="A948" i="33"/>
  <c r="B948" i="33" s="1"/>
  <c r="A946" i="33"/>
  <c r="B946" i="33" s="1"/>
  <c r="A944" i="33"/>
  <c r="B944" i="33" s="1"/>
  <c r="A942" i="33"/>
  <c r="B942" i="33" s="1"/>
  <c r="A940" i="33"/>
  <c r="B940" i="33" s="1"/>
  <c r="A938" i="33"/>
  <c r="B938" i="33" s="1"/>
  <c r="A936" i="33"/>
  <c r="B936" i="33" s="1"/>
  <c r="A934" i="33"/>
  <c r="B934" i="33" s="1"/>
  <c r="A932" i="33"/>
  <c r="B932" i="33" s="1"/>
  <c r="A930" i="33"/>
  <c r="B930" i="33" s="1"/>
  <c r="A928" i="33"/>
  <c r="B928" i="33" s="1"/>
  <c r="A926" i="33"/>
  <c r="B926" i="33" s="1"/>
  <c r="A924" i="33"/>
  <c r="B924" i="33" s="1"/>
  <c r="A922" i="33"/>
  <c r="B922" i="33" s="1"/>
  <c r="A920" i="33"/>
  <c r="B920" i="33" s="1"/>
  <c r="A918" i="33"/>
  <c r="B918" i="33" s="1"/>
  <c r="A916" i="33"/>
  <c r="B916" i="33" s="1"/>
  <c r="A914" i="33"/>
  <c r="B914" i="33" s="1"/>
  <c r="A912" i="33"/>
  <c r="B912" i="33" s="1"/>
  <c r="A910" i="33"/>
  <c r="B910" i="33" s="1"/>
  <c r="A908" i="33"/>
  <c r="B908" i="33" s="1"/>
  <c r="A906" i="33"/>
  <c r="B906" i="33" s="1"/>
  <c r="A904" i="33"/>
  <c r="B904" i="33" s="1"/>
  <c r="A902" i="33"/>
  <c r="B902" i="33" s="1"/>
  <c r="A900" i="33"/>
  <c r="B900" i="33" s="1"/>
  <c r="A898" i="33"/>
  <c r="B898" i="33" s="1"/>
  <c r="A896" i="33"/>
  <c r="B896" i="33" s="1"/>
  <c r="A894" i="33"/>
  <c r="B894" i="33" s="1"/>
  <c r="A892" i="33"/>
  <c r="B892" i="33" s="1"/>
  <c r="A890" i="33"/>
  <c r="B890" i="33" s="1"/>
  <c r="A888" i="33"/>
  <c r="B888" i="33" s="1"/>
  <c r="A886" i="33"/>
  <c r="B886" i="33" s="1"/>
  <c r="A884" i="33"/>
  <c r="B884" i="33" s="1"/>
  <c r="A882" i="33"/>
  <c r="B882" i="33" s="1"/>
  <c r="A880" i="33"/>
  <c r="B880" i="33" s="1"/>
  <c r="A878" i="33"/>
  <c r="B878" i="33" s="1"/>
  <c r="A876" i="33"/>
  <c r="B876" i="33" s="1"/>
  <c r="A874" i="33"/>
  <c r="B874" i="33" s="1"/>
  <c r="A872" i="33"/>
  <c r="B872" i="33" s="1"/>
  <c r="A870" i="33"/>
  <c r="B870" i="33" s="1"/>
  <c r="A868" i="33"/>
  <c r="B868" i="33" s="1"/>
  <c r="A866" i="33"/>
  <c r="B866" i="33" s="1"/>
  <c r="A864" i="33"/>
  <c r="B864" i="33" s="1"/>
  <c r="A862" i="33"/>
  <c r="B862" i="33" s="1"/>
  <c r="A860" i="33"/>
  <c r="B860" i="33" s="1"/>
  <c r="A858" i="33"/>
  <c r="B858" i="33" s="1"/>
  <c r="A856" i="33"/>
  <c r="B856" i="33" s="1"/>
  <c r="A854" i="33"/>
  <c r="B854" i="33" s="1"/>
  <c r="A852" i="33"/>
  <c r="B852" i="33" s="1"/>
  <c r="A850" i="33"/>
  <c r="B850" i="33" s="1"/>
  <c r="A848" i="33"/>
  <c r="B848" i="33" s="1"/>
  <c r="A846" i="33"/>
  <c r="B846" i="33" s="1"/>
  <c r="A844" i="33"/>
  <c r="B844" i="33" s="1"/>
  <c r="A842" i="33"/>
  <c r="B842" i="33" s="1"/>
  <c r="A840" i="33"/>
  <c r="B840" i="33" s="1"/>
  <c r="A838" i="33"/>
  <c r="B838" i="33" s="1"/>
  <c r="A836" i="33"/>
  <c r="B836" i="33" s="1"/>
  <c r="A834" i="33"/>
  <c r="B834" i="33" s="1"/>
  <c r="A832" i="33"/>
  <c r="B832" i="33" s="1"/>
  <c r="A830" i="33"/>
  <c r="B830" i="33" s="1"/>
  <c r="A828" i="33"/>
  <c r="B828" i="33" s="1"/>
  <c r="A826" i="33"/>
  <c r="B826" i="33" s="1"/>
  <c r="A824" i="33"/>
  <c r="B824" i="33" s="1"/>
  <c r="A822" i="33"/>
  <c r="B822" i="33" s="1"/>
  <c r="A820" i="33"/>
  <c r="B820" i="33" s="1"/>
  <c r="A818" i="33"/>
  <c r="B818" i="33" s="1"/>
  <c r="A816" i="33"/>
  <c r="B816" i="33" s="1"/>
  <c r="A814" i="33"/>
  <c r="B814" i="33" s="1"/>
  <c r="A812" i="33"/>
  <c r="B812" i="33" s="1"/>
  <c r="A810" i="33"/>
  <c r="B810" i="33" s="1"/>
  <c r="A808" i="33"/>
  <c r="B808" i="33" s="1"/>
  <c r="A806" i="33"/>
  <c r="B806" i="33" s="1"/>
  <c r="A804" i="33"/>
  <c r="B804" i="33" s="1"/>
  <c r="A802" i="33"/>
  <c r="B802" i="33" s="1"/>
  <c r="A800" i="33"/>
  <c r="B800" i="33" s="1"/>
  <c r="A798" i="33"/>
  <c r="B798" i="33" s="1"/>
  <c r="A796" i="33"/>
  <c r="B796" i="33" s="1"/>
  <c r="A794" i="33"/>
  <c r="B794" i="33" s="1"/>
  <c r="A792" i="33"/>
  <c r="B792" i="33" s="1"/>
  <c r="A790" i="33"/>
  <c r="B790" i="33" s="1"/>
  <c r="A788" i="33"/>
  <c r="B788" i="33" s="1"/>
  <c r="A786" i="33"/>
  <c r="B786" i="33" s="1"/>
  <c r="A784" i="33"/>
  <c r="B784" i="33" s="1"/>
  <c r="A782" i="33"/>
  <c r="B782" i="33" s="1"/>
  <c r="A780" i="33"/>
  <c r="B780" i="33" s="1"/>
  <c r="A778" i="33"/>
  <c r="B778" i="33" s="1"/>
  <c r="A776" i="33"/>
  <c r="B776" i="33" s="1"/>
  <c r="A774" i="33"/>
  <c r="B774" i="33" s="1"/>
  <c r="A772" i="33"/>
  <c r="B772" i="33" s="1"/>
  <c r="A770" i="33"/>
  <c r="B770" i="33" s="1"/>
  <c r="A768" i="33"/>
  <c r="B768" i="33" s="1"/>
  <c r="A766" i="33"/>
  <c r="B766" i="33" s="1"/>
  <c r="A764" i="33"/>
  <c r="B764" i="33" s="1"/>
  <c r="A762" i="33"/>
  <c r="B762" i="33" s="1"/>
  <c r="A760" i="33"/>
  <c r="B760" i="33" s="1"/>
  <c r="A758" i="33"/>
  <c r="B758" i="33" s="1"/>
  <c r="A756" i="33"/>
  <c r="B756" i="33" s="1"/>
  <c r="A754" i="33"/>
  <c r="B754" i="33" s="1"/>
  <c r="A752" i="33"/>
  <c r="B752" i="33" s="1"/>
  <c r="A750" i="33"/>
  <c r="B750" i="33" s="1"/>
  <c r="A748" i="33"/>
  <c r="B748" i="33" s="1"/>
  <c r="A746" i="33"/>
  <c r="B746" i="33" s="1"/>
  <c r="A744" i="33"/>
  <c r="B744" i="33" s="1"/>
  <c r="A742" i="33"/>
  <c r="B742" i="33" s="1"/>
  <c r="A740" i="33"/>
  <c r="B740" i="33" s="1"/>
  <c r="A738" i="33"/>
  <c r="B738" i="33" s="1"/>
  <c r="A736" i="33"/>
  <c r="B736" i="33" s="1"/>
  <c r="A734" i="33"/>
  <c r="B734" i="33" s="1"/>
  <c r="A732" i="33"/>
  <c r="B732" i="33" s="1"/>
  <c r="A730" i="33"/>
  <c r="B730" i="33" s="1"/>
  <c r="B10" i="27" l="1"/>
  <c r="E42" i="37" s="1"/>
  <c r="C10" i="27"/>
  <c r="E43" i="37" s="1"/>
  <c r="D10" i="27"/>
  <c r="E44" i="37" s="1"/>
  <c r="B11" i="27"/>
  <c r="E45" i="37" s="1"/>
  <c r="C11" i="27"/>
  <c r="E46" i="37" s="1"/>
  <c r="D11" i="27"/>
  <c r="E47" i="37" s="1"/>
  <c r="G46" i="37" l="1"/>
  <c r="P46" i="37"/>
  <c r="G43" i="37"/>
  <c r="P43" i="37"/>
  <c r="G47" i="37"/>
  <c r="P47" i="37"/>
  <c r="G45" i="37"/>
  <c r="P45" i="37"/>
  <c r="G44" i="37"/>
  <c r="P44" i="37"/>
  <c r="G42" i="37"/>
  <c r="P42" i="37"/>
  <c r="I5" i="37"/>
  <c r="I19" i="27"/>
  <c r="K19" i="27"/>
  <c r="M19" i="27"/>
  <c r="H15" i="37"/>
  <c r="F15" i="37"/>
  <c r="B15" i="37"/>
  <c r="I7" i="37"/>
  <c r="I4" i="37"/>
  <c r="I2" i="37"/>
  <c r="K7" i="10" l="1"/>
  <c r="K8" i="10"/>
  <c r="K9" i="10"/>
  <c r="K10" i="10"/>
  <c r="K11" i="10"/>
  <c r="K12" i="10"/>
  <c r="K13" i="10"/>
  <c r="K14" i="10"/>
  <c r="K15" i="10"/>
  <c r="K6" i="10"/>
  <c r="I8" i="10"/>
  <c r="I14" i="10"/>
  <c r="I15" i="10"/>
  <c r="G7" i="10"/>
  <c r="G8" i="10"/>
  <c r="G9" i="10"/>
  <c r="G10" i="10"/>
  <c r="G11" i="10"/>
  <c r="G12" i="10"/>
  <c r="G13" i="10"/>
  <c r="G14" i="10"/>
  <c r="G15" i="10"/>
  <c r="G6" i="10"/>
  <c r="I7" i="20"/>
  <c r="J7" i="20" s="1"/>
  <c r="K7" i="20" s="1"/>
  <c r="I8" i="20"/>
  <c r="J8" i="20" s="1"/>
  <c r="K8" i="20" s="1"/>
  <c r="I9" i="20"/>
  <c r="J9" i="20" s="1"/>
  <c r="K9" i="20" s="1"/>
  <c r="I10" i="20"/>
  <c r="J10" i="20" s="1"/>
  <c r="K10" i="20" s="1"/>
  <c r="I11" i="20"/>
  <c r="J11" i="20" s="1"/>
  <c r="K11" i="20" s="1"/>
  <c r="I12" i="20"/>
  <c r="J12" i="20" s="1"/>
  <c r="K12" i="20" s="1"/>
  <c r="I13" i="20"/>
  <c r="J13" i="20" s="1"/>
  <c r="K13" i="20" s="1"/>
  <c r="I14" i="20"/>
  <c r="J14" i="20" s="1"/>
  <c r="K14" i="20" s="1"/>
  <c r="I15" i="20"/>
  <c r="J15" i="20" s="1"/>
  <c r="K15" i="20" s="1"/>
  <c r="I7" i="21"/>
  <c r="J7" i="21" s="1"/>
  <c r="K7" i="21" s="1"/>
  <c r="I8" i="21"/>
  <c r="J8" i="21" s="1"/>
  <c r="K8" i="21" s="1"/>
  <c r="I9" i="21"/>
  <c r="J9" i="21" s="1"/>
  <c r="K9" i="21" s="1"/>
  <c r="I10" i="21"/>
  <c r="J10" i="21" s="1"/>
  <c r="K10" i="21" s="1"/>
  <c r="I11" i="21"/>
  <c r="J11" i="21" s="1"/>
  <c r="K11" i="21" s="1"/>
  <c r="I12" i="21"/>
  <c r="J12" i="21" s="1"/>
  <c r="K12" i="21" s="1"/>
  <c r="I13" i="21"/>
  <c r="J13" i="21" s="1"/>
  <c r="K13" i="21" s="1"/>
  <c r="I14" i="21"/>
  <c r="J14" i="21" s="1"/>
  <c r="K14" i="21" s="1"/>
  <c r="I15" i="21"/>
  <c r="I7" i="14"/>
  <c r="J7" i="14" s="1"/>
  <c r="K7" i="14" s="1"/>
  <c r="I8" i="14"/>
  <c r="J8" i="14" s="1"/>
  <c r="K8" i="14" s="1"/>
  <c r="I9" i="14"/>
  <c r="J9" i="14" s="1"/>
  <c r="K9" i="14" s="1"/>
  <c r="I10" i="14"/>
  <c r="J10" i="14" s="1"/>
  <c r="K10" i="14" s="1"/>
  <c r="I11" i="14"/>
  <c r="J11" i="14" s="1"/>
  <c r="K11" i="14" s="1"/>
  <c r="I12" i="14"/>
  <c r="J12" i="14" s="1"/>
  <c r="K12" i="14" s="1"/>
  <c r="I13" i="14"/>
  <c r="J13" i="14" s="1"/>
  <c r="K13" i="14" s="1"/>
  <c r="I14" i="14"/>
  <c r="J14" i="14" s="1"/>
  <c r="K14" i="14" s="1"/>
  <c r="I15" i="14"/>
  <c r="J15" i="14" s="1"/>
  <c r="K15" i="14" s="1"/>
  <c r="I6" i="20"/>
  <c r="J6" i="20" s="1"/>
  <c r="K6" i="20" s="1"/>
  <c r="I6" i="21"/>
  <c r="J6" i="21" s="1"/>
  <c r="K6" i="21" s="1"/>
  <c r="I6" i="14"/>
  <c r="J6" i="14" s="1"/>
  <c r="K6" i="14" s="1"/>
  <c r="A5" i="24"/>
  <c r="I5" i="25"/>
  <c r="I6" i="25"/>
  <c r="I7" i="25"/>
  <c r="I8" i="25"/>
  <c r="I9" i="25"/>
  <c r="I10" i="25"/>
  <c r="I11" i="25"/>
  <c r="I12" i="25"/>
  <c r="I13" i="25"/>
  <c r="H12" i="25"/>
  <c r="H13" i="25"/>
  <c r="H10" i="25"/>
  <c r="H11" i="25"/>
  <c r="H5" i="25"/>
  <c r="H6" i="25"/>
  <c r="H7" i="25"/>
  <c r="H8" i="25"/>
  <c r="H9" i="25"/>
  <c r="E2" i="34"/>
  <c r="E3" i="34"/>
  <c r="E4" i="34"/>
  <c r="E5" i="34"/>
  <c r="E6" i="34"/>
  <c r="E7" i="34"/>
  <c r="E8" i="34"/>
  <c r="E9" i="34"/>
  <c r="E10" i="34"/>
  <c r="E11" i="34"/>
  <c r="B12" i="34"/>
  <c r="C12" i="34"/>
  <c r="D12" i="34"/>
  <c r="B13" i="34"/>
  <c r="C13" i="34"/>
  <c r="D13" i="34"/>
  <c r="B14" i="34"/>
  <c r="C14" i="34"/>
  <c r="D14" i="34"/>
  <c r="B15" i="34"/>
  <c r="C15" i="34"/>
  <c r="D15" i="34"/>
  <c r="B16" i="34"/>
  <c r="C16" i="34"/>
  <c r="E16" i="34" s="1"/>
  <c r="D16" i="34"/>
  <c r="B17" i="34"/>
  <c r="C17" i="34"/>
  <c r="D17" i="34"/>
  <c r="B18" i="34"/>
  <c r="C18" i="34"/>
  <c r="D18" i="34"/>
  <c r="B19" i="34"/>
  <c r="C19" i="34"/>
  <c r="D19" i="34"/>
  <c r="B20" i="34"/>
  <c r="C20" i="34"/>
  <c r="D20" i="34"/>
  <c r="B21" i="34"/>
  <c r="C21" i="34"/>
  <c r="D21" i="34"/>
  <c r="B68" i="34"/>
  <c r="C68" i="34"/>
  <c r="D68" i="34"/>
  <c r="B69" i="34"/>
  <c r="C69" i="34"/>
  <c r="D69" i="34"/>
  <c r="B70" i="34"/>
  <c r="C70" i="34"/>
  <c r="E70" i="34" s="1"/>
  <c r="D70" i="34"/>
  <c r="B71" i="34"/>
  <c r="C71" i="34"/>
  <c r="D71" i="34"/>
  <c r="B72" i="34"/>
  <c r="C72" i="34"/>
  <c r="D72" i="34"/>
  <c r="B73" i="34"/>
  <c r="C73" i="34"/>
  <c r="D73" i="34"/>
  <c r="B74" i="34"/>
  <c r="C74" i="34"/>
  <c r="D74" i="34"/>
  <c r="B75" i="34"/>
  <c r="C75" i="34"/>
  <c r="D75" i="34"/>
  <c r="B76" i="34"/>
  <c r="C76" i="34"/>
  <c r="D76" i="34"/>
  <c r="B77" i="34"/>
  <c r="C77" i="34"/>
  <c r="D77" i="34"/>
  <c r="B78" i="34"/>
  <c r="C78" i="34"/>
  <c r="D78" i="34"/>
  <c r="B79" i="34"/>
  <c r="C79" i="34"/>
  <c r="D79" i="34"/>
  <c r="B80" i="34"/>
  <c r="C80" i="34"/>
  <c r="D80" i="34"/>
  <c r="B81" i="34"/>
  <c r="C81" i="34"/>
  <c r="D81" i="34"/>
  <c r="B82" i="34"/>
  <c r="C82" i="34"/>
  <c r="D82" i="34"/>
  <c r="B83" i="34"/>
  <c r="C83" i="34"/>
  <c r="D83" i="34"/>
  <c r="B84" i="34"/>
  <c r="C84" i="34"/>
  <c r="D84" i="34"/>
  <c r="B85" i="34"/>
  <c r="C85" i="34"/>
  <c r="D85" i="34"/>
  <c r="B86" i="34"/>
  <c r="C86" i="34"/>
  <c r="D86" i="34"/>
  <c r="B87" i="34"/>
  <c r="C87" i="34"/>
  <c r="D87" i="34"/>
  <c r="B88" i="34"/>
  <c r="C88" i="34"/>
  <c r="D88" i="34"/>
  <c r="B89" i="34"/>
  <c r="C89" i="34"/>
  <c r="D89" i="34"/>
  <c r="B90" i="34"/>
  <c r="C90" i="34"/>
  <c r="D90" i="34"/>
  <c r="B91" i="34"/>
  <c r="C91" i="34"/>
  <c r="D91" i="34"/>
  <c r="B92" i="34"/>
  <c r="C92" i="34"/>
  <c r="D92" i="34"/>
  <c r="B93" i="34"/>
  <c r="C93" i="34"/>
  <c r="D93" i="34"/>
  <c r="B94" i="34"/>
  <c r="C94" i="34"/>
  <c r="D94" i="34"/>
  <c r="B95" i="34"/>
  <c r="C95" i="34"/>
  <c r="D95" i="34"/>
  <c r="B96" i="34"/>
  <c r="C96" i="34"/>
  <c r="D96" i="34"/>
  <c r="B97" i="34"/>
  <c r="C97" i="34"/>
  <c r="D97" i="34"/>
  <c r="B98" i="34"/>
  <c r="C98" i="34"/>
  <c r="D98" i="34"/>
  <c r="B99" i="34"/>
  <c r="C99" i="34"/>
  <c r="D99" i="34"/>
  <c r="B100" i="34"/>
  <c r="C100" i="34"/>
  <c r="D100" i="34"/>
  <c r="B101" i="34"/>
  <c r="C101" i="34"/>
  <c r="D101" i="34"/>
  <c r="B102" i="34"/>
  <c r="C102" i="34"/>
  <c r="D102" i="34"/>
  <c r="B103" i="34"/>
  <c r="C103" i="34"/>
  <c r="D103" i="34"/>
  <c r="B104" i="34"/>
  <c r="C104" i="34"/>
  <c r="D104" i="34"/>
  <c r="B105" i="34"/>
  <c r="C105" i="34"/>
  <c r="D105" i="34"/>
  <c r="B106" i="34"/>
  <c r="C106" i="34"/>
  <c r="D106" i="34"/>
  <c r="B107" i="34"/>
  <c r="C107" i="34"/>
  <c r="D107" i="34"/>
  <c r="B108" i="34"/>
  <c r="C108" i="34"/>
  <c r="D108" i="34"/>
  <c r="B109" i="34"/>
  <c r="C109" i="34"/>
  <c r="D109" i="34"/>
  <c r="B110" i="34"/>
  <c r="C110" i="34"/>
  <c r="D110" i="34"/>
  <c r="B111" i="34"/>
  <c r="C111" i="34"/>
  <c r="D111" i="34"/>
  <c r="B112" i="34"/>
  <c r="C112" i="34"/>
  <c r="D112" i="34"/>
  <c r="B113" i="34"/>
  <c r="C113" i="34"/>
  <c r="D113" i="34"/>
  <c r="B114" i="34"/>
  <c r="C114" i="34"/>
  <c r="D114" i="34"/>
  <c r="B115" i="34"/>
  <c r="C115" i="34"/>
  <c r="D115" i="34"/>
  <c r="B116" i="34"/>
  <c r="C116" i="34"/>
  <c r="D116" i="34"/>
  <c r="B117" i="34"/>
  <c r="C117" i="34"/>
  <c r="D117" i="34"/>
  <c r="B118" i="34"/>
  <c r="C118" i="34"/>
  <c r="D118" i="34"/>
  <c r="B119" i="34"/>
  <c r="C119" i="34"/>
  <c r="D119" i="34"/>
  <c r="B120" i="34"/>
  <c r="C120" i="34"/>
  <c r="D120" i="34"/>
  <c r="B121" i="34"/>
  <c r="C121" i="34"/>
  <c r="D121" i="34"/>
  <c r="B122" i="34"/>
  <c r="C122" i="34"/>
  <c r="D122" i="34"/>
  <c r="B123" i="34"/>
  <c r="C123" i="34"/>
  <c r="D123" i="34"/>
  <c r="B124" i="34"/>
  <c r="C124" i="34"/>
  <c r="D124" i="34"/>
  <c r="B125" i="34"/>
  <c r="C125" i="34"/>
  <c r="D125" i="34"/>
  <c r="B126" i="34"/>
  <c r="C126" i="34"/>
  <c r="D126" i="34"/>
  <c r="B127" i="34"/>
  <c r="C127" i="34"/>
  <c r="D127" i="34"/>
  <c r="B128" i="34"/>
  <c r="C128" i="34"/>
  <c r="D128" i="34"/>
  <c r="B129" i="34"/>
  <c r="C129" i="34"/>
  <c r="D129" i="34"/>
  <c r="B130" i="34"/>
  <c r="C130" i="34"/>
  <c r="D130" i="34"/>
  <c r="B131" i="34"/>
  <c r="C131" i="34"/>
  <c r="D131" i="34"/>
  <c r="B132" i="34"/>
  <c r="C132" i="34"/>
  <c r="D132" i="34"/>
  <c r="B133" i="34"/>
  <c r="C133" i="34"/>
  <c r="D133" i="34"/>
  <c r="B134" i="34"/>
  <c r="C134" i="34"/>
  <c r="D134" i="34"/>
  <c r="B135" i="34"/>
  <c r="C135" i="34"/>
  <c r="D135" i="34"/>
  <c r="B136" i="34"/>
  <c r="C136" i="34"/>
  <c r="D136" i="34"/>
  <c r="B137" i="34"/>
  <c r="C137" i="34"/>
  <c r="D137" i="34"/>
  <c r="B138" i="34"/>
  <c r="C138" i="34"/>
  <c r="D138" i="34"/>
  <c r="B139" i="34"/>
  <c r="C139" i="34"/>
  <c r="D139" i="34"/>
  <c r="B140" i="34"/>
  <c r="C140" i="34"/>
  <c r="D140" i="34"/>
  <c r="B141" i="34"/>
  <c r="C141" i="34"/>
  <c r="D141" i="34"/>
  <c r="B142" i="34"/>
  <c r="C142" i="34"/>
  <c r="D142" i="34"/>
  <c r="B143" i="34"/>
  <c r="C143" i="34"/>
  <c r="D143" i="34"/>
  <c r="B144" i="34"/>
  <c r="C144" i="34"/>
  <c r="D144" i="34"/>
  <c r="B145" i="34"/>
  <c r="C145" i="34"/>
  <c r="D145" i="34"/>
  <c r="B146" i="34"/>
  <c r="C146" i="34"/>
  <c r="D146" i="34"/>
  <c r="B147" i="34"/>
  <c r="C147" i="34"/>
  <c r="D147" i="34"/>
  <c r="B148" i="34"/>
  <c r="C148" i="34"/>
  <c r="D148" i="34"/>
  <c r="B149" i="34"/>
  <c r="C149" i="34"/>
  <c r="D149" i="34"/>
  <c r="B150" i="34"/>
  <c r="C150" i="34"/>
  <c r="D150" i="34"/>
  <c r="B151" i="34"/>
  <c r="C151" i="34"/>
  <c r="D151" i="34"/>
  <c r="B152" i="34"/>
  <c r="C152" i="34"/>
  <c r="D152" i="34"/>
  <c r="B153" i="34"/>
  <c r="C153" i="34"/>
  <c r="D153" i="34"/>
  <c r="B154" i="34"/>
  <c r="C154" i="34"/>
  <c r="D154" i="34"/>
  <c r="B155" i="34"/>
  <c r="C155" i="34"/>
  <c r="D155" i="34"/>
  <c r="B156" i="34"/>
  <c r="C156" i="34"/>
  <c r="D156" i="34"/>
  <c r="B157" i="34"/>
  <c r="C157" i="34"/>
  <c r="D157" i="34"/>
  <c r="B158" i="34"/>
  <c r="C158" i="34"/>
  <c r="D158" i="34"/>
  <c r="B159" i="34"/>
  <c r="C159" i="34"/>
  <c r="D159" i="34"/>
  <c r="B160" i="34"/>
  <c r="C160" i="34"/>
  <c r="D160" i="34"/>
  <c r="B161" i="34"/>
  <c r="C161" i="34"/>
  <c r="D161" i="34"/>
  <c r="B162" i="34"/>
  <c r="C162" i="34"/>
  <c r="D162" i="34"/>
  <c r="B163" i="34"/>
  <c r="C163" i="34"/>
  <c r="D163" i="34"/>
  <c r="B164" i="34"/>
  <c r="C164" i="34"/>
  <c r="D164" i="34"/>
  <c r="B165" i="34"/>
  <c r="C165" i="34"/>
  <c r="D165" i="34"/>
  <c r="B166" i="34"/>
  <c r="C166" i="34"/>
  <c r="D166" i="34"/>
  <c r="B167" i="34"/>
  <c r="C167" i="34"/>
  <c r="D167" i="34"/>
  <c r="B168" i="34"/>
  <c r="C168" i="34"/>
  <c r="D168" i="34"/>
  <c r="B169" i="34"/>
  <c r="C169" i="34"/>
  <c r="D169" i="34"/>
  <c r="B170" i="34"/>
  <c r="C170" i="34"/>
  <c r="D170" i="34"/>
  <c r="B171" i="34"/>
  <c r="C171" i="34"/>
  <c r="D171" i="34"/>
  <c r="B172" i="34"/>
  <c r="C172" i="34"/>
  <c r="D172" i="34"/>
  <c r="B173" i="34"/>
  <c r="C173" i="34"/>
  <c r="D173" i="34"/>
  <c r="B174" i="34"/>
  <c r="C174" i="34"/>
  <c r="D174" i="34"/>
  <c r="B175" i="34"/>
  <c r="C175" i="34"/>
  <c r="D175" i="34"/>
  <c r="B176" i="34"/>
  <c r="C176" i="34"/>
  <c r="D176" i="34"/>
  <c r="B177" i="34"/>
  <c r="C177" i="34"/>
  <c r="D177" i="34"/>
  <c r="B178" i="34"/>
  <c r="C178" i="34"/>
  <c r="D178" i="34"/>
  <c r="B179" i="34"/>
  <c r="C179" i="34"/>
  <c r="D179" i="34"/>
  <c r="B180" i="34"/>
  <c r="C180" i="34"/>
  <c r="D180" i="34"/>
  <c r="B181" i="34"/>
  <c r="C181" i="34"/>
  <c r="D181" i="34"/>
  <c r="B182" i="34"/>
  <c r="C182" i="34"/>
  <c r="D182" i="34"/>
  <c r="B183" i="34"/>
  <c r="C183" i="34"/>
  <c r="D183" i="34"/>
  <c r="B184" i="34"/>
  <c r="C184" i="34"/>
  <c r="D184" i="34"/>
  <c r="B185" i="34"/>
  <c r="C185" i="34"/>
  <c r="D185" i="34"/>
  <c r="B186" i="34"/>
  <c r="C186" i="34"/>
  <c r="D186" i="34"/>
  <c r="B187" i="34"/>
  <c r="C187" i="34"/>
  <c r="D187" i="34"/>
  <c r="B188" i="34"/>
  <c r="C188" i="34"/>
  <c r="D188" i="34"/>
  <c r="B189" i="34"/>
  <c r="C189" i="34"/>
  <c r="D189" i="34"/>
  <c r="B190" i="34"/>
  <c r="C190" i="34"/>
  <c r="D190" i="34"/>
  <c r="E191" i="34"/>
  <c r="E192" i="34"/>
  <c r="E193" i="34"/>
  <c r="E194" i="34"/>
  <c r="E195" i="34"/>
  <c r="E196" i="34"/>
  <c r="E197" i="34"/>
  <c r="E198" i="34"/>
  <c r="E199" i="34"/>
  <c r="E200" i="34"/>
  <c r="E201" i="34"/>
  <c r="E202" i="34"/>
  <c r="E203" i="34"/>
  <c r="E204" i="34"/>
  <c r="E205" i="34"/>
  <c r="E206" i="34"/>
  <c r="E207" i="34"/>
  <c r="E208" i="34"/>
  <c r="E209" i="34"/>
  <c r="E210" i="34"/>
  <c r="E211" i="34"/>
  <c r="E212" i="34"/>
  <c r="E213" i="34"/>
  <c r="E214" i="34"/>
  <c r="E215" i="34"/>
  <c r="E216" i="34"/>
  <c r="E217" i="34"/>
  <c r="E218" i="34"/>
  <c r="E219" i="34"/>
  <c r="E220" i="34"/>
  <c r="E221" i="34"/>
  <c r="E222" i="34"/>
  <c r="E223" i="34"/>
  <c r="E224" i="34"/>
  <c r="E225" i="34"/>
  <c r="E226" i="34"/>
  <c r="E227" i="34"/>
  <c r="E228" i="34"/>
  <c r="E229" i="34"/>
  <c r="E230" i="34"/>
  <c r="E231" i="34"/>
  <c r="E232" i="34"/>
  <c r="E233" i="34"/>
  <c r="E234" i="34"/>
  <c r="E235" i="34"/>
  <c r="E236" i="34"/>
  <c r="E237" i="34"/>
  <c r="E238" i="34"/>
  <c r="E239" i="34"/>
  <c r="E240" i="34"/>
  <c r="E241" i="34"/>
  <c r="E242" i="34"/>
  <c r="E243" i="34"/>
  <c r="E244" i="34"/>
  <c r="E245" i="34"/>
  <c r="E246" i="34"/>
  <c r="E247" i="34"/>
  <c r="E248" i="34"/>
  <c r="E249" i="34"/>
  <c r="E250" i="34"/>
  <c r="E251" i="34"/>
  <c r="E252" i="34"/>
  <c r="E253" i="34"/>
  <c r="E254" i="34"/>
  <c r="E255" i="34"/>
  <c r="E256" i="34"/>
  <c r="E257" i="34"/>
  <c r="E258" i="34"/>
  <c r="E259" i="34"/>
  <c r="E260" i="34"/>
  <c r="E261" i="34"/>
  <c r="E262" i="34"/>
  <c r="E263" i="34"/>
  <c r="E264" i="34"/>
  <c r="E265" i="34"/>
  <c r="E266" i="34"/>
  <c r="E267" i="34"/>
  <c r="E268" i="34"/>
  <c r="E269" i="34"/>
  <c r="E270" i="34"/>
  <c r="E271" i="34"/>
  <c r="E272" i="34"/>
  <c r="E273" i="34"/>
  <c r="E274" i="34"/>
  <c r="E275" i="34"/>
  <c r="E276" i="34"/>
  <c r="E277" i="34"/>
  <c r="E278" i="34"/>
  <c r="E279" i="34"/>
  <c r="E280" i="34"/>
  <c r="E281" i="34"/>
  <c r="E282" i="34"/>
  <c r="E283" i="34"/>
  <c r="E284" i="34"/>
  <c r="E285" i="34"/>
  <c r="E286" i="34"/>
  <c r="E287" i="34"/>
  <c r="E288" i="34"/>
  <c r="E289" i="34"/>
  <c r="E290" i="34"/>
  <c r="E291" i="34"/>
  <c r="E292" i="34"/>
  <c r="E293" i="34"/>
  <c r="E294" i="34"/>
  <c r="E295" i="34"/>
  <c r="E296" i="34"/>
  <c r="E297" i="34"/>
  <c r="E298" i="34"/>
  <c r="E299" i="34"/>
  <c r="E300" i="34"/>
  <c r="E301" i="34"/>
  <c r="E302" i="34"/>
  <c r="E303" i="34"/>
  <c r="E304" i="34"/>
  <c r="E305" i="34"/>
  <c r="E306" i="34"/>
  <c r="E307" i="34"/>
  <c r="E308" i="34"/>
  <c r="E309" i="34"/>
  <c r="E310" i="34"/>
  <c r="E311" i="34"/>
  <c r="E312" i="34"/>
  <c r="E313" i="34"/>
  <c r="E314" i="34"/>
  <c r="E315" i="34"/>
  <c r="E316" i="34"/>
  <c r="E317" i="34"/>
  <c r="E318" i="34"/>
  <c r="E319" i="34"/>
  <c r="E320" i="34"/>
  <c r="E321" i="34"/>
  <c r="E322" i="34"/>
  <c r="E323" i="34"/>
  <c r="E324" i="34"/>
  <c r="E325" i="34"/>
  <c r="E326" i="34"/>
  <c r="E327" i="34"/>
  <c r="E328" i="34"/>
  <c r="E329" i="34"/>
  <c r="E330" i="34"/>
  <c r="E331" i="34"/>
  <c r="E332" i="34"/>
  <c r="E333" i="34"/>
  <c r="E334" i="34"/>
  <c r="E335" i="34"/>
  <c r="E336" i="34"/>
  <c r="E337" i="34"/>
  <c r="E338" i="34"/>
  <c r="E339" i="34"/>
  <c r="E340" i="34"/>
  <c r="E341" i="34"/>
  <c r="E342" i="34"/>
  <c r="E343" i="34"/>
  <c r="E344" i="34"/>
  <c r="E345" i="34"/>
  <c r="E346" i="34"/>
  <c r="E347" i="34"/>
  <c r="E348" i="34"/>
  <c r="E349" i="34"/>
  <c r="E350" i="34"/>
  <c r="E351" i="34"/>
  <c r="E352" i="34"/>
  <c r="E353" i="34"/>
  <c r="E354" i="34"/>
  <c r="E355" i="34"/>
  <c r="E356" i="34"/>
  <c r="E357" i="34"/>
  <c r="E358" i="34"/>
  <c r="E359" i="34"/>
  <c r="E360" i="34"/>
  <c r="E361" i="34"/>
  <c r="E362" i="34"/>
  <c r="E363" i="34"/>
  <c r="E364" i="34"/>
  <c r="E365" i="34"/>
  <c r="E366" i="34"/>
  <c r="E367" i="34"/>
  <c r="E368" i="34"/>
  <c r="E369" i="34"/>
  <c r="E370" i="34"/>
  <c r="E371" i="34"/>
  <c r="E372" i="34"/>
  <c r="E373" i="34"/>
  <c r="E374" i="34"/>
  <c r="E375" i="34"/>
  <c r="E376" i="34"/>
  <c r="E377" i="34"/>
  <c r="E378" i="34"/>
  <c r="E379" i="34"/>
  <c r="E380" i="34"/>
  <c r="E381" i="34"/>
  <c r="E382" i="34"/>
  <c r="E383" i="34"/>
  <c r="E384" i="34"/>
  <c r="E385" i="34"/>
  <c r="E386" i="34"/>
  <c r="E387" i="34"/>
  <c r="E388" i="34"/>
  <c r="E389" i="34"/>
  <c r="E390" i="34"/>
  <c r="E391" i="34"/>
  <c r="E392" i="34"/>
  <c r="E393" i="34"/>
  <c r="E394" i="34"/>
  <c r="E395" i="34"/>
  <c r="E396" i="34"/>
  <c r="E397" i="34"/>
  <c r="E398" i="34"/>
  <c r="E399" i="34"/>
  <c r="E400" i="34"/>
  <c r="E401" i="34"/>
  <c r="E402" i="34"/>
  <c r="E403" i="34"/>
  <c r="E404" i="34"/>
  <c r="E405" i="34"/>
  <c r="E406" i="34"/>
  <c r="E407" i="34"/>
  <c r="E408" i="34"/>
  <c r="E409" i="34"/>
  <c r="E410" i="34"/>
  <c r="E411" i="34"/>
  <c r="E412" i="34"/>
  <c r="E413" i="34"/>
  <c r="E414" i="34"/>
  <c r="E415" i="34"/>
  <c r="E416" i="34"/>
  <c r="E417" i="34"/>
  <c r="E418" i="34"/>
  <c r="E419" i="34"/>
  <c r="E420" i="34"/>
  <c r="E421" i="34"/>
  <c r="E422" i="34"/>
  <c r="E423" i="34"/>
  <c r="E424" i="34"/>
  <c r="E425" i="34"/>
  <c r="E426" i="34"/>
  <c r="E427" i="34"/>
  <c r="E428" i="34"/>
  <c r="E429" i="34"/>
  <c r="E430" i="34"/>
  <c r="E431" i="34"/>
  <c r="E432" i="34"/>
  <c r="E433" i="34"/>
  <c r="E434" i="34"/>
  <c r="E435" i="34"/>
  <c r="E436" i="34"/>
  <c r="E437" i="34"/>
  <c r="E438" i="34"/>
  <c r="A1" i="28"/>
  <c r="A2" i="28"/>
  <c r="O16" i="27"/>
  <c r="E17" i="27"/>
  <c r="K17" i="27"/>
  <c r="O17" i="27"/>
  <c r="B2" i="27"/>
  <c r="E18" i="37" s="1"/>
  <c r="C2" i="27"/>
  <c r="E19" i="37" s="1"/>
  <c r="D2" i="27"/>
  <c r="E20" i="37" s="1"/>
  <c r="B3" i="27"/>
  <c r="E21" i="37" s="1"/>
  <c r="C3" i="27"/>
  <c r="E22" i="37" s="1"/>
  <c r="D3" i="27"/>
  <c r="E23" i="37" s="1"/>
  <c r="B4" i="27"/>
  <c r="E24" i="37" s="1"/>
  <c r="C4" i="27"/>
  <c r="E25" i="37" s="1"/>
  <c r="D4" i="27"/>
  <c r="E26" i="37" s="1"/>
  <c r="B5" i="27"/>
  <c r="E27" i="37" s="1"/>
  <c r="C5" i="27"/>
  <c r="E28" i="37" s="1"/>
  <c r="D5" i="27"/>
  <c r="E29" i="37" s="1"/>
  <c r="B6" i="27"/>
  <c r="E30" i="37" s="1"/>
  <c r="C6" i="27"/>
  <c r="E31" i="37" s="1"/>
  <c r="D6" i="27"/>
  <c r="E32" i="37" s="1"/>
  <c r="B7" i="27"/>
  <c r="E33" i="37" s="1"/>
  <c r="C7" i="27"/>
  <c r="E34" i="37" s="1"/>
  <c r="D7" i="27"/>
  <c r="E35" i="37" s="1"/>
  <c r="B8" i="27"/>
  <c r="E36" i="37" s="1"/>
  <c r="C8" i="27"/>
  <c r="E37" i="37" s="1"/>
  <c r="D8" i="27"/>
  <c r="E38" i="37" s="1"/>
  <c r="B9" i="27"/>
  <c r="E39" i="37" s="1"/>
  <c r="C9" i="27"/>
  <c r="E40" i="37" s="1"/>
  <c r="D9" i="27"/>
  <c r="E41" i="37" s="1"/>
  <c r="A3" i="24"/>
  <c r="E1" i="25"/>
  <c r="C2" i="25"/>
  <c r="D2" i="25"/>
  <c r="E2" i="25"/>
  <c r="B6" i="25"/>
  <c r="B7" i="25"/>
  <c r="B8" i="25"/>
  <c r="B9" i="25"/>
  <c r="B10" i="25"/>
  <c r="B11" i="25"/>
  <c r="B12" i="25"/>
  <c r="B13" i="25"/>
  <c r="B14" i="25"/>
  <c r="B15" i="25"/>
  <c r="Q1" i="23"/>
  <c r="C2" i="23"/>
  <c r="J2" i="23"/>
  <c r="Q2" i="23"/>
  <c r="U2" i="23"/>
  <c r="B6" i="23"/>
  <c r="W6" i="23" a="1"/>
  <c r="W6" i="23" s="1"/>
  <c r="X6" i="23"/>
  <c r="W7" i="23"/>
  <c r="B8" i="23"/>
  <c r="W8" i="23" a="1"/>
  <c r="W8" i="23" s="1"/>
  <c r="X8" i="23"/>
  <c r="W9" i="23"/>
  <c r="B10" i="23"/>
  <c r="W10" i="23" a="1"/>
  <c r="W10" i="23" s="1"/>
  <c r="X10" i="23"/>
  <c r="W11" i="23"/>
  <c r="B12" i="23"/>
  <c r="W12" i="23" a="1"/>
  <c r="W12" i="23" s="1"/>
  <c r="X12" i="23"/>
  <c r="W13" i="23"/>
  <c r="B14" i="23"/>
  <c r="W14" i="23" a="1"/>
  <c r="W14" i="23" s="1"/>
  <c r="X14" i="23"/>
  <c r="W15" i="23"/>
  <c r="B16" i="23"/>
  <c r="W16" i="23" a="1"/>
  <c r="W16" i="23" s="1"/>
  <c r="X16" i="23"/>
  <c r="W17" i="23"/>
  <c r="B18" i="23"/>
  <c r="W18" i="23" a="1"/>
  <c r="W18" i="23" s="1"/>
  <c r="X18" i="23"/>
  <c r="W19" i="23" a="1"/>
  <c r="W19" i="23" s="1"/>
  <c r="B20" i="23"/>
  <c r="W20" i="23" a="1"/>
  <c r="W20" i="23" s="1"/>
  <c r="X20" i="23"/>
  <c r="Y20" i="23" s="1"/>
  <c r="Z20" i="23" s="1"/>
  <c r="W21" i="23" a="1"/>
  <c r="W21" i="23" s="1"/>
  <c r="B22" i="23"/>
  <c r="W22" i="23" a="1"/>
  <c r="W22" i="23" s="1"/>
  <c r="X22" i="23"/>
  <c r="W23" i="23" a="1"/>
  <c r="W23" i="23" s="1"/>
  <c r="B24" i="23"/>
  <c r="W24" i="23" a="1"/>
  <c r="W24" i="23" s="1"/>
  <c r="X24" i="23"/>
  <c r="W25" i="23" a="1"/>
  <c r="W25" i="23" s="1"/>
  <c r="Q1" i="22"/>
  <c r="C2" i="22"/>
  <c r="J2" i="22"/>
  <c r="Q2" i="22"/>
  <c r="U2" i="22"/>
  <c r="B6" i="22"/>
  <c r="W6" i="22" a="1"/>
  <c r="W6" i="22" s="1"/>
  <c r="X6" i="22"/>
  <c r="W7" i="22"/>
  <c r="B8" i="22"/>
  <c r="W8" i="22" a="1"/>
  <c r="W8" i="22" s="1"/>
  <c r="X8" i="22"/>
  <c r="W9" i="22"/>
  <c r="B10" i="22"/>
  <c r="W10" i="22" a="1"/>
  <c r="W10" i="22" s="1"/>
  <c r="X10" i="22"/>
  <c r="W11" i="22"/>
  <c r="Y10" i="22" s="1"/>
  <c r="Z10" i="22" s="1"/>
  <c r="B12" i="22"/>
  <c r="W12" i="22" a="1"/>
  <c r="W12" i="22" s="1"/>
  <c r="X12" i="22"/>
  <c r="W13" i="22"/>
  <c r="B14" i="22"/>
  <c r="W14" i="22" a="1"/>
  <c r="W14" i="22" s="1"/>
  <c r="X14" i="22"/>
  <c r="W15" i="22"/>
  <c r="B16" i="22"/>
  <c r="W16" i="22" a="1"/>
  <c r="W16" i="22" s="1"/>
  <c r="X16" i="22"/>
  <c r="W17" i="22"/>
  <c r="B18" i="22"/>
  <c r="W18" i="22" a="1"/>
  <c r="W18" i="22" s="1"/>
  <c r="X18" i="22"/>
  <c r="W19" i="22" a="1"/>
  <c r="W19" i="22" s="1"/>
  <c r="B20" i="22"/>
  <c r="W20" i="22" a="1"/>
  <c r="W20" i="22" s="1"/>
  <c r="X20" i="22"/>
  <c r="W21" i="22" a="1"/>
  <c r="W21" i="22" s="1"/>
  <c r="B22" i="22"/>
  <c r="W22" i="22" a="1"/>
  <c r="W22" i="22" s="1"/>
  <c r="X22" i="22"/>
  <c r="W23" i="22" a="1"/>
  <c r="W23" i="22" s="1"/>
  <c r="B24" i="22"/>
  <c r="W24" i="22" a="1"/>
  <c r="W24" i="22" s="1"/>
  <c r="X24" i="22"/>
  <c r="W25" i="22" a="1"/>
  <c r="W25" i="22" s="1"/>
  <c r="Q1" i="15"/>
  <c r="C2" i="15"/>
  <c r="J2" i="15"/>
  <c r="Q2" i="15"/>
  <c r="U2" i="15"/>
  <c r="B6" i="15"/>
  <c r="W6" i="15" a="1"/>
  <c r="W6" i="15" s="1"/>
  <c r="X6" i="15"/>
  <c r="W7" i="15"/>
  <c r="B8" i="15"/>
  <c r="W8" i="15" a="1"/>
  <c r="W8" i="15" s="1"/>
  <c r="X8" i="15"/>
  <c r="W9" i="15"/>
  <c r="B10" i="15"/>
  <c r="W10" i="15" a="1"/>
  <c r="W10" i="15" s="1"/>
  <c r="X10" i="15"/>
  <c r="W11" i="15"/>
  <c r="B12" i="15"/>
  <c r="W12" i="15" a="1"/>
  <c r="W12" i="15" s="1"/>
  <c r="X12" i="15"/>
  <c r="W13" i="15"/>
  <c r="B14" i="15"/>
  <c r="W14" i="15" a="1"/>
  <c r="W14" i="15" s="1"/>
  <c r="X14" i="15"/>
  <c r="W15" i="15"/>
  <c r="B16" i="15"/>
  <c r="W16" i="15" a="1"/>
  <c r="W16" i="15" s="1"/>
  <c r="X16" i="15"/>
  <c r="W17" i="15"/>
  <c r="B18" i="15"/>
  <c r="W18" i="15" a="1"/>
  <c r="W18" i="15" s="1"/>
  <c r="X18" i="15"/>
  <c r="W19" i="15" a="1"/>
  <c r="W19" i="15" s="1"/>
  <c r="AA19" i="15" s="1"/>
  <c r="K8" i="27" s="1"/>
  <c r="P8" i="27" s="1"/>
  <c r="Q12" i="10" s="1"/>
  <c r="B20" i="15"/>
  <c r="W20" i="15" a="1"/>
  <c r="W20" i="15" s="1"/>
  <c r="X20" i="15"/>
  <c r="W21" i="15" a="1"/>
  <c r="W21" i="15" s="1"/>
  <c r="B22" i="15"/>
  <c r="W22" i="15" a="1"/>
  <c r="W22" i="15" s="1"/>
  <c r="X22" i="15"/>
  <c r="W23" i="15" a="1"/>
  <c r="W23" i="15" s="1"/>
  <c r="AA23" i="15" s="1"/>
  <c r="K10" i="27" s="1"/>
  <c r="P10" i="27" s="1"/>
  <c r="Q14" i="10" s="1"/>
  <c r="B24" i="15"/>
  <c r="W24" i="15" a="1"/>
  <c r="W24" i="15" s="1"/>
  <c r="X24" i="15"/>
  <c r="W25" i="15" a="1"/>
  <c r="W25" i="15" s="1"/>
  <c r="G1" i="21"/>
  <c r="C2" i="21"/>
  <c r="E2" i="21"/>
  <c r="G2" i="21"/>
  <c r="I2" i="21"/>
  <c r="B6" i="21"/>
  <c r="B7" i="21"/>
  <c r="B8" i="21"/>
  <c r="B9" i="21"/>
  <c r="B10" i="21"/>
  <c r="B11" i="21"/>
  <c r="B12" i="21"/>
  <c r="B13" i="21"/>
  <c r="B14" i="21"/>
  <c r="B15" i="21"/>
  <c r="G1" i="20"/>
  <c r="C2" i="20"/>
  <c r="E2" i="20"/>
  <c r="G2" i="20"/>
  <c r="I2" i="20"/>
  <c r="B6" i="20"/>
  <c r="B7" i="20"/>
  <c r="B8" i="20"/>
  <c r="B9" i="20"/>
  <c r="B10" i="20"/>
  <c r="B11" i="20"/>
  <c r="H11" i="10"/>
  <c r="B12" i="20"/>
  <c r="B13" i="20"/>
  <c r="B14" i="20"/>
  <c r="B15" i="20"/>
  <c r="G1" i="14"/>
  <c r="C2" i="14"/>
  <c r="E2" i="14"/>
  <c r="G2" i="14"/>
  <c r="I2" i="14"/>
  <c r="B6" i="14"/>
  <c r="B7" i="14"/>
  <c r="B8" i="14"/>
  <c r="F8" i="10"/>
  <c r="B9" i="14"/>
  <c r="B10" i="14"/>
  <c r="B11" i="14"/>
  <c r="B12" i="14"/>
  <c r="F12" i="10"/>
  <c r="B13" i="14"/>
  <c r="B14" i="14"/>
  <c r="B15" i="14"/>
  <c r="G1" i="19"/>
  <c r="C2" i="19"/>
  <c r="E2" i="19"/>
  <c r="G2" i="19"/>
  <c r="H2" i="19"/>
  <c r="B6" i="19"/>
  <c r="G6" i="19"/>
  <c r="H6" i="19" s="1"/>
  <c r="I6" i="19" s="1"/>
  <c r="B7" i="19"/>
  <c r="G7" i="19"/>
  <c r="H7" i="19" s="1"/>
  <c r="I7" i="19" s="1"/>
  <c r="B8" i="19"/>
  <c r="G8" i="19"/>
  <c r="H8" i="19" s="1"/>
  <c r="I8" i="19" s="1"/>
  <c r="B9" i="19"/>
  <c r="G9" i="19"/>
  <c r="H9" i="19" s="1"/>
  <c r="I9" i="19" s="1"/>
  <c r="B10" i="19"/>
  <c r="G10" i="19"/>
  <c r="H10" i="19" s="1"/>
  <c r="I10" i="19" s="1"/>
  <c r="B11" i="19"/>
  <c r="G11" i="19"/>
  <c r="H11" i="19" s="1"/>
  <c r="I11" i="19" s="1"/>
  <c r="B12" i="19"/>
  <c r="G12" i="19"/>
  <c r="H12" i="19" s="1"/>
  <c r="I12" i="19" s="1"/>
  <c r="B13" i="19"/>
  <c r="G13" i="19"/>
  <c r="H13" i="19" s="1"/>
  <c r="I13" i="19" s="1"/>
  <c r="B14" i="19"/>
  <c r="G14" i="19"/>
  <c r="H14" i="19" s="1"/>
  <c r="I14" i="19" s="1"/>
  <c r="B15" i="19"/>
  <c r="G15" i="19"/>
  <c r="H15" i="19" s="1"/>
  <c r="I15" i="19" s="1"/>
  <c r="G1" i="18"/>
  <c r="C2" i="18"/>
  <c r="E2" i="18"/>
  <c r="G2" i="18"/>
  <c r="H2" i="18"/>
  <c r="B6" i="18"/>
  <c r="G6" i="18"/>
  <c r="H6" i="18" s="1"/>
  <c r="I6" i="18" s="1"/>
  <c r="B7" i="18"/>
  <c r="G7" i="18"/>
  <c r="H7" i="18" s="1"/>
  <c r="I7" i="18" s="1"/>
  <c r="B8" i="18"/>
  <c r="G8" i="18"/>
  <c r="H8" i="18" s="1"/>
  <c r="I8" i="18" s="1"/>
  <c r="B9" i="18"/>
  <c r="G9" i="18"/>
  <c r="H9" i="18" s="1"/>
  <c r="I9" i="18" s="1"/>
  <c r="B10" i="18"/>
  <c r="G10" i="18"/>
  <c r="H10" i="18" s="1"/>
  <c r="I10" i="18" s="1"/>
  <c r="D10" i="10"/>
  <c r="F6" i="27" s="1"/>
  <c r="B11" i="18"/>
  <c r="G11" i="18"/>
  <c r="H11" i="18" s="1"/>
  <c r="I11" i="18" s="1"/>
  <c r="B12" i="18"/>
  <c r="G12" i="18"/>
  <c r="H12" i="18" s="1"/>
  <c r="I12" i="18" s="1"/>
  <c r="D12" i="10"/>
  <c r="F8" i="27" s="1"/>
  <c r="B13" i="18"/>
  <c r="G13" i="18"/>
  <c r="H13" i="18" s="1"/>
  <c r="I13" i="18" s="1"/>
  <c r="B14" i="18"/>
  <c r="G14" i="18"/>
  <c r="H14" i="18" s="1"/>
  <c r="I14" i="18" s="1"/>
  <c r="B15" i="18"/>
  <c r="G15" i="18"/>
  <c r="H15" i="18" s="1"/>
  <c r="I15" i="18" s="1"/>
  <c r="G1" i="16"/>
  <c r="C2" i="16"/>
  <c r="E2" i="16"/>
  <c r="G2" i="16"/>
  <c r="H2" i="16"/>
  <c r="B6" i="16"/>
  <c r="G6" i="16"/>
  <c r="H6" i="16" s="1"/>
  <c r="B7" i="16"/>
  <c r="G7" i="16"/>
  <c r="H7" i="16" s="1"/>
  <c r="I7" i="16" s="1"/>
  <c r="B8" i="16"/>
  <c r="G8" i="16"/>
  <c r="H8" i="16" s="1"/>
  <c r="I8" i="16" s="1"/>
  <c r="B9" i="16"/>
  <c r="G9" i="16"/>
  <c r="H9" i="16" s="1"/>
  <c r="I9" i="16" s="1"/>
  <c r="B10" i="16"/>
  <c r="G10" i="16"/>
  <c r="H10" i="16" s="1"/>
  <c r="I10" i="16" s="1"/>
  <c r="B11" i="16"/>
  <c r="G11" i="16"/>
  <c r="H11" i="16" s="1"/>
  <c r="I11" i="16" s="1"/>
  <c r="B12" i="16"/>
  <c r="G12" i="16"/>
  <c r="H12" i="16" s="1"/>
  <c r="I12" i="16" s="1"/>
  <c r="B13" i="16"/>
  <c r="G13" i="16"/>
  <c r="H13" i="16" s="1"/>
  <c r="I13" i="16" s="1"/>
  <c r="B14" i="16"/>
  <c r="G14" i="16"/>
  <c r="H14" i="16" s="1"/>
  <c r="I14" i="16" s="1"/>
  <c r="B15" i="16"/>
  <c r="G15" i="16"/>
  <c r="H15" i="16" s="1"/>
  <c r="I15" i="16" s="1"/>
  <c r="D2" i="10"/>
  <c r="L2" i="10"/>
  <c r="C4" i="10"/>
  <c r="E19" i="27" s="1"/>
  <c r="D4" i="10"/>
  <c r="F19" i="27" s="1"/>
  <c r="E4" i="10"/>
  <c r="G19" i="27" s="1"/>
  <c r="F4" i="10"/>
  <c r="H19" i="27" s="1"/>
  <c r="H4" i="10"/>
  <c r="J19" i="27" s="1"/>
  <c r="J4" i="10"/>
  <c r="L19" i="27" s="1"/>
  <c r="L4" i="10"/>
  <c r="M4" i="10"/>
  <c r="N4" i="10"/>
  <c r="B6" i="10"/>
  <c r="J6" i="10"/>
  <c r="N6" i="10"/>
  <c r="B7" i="10"/>
  <c r="J7" i="10"/>
  <c r="N7" i="10"/>
  <c r="B8" i="10"/>
  <c r="J8" i="10"/>
  <c r="N8" i="10"/>
  <c r="B9" i="10"/>
  <c r="J9" i="10"/>
  <c r="N9" i="10"/>
  <c r="B10" i="10"/>
  <c r="J10" i="10"/>
  <c r="N10" i="10"/>
  <c r="B11" i="10"/>
  <c r="J11" i="10"/>
  <c r="N11" i="10"/>
  <c r="B12" i="10"/>
  <c r="J12" i="10"/>
  <c r="N12" i="10"/>
  <c r="B13" i="10"/>
  <c r="J13" i="10"/>
  <c r="N13" i="10"/>
  <c r="B14" i="10"/>
  <c r="J14" i="10"/>
  <c r="N14" i="10"/>
  <c r="B15" i="10"/>
  <c r="J15" i="10"/>
  <c r="N15" i="10"/>
  <c r="A1" i="14"/>
  <c r="A2" i="12"/>
  <c r="A2" i="18" s="1"/>
  <c r="H10" i="10"/>
  <c r="H8" i="10"/>
  <c r="F13" i="10"/>
  <c r="F11" i="10"/>
  <c r="F9" i="10"/>
  <c r="F10" i="10"/>
  <c r="H13" i="10"/>
  <c r="H9" i="10"/>
  <c r="D14" i="10"/>
  <c r="F10" i="27" s="1"/>
  <c r="H15" i="10"/>
  <c r="F15" i="10"/>
  <c r="C14" i="10"/>
  <c r="E10" i="27" s="1"/>
  <c r="F14" i="10"/>
  <c r="F6" i="10"/>
  <c r="H14" i="10"/>
  <c r="F7" i="10"/>
  <c r="H7" i="10"/>
  <c r="H12" i="10"/>
  <c r="H6" i="10"/>
  <c r="M8" i="10"/>
  <c r="C7" i="10"/>
  <c r="E3" i="27" s="1"/>
  <c r="C11" i="10"/>
  <c r="E7" i="27" s="1"/>
  <c r="J15" i="21"/>
  <c r="K15" i="21" s="1"/>
  <c r="E15" i="10"/>
  <c r="G11" i="27" s="1"/>
  <c r="C12" i="10"/>
  <c r="E8" i="27" s="1"/>
  <c r="E14" i="10"/>
  <c r="G10" i="27" s="1"/>
  <c r="E12" i="10"/>
  <c r="G8" i="27" s="1"/>
  <c r="E10" i="10"/>
  <c r="G6" i="27" s="1"/>
  <c r="E8" i="10"/>
  <c r="G4" i="27" s="1"/>
  <c r="E6" i="10"/>
  <c r="G2" i="27" s="1"/>
  <c r="C10" i="10"/>
  <c r="E6" i="27" s="1"/>
  <c r="D6" i="10"/>
  <c r="F2" i="27" s="1"/>
  <c r="E13" i="10"/>
  <c r="G9" i="27" s="1"/>
  <c r="E11" i="10"/>
  <c r="G7" i="27" s="1"/>
  <c r="E9" i="10"/>
  <c r="G5" i="27" s="1"/>
  <c r="E7" i="10"/>
  <c r="G3" i="27" s="1"/>
  <c r="T6" i="10" l="1"/>
  <c r="E68" i="34"/>
  <c r="E14" i="34"/>
  <c r="E88" i="34"/>
  <c r="T10" i="10"/>
  <c r="N8" i="27"/>
  <c r="Q8" i="27" s="1"/>
  <c r="R12" i="10" s="1"/>
  <c r="S12" i="10"/>
  <c r="S14" i="10"/>
  <c r="T11" i="10"/>
  <c r="S10" i="10"/>
  <c r="T14" i="10"/>
  <c r="N10" i="27"/>
  <c r="T9" i="10"/>
  <c r="T12" i="10"/>
  <c r="T7" i="10"/>
  <c r="T8" i="10"/>
  <c r="T15" i="10"/>
  <c r="T13" i="10"/>
  <c r="N6" i="27"/>
  <c r="AA7" i="22"/>
  <c r="L2" i="27" s="1"/>
  <c r="AA13" i="15"/>
  <c r="K5" i="27" s="1"/>
  <c r="P5" i="27" s="1"/>
  <c r="Q9" i="10" s="1"/>
  <c r="AA15" i="15"/>
  <c r="K6" i="27" s="1"/>
  <c r="P6" i="27" s="1"/>
  <c r="Q10" i="10" s="1"/>
  <c r="AA21" i="15"/>
  <c r="K9" i="27" s="1"/>
  <c r="P9" i="27" s="1"/>
  <c r="Q13" i="10" s="1"/>
  <c r="AA7" i="15"/>
  <c r="K2" i="27" s="1"/>
  <c r="Y6" i="15"/>
  <c r="D8" i="10"/>
  <c r="F4" i="27" s="1"/>
  <c r="D7" i="10"/>
  <c r="F3" i="27" s="1"/>
  <c r="N3" i="27" s="1"/>
  <c r="D11" i="10"/>
  <c r="F7" i="27" s="1"/>
  <c r="N7" i="27" s="1"/>
  <c r="D13" i="10"/>
  <c r="F9" i="27" s="1"/>
  <c r="D9" i="10"/>
  <c r="F5" i="27" s="1"/>
  <c r="D15" i="10"/>
  <c r="F11" i="27" s="1"/>
  <c r="C9" i="10"/>
  <c r="C13" i="10"/>
  <c r="C8" i="10"/>
  <c r="C15" i="10"/>
  <c r="I6" i="16"/>
  <c r="C6" i="10"/>
  <c r="A16" i="27"/>
  <c r="E163" i="34"/>
  <c r="E99" i="34"/>
  <c r="A1" i="16"/>
  <c r="E120" i="34"/>
  <c r="E164" i="34"/>
  <c r="E162" i="34"/>
  <c r="E160" i="34"/>
  <c r="E158" i="34"/>
  <c r="E156" i="34"/>
  <c r="A2" i="21"/>
  <c r="E155" i="34"/>
  <c r="E154" i="34"/>
  <c r="E152" i="34"/>
  <c r="E150" i="34"/>
  <c r="E148" i="34"/>
  <c r="E147" i="34"/>
  <c r="E146" i="34"/>
  <c r="E144" i="34"/>
  <c r="E142" i="34"/>
  <c r="E140" i="34"/>
  <c r="E138" i="34"/>
  <c r="E136" i="34"/>
  <c r="E134" i="34"/>
  <c r="E132" i="34"/>
  <c r="E131" i="34"/>
  <c r="E130" i="34"/>
  <c r="E128" i="34"/>
  <c r="E126" i="34"/>
  <c r="E124" i="34"/>
  <c r="E122" i="34"/>
  <c r="E118" i="34"/>
  <c r="E116" i="34"/>
  <c r="E114" i="34"/>
  <c r="E112" i="34"/>
  <c r="E110" i="34"/>
  <c r="E108" i="34"/>
  <c r="E106" i="34"/>
  <c r="E104" i="34"/>
  <c r="E102" i="34"/>
  <c r="E100" i="34"/>
  <c r="E98" i="34"/>
  <c r="E96" i="34"/>
  <c r="E94" i="34"/>
  <c r="E92" i="34"/>
  <c r="E90" i="34"/>
  <c r="E86" i="34"/>
  <c r="E84" i="34"/>
  <c r="E82" i="34"/>
  <c r="E80" i="34"/>
  <c r="E78" i="34"/>
  <c r="E76" i="34"/>
  <c r="E74" i="34"/>
  <c r="E72" i="34"/>
  <c r="E83" i="34"/>
  <c r="E115" i="34"/>
  <c r="E151" i="34"/>
  <c r="E149" i="34"/>
  <c r="E143" i="34"/>
  <c r="E139" i="34"/>
  <c r="E159" i="34"/>
  <c r="E157" i="34"/>
  <c r="E141" i="34"/>
  <c r="E129" i="34"/>
  <c r="E123" i="34"/>
  <c r="E121" i="34"/>
  <c r="E107" i="34"/>
  <c r="E103" i="34"/>
  <c r="E95" i="34"/>
  <c r="E91" i="34"/>
  <c r="E87" i="34"/>
  <c r="E79" i="34"/>
  <c r="E75" i="34"/>
  <c r="E71" i="34"/>
  <c r="E153" i="34"/>
  <c r="E133" i="34"/>
  <c r="E125" i="34"/>
  <c r="E161" i="34"/>
  <c r="E145" i="34"/>
  <c r="E137" i="34"/>
  <c r="E135" i="34"/>
  <c r="E127" i="34"/>
  <c r="E119" i="34"/>
  <c r="E111" i="34"/>
  <c r="E113" i="34"/>
  <c r="E105" i="34"/>
  <c r="E97" i="34"/>
  <c r="E89" i="34"/>
  <c r="E81" i="34"/>
  <c r="E117" i="34"/>
  <c r="E109" i="34"/>
  <c r="E101" i="34"/>
  <c r="E93" i="34"/>
  <c r="E85" i="34"/>
  <c r="E77" i="34"/>
  <c r="E73" i="34"/>
  <c r="E69" i="34"/>
  <c r="E17" i="34"/>
  <c r="E186" i="34"/>
  <c r="E183" i="34"/>
  <c r="E178" i="34"/>
  <c r="E175" i="34"/>
  <c r="E170" i="34"/>
  <c r="E167" i="34"/>
  <c r="Y22" i="22"/>
  <c r="Y20" i="15"/>
  <c r="Y20" i="22"/>
  <c r="Y18" i="22"/>
  <c r="Y16" i="22"/>
  <c r="Y14" i="22"/>
  <c r="Y12" i="22"/>
  <c r="Y8" i="22"/>
  <c r="Y6" i="22"/>
  <c r="Y24" i="23"/>
  <c r="Z24" i="23" s="1"/>
  <c r="Y22" i="23"/>
  <c r="Z22" i="23" s="1"/>
  <c r="Y24" i="15"/>
  <c r="Y22" i="15"/>
  <c r="Y18" i="23"/>
  <c r="Z18" i="23" s="1"/>
  <c r="Y16" i="23"/>
  <c r="Z16" i="23" s="1"/>
  <c r="Y6" i="23"/>
  <c r="Z6" i="23" s="1"/>
  <c r="Y18" i="15"/>
  <c r="Y16" i="15"/>
  <c r="Y14" i="15"/>
  <c r="Y12" i="15"/>
  <c r="Y10" i="15"/>
  <c r="Y8" i="15"/>
  <c r="Y24" i="22"/>
  <c r="Y14" i="23"/>
  <c r="Z14" i="23" s="1"/>
  <c r="Y12" i="23"/>
  <c r="Z12" i="23" s="1"/>
  <c r="Y10" i="23"/>
  <c r="Z10" i="23" s="1"/>
  <c r="Y8" i="23"/>
  <c r="Z8" i="23" s="1"/>
  <c r="G40" i="37"/>
  <c r="P40" i="37"/>
  <c r="G38" i="37"/>
  <c r="P38" i="37"/>
  <c r="G36" i="37"/>
  <c r="P36" i="37"/>
  <c r="P34" i="37"/>
  <c r="G34" i="37"/>
  <c r="G32" i="37"/>
  <c r="P32" i="37"/>
  <c r="P28" i="37"/>
  <c r="G28" i="37"/>
  <c r="G26" i="37"/>
  <c r="P26" i="37"/>
  <c r="P20" i="37"/>
  <c r="G20" i="37"/>
  <c r="G41" i="37"/>
  <c r="P41" i="37"/>
  <c r="G39" i="37"/>
  <c r="P39" i="37"/>
  <c r="G35" i="37"/>
  <c r="P35" i="37"/>
  <c r="G31" i="37"/>
  <c r="P31" i="37"/>
  <c r="P29" i="37"/>
  <c r="G29" i="37"/>
  <c r="P25" i="37"/>
  <c r="G25" i="37"/>
  <c r="G23" i="37"/>
  <c r="P23" i="37"/>
  <c r="G22" i="37"/>
  <c r="P22" i="37"/>
  <c r="P33" i="37"/>
  <c r="G33" i="37"/>
  <c r="G30" i="37"/>
  <c r="P30" i="37"/>
  <c r="G27" i="37"/>
  <c r="P27" i="37"/>
  <c r="G24" i="37"/>
  <c r="P24" i="37"/>
  <c r="P37" i="37"/>
  <c r="G37" i="37"/>
  <c r="G19" i="37"/>
  <c r="P19" i="37"/>
  <c r="P21" i="37"/>
  <c r="G21" i="37"/>
  <c r="G18" i="37"/>
  <c r="P18" i="37"/>
  <c r="A1" i="24"/>
  <c r="A1" i="19"/>
  <c r="A1" i="25"/>
  <c r="A1" i="20"/>
  <c r="A2" i="20"/>
  <c r="A2" i="24"/>
  <c r="A1" i="23"/>
  <c r="A1" i="21"/>
  <c r="A1" i="22"/>
  <c r="A1" i="18"/>
  <c r="A1" i="15"/>
  <c r="A1" i="10"/>
  <c r="A2" i="19"/>
  <c r="A2" i="15"/>
  <c r="A2" i="10"/>
  <c r="A2" i="22"/>
  <c r="A2" i="16"/>
  <c r="A2" i="14"/>
  <c r="A2" i="25"/>
  <c r="A17" i="27"/>
  <c r="E20" i="34"/>
  <c r="E15" i="34"/>
  <c r="E12" i="34"/>
  <c r="E188" i="34"/>
  <c r="E185" i="34"/>
  <c r="E180" i="34"/>
  <c r="E177" i="34"/>
  <c r="E172" i="34"/>
  <c r="E169" i="34"/>
  <c r="E190" i="34"/>
  <c r="E187" i="34"/>
  <c r="E182" i="34"/>
  <c r="E179" i="34"/>
  <c r="E174" i="34"/>
  <c r="E171" i="34"/>
  <c r="E166" i="34"/>
  <c r="E19" i="34"/>
  <c r="E189" i="34"/>
  <c r="E184" i="34"/>
  <c r="E181" i="34"/>
  <c r="E176" i="34"/>
  <c r="E173" i="34"/>
  <c r="E168" i="34"/>
  <c r="E165" i="34"/>
  <c r="A2" i="23"/>
  <c r="E21" i="34"/>
  <c r="E18" i="34"/>
  <c r="E13" i="34"/>
  <c r="S13" i="10" l="1"/>
  <c r="E9" i="27"/>
  <c r="N9" i="27" s="1"/>
  <c r="S7" i="10"/>
  <c r="O12" i="10"/>
  <c r="S9" i="10"/>
  <c r="E5" i="27"/>
  <c r="N5" i="27" s="1"/>
  <c r="S15" i="10"/>
  <c r="E11" i="27"/>
  <c r="N11" i="27" s="1"/>
  <c r="S8" i="10"/>
  <c r="E4" i="27"/>
  <c r="N4" i="27" s="1"/>
  <c r="S6" i="10"/>
  <c r="E2" i="27"/>
  <c r="N2" i="27" s="1"/>
  <c r="O6" i="10" s="1"/>
  <c r="P2" i="27"/>
  <c r="Q6" i="10" s="1"/>
  <c r="Q7" i="27"/>
  <c r="R11" i="10" s="1"/>
  <c r="O11" i="10"/>
  <c r="Q3" i="27"/>
  <c r="R7" i="10" s="1"/>
  <c r="O7" i="10"/>
  <c r="Q6" i="27"/>
  <c r="R10" i="10" s="1"/>
  <c r="O10" i="10"/>
  <c r="Q10" i="27"/>
  <c r="R14" i="10" s="1"/>
  <c r="O14" i="10"/>
  <c r="S11" i="10"/>
  <c r="Z12" i="15"/>
  <c r="L9" i="10"/>
  <c r="Z6" i="22"/>
  <c r="M6" i="10"/>
  <c r="Z8" i="15"/>
  <c r="L7" i="10"/>
  <c r="Z16" i="15"/>
  <c r="L11" i="10"/>
  <c r="Z12" i="22"/>
  <c r="M9" i="10"/>
  <c r="Z20" i="22"/>
  <c r="M13" i="10"/>
  <c r="Z22" i="22"/>
  <c r="M14" i="10"/>
  <c r="Z10" i="15"/>
  <c r="L8" i="10"/>
  <c r="U8" i="10" s="1"/>
  <c r="Z18" i="15"/>
  <c r="L12" i="10"/>
  <c r="Z14" i="22"/>
  <c r="M10" i="10"/>
  <c r="Z20" i="15"/>
  <c r="L13" i="10"/>
  <c r="Z22" i="15"/>
  <c r="L14" i="10"/>
  <c r="Z16" i="22"/>
  <c r="M11" i="10"/>
  <c r="Z24" i="22"/>
  <c r="M15" i="10"/>
  <c r="Z14" i="15"/>
  <c r="L10" i="10"/>
  <c r="Z24" i="15"/>
  <c r="L15" i="10"/>
  <c r="U15" i="10" s="1"/>
  <c r="Z8" i="22"/>
  <c r="M7" i="10"/>
  <c r="Z18" i="22"/>
  <c r="M12" i="10"/>
  <c r="Z6" i="15"/>
  <c r="L6" i="10"/>
  <c r="C22" i="34"/>
  <c r="D22" i="34"/>
  <c r="B22" i="34"/>
  <c r="C24" i="34"/>
  <c r="B24" i="34"/>
  <c r="D24" i="34"/>
  <c r="C65" i="34"/>
  <c r="B65" i="34"/>
  <c r="D65" i="34"/>
  <c r="C61" i="34"/>
  <c r="B61" i="34"/>
  <c r="D61" i="34"/>
  <c r="B57" i="34"/>
  <c r="C57" i="34"/>
  <c r="D57" i="34"/>
  <c r="B53" i="34"/>
  <c r="D53" i="34"/>
  <c r="C53" i="34"/>
  <c r="B49" i="34"/>
  <c r="D49" i="34"/>
  <c r="C49" i="34"/>
  <c r="B45" i="34"/>
  <c r="D45" i="34"/>
  <c r="C45" i="34"/>
  <c r="B41" i="34"/>
  <c r="D41" i="34"/>
  <c r="C41" i="34"/>
  <c r="B37" i="34"/>
  <c r="D37" i="34"/>
  <c r="C37" i="34"/>
  <c r="B33" i="34"/>
  <c r="D33" i="34"/>
  <c r="C33" i="34"/>
  <c r="B29" i="34"/>
  <c r="D29" i="34"/>
  <c r="C29" i="34"/>
  <c r="B27" i="34"/>
  <c r="D27" i="34"/>
  <c r="C27" i="34"/>
  <c r="B23" i="34"/>
  <c r="D23" i="34"/>
  <c r="C23" i="34"/>
  <c r="B64" i="34"/>
  <c r="D64" i="34"/>
  <c r="C64" i="34"/>
  <c r="B60" i="34"/>
  <c r="D60" i="34"/>
  <c r="C60" i="34"/>
  <c r="C56" i="34"/>
  <c r="B56" i="34"/>
  <c r="D56" i="34"/>
  <c r="C52" i="34"/>
  <c r="B52" i="34"/>
  <c r="D52" i="34"/>
  <c r="C48" i="34"/>
  <c r="B48" i="34"/>
  <c r="D48" i="34"/>
  <c r="C44" i="34"/>
  <c r="B44" i="34"/>
  <c r="D44" i="34"/>
  <c r="C40" i="34"/>
  <c r="B40" i="34"/>
  <c r="D40" i="34"/>
  <c r="C36" i="34"/>
  <c r="B36" i="34"/>
  <c r="D36" i="34"/>
  <c r="C32" i="34"/>
  <c r="B32" i="34"/>
  <c r="D32" i="34"/>
  <c r="C28" i="34"/>
  <c r="B28" i="34"/>
  <c r="D28" i="34"/>
  <c r="C26" i="34"/>
  <c r="D26" i="34"/>
  <c r="B26" i="34"/>
  <c r="C67" i="34"/>
  <c r="D67" i="34"/>
  <c r="B67" i="34"/>
  <c r="C63" i="34"/>
  <c r="D63" i="34"/>
  <c r="B63" i="34"/>
  <c r="C59" i="34"/>
  <c r="D59" i="34"/>
  <c r="B59" i="34"/>
  <c r="B55" i="34"/>
  <c r="D55" i="34"/>
  <c r="C55" i="34"/>
  <c r="B51" i="34"/>
  <c r="D51" i="34"/>
  <c r="C51" i="34"/>
  <c r="B47" i="34"/>
  <c r="D47" i="34"/>
  <c r="C47" i="34"/>
  <c r="B43" i="34"/>
  <c r="D43" i="34"/>
  <c r="C43" i="34"/>
  <c r="B39" i="34"/>
  <c r="D39" i="34"/>
  <c r="C39" i="34"/>
  <c r="B35" i="34"/>
  <c r="D35" i="34"/>
  <c r="C35" i="34"/>
  <c r="B31" i="34"/>
  <c r="D31" i="34"/>
  <c r="C31" i="34"/>
  <c r="B25" i="34"/>
  <c r="D25" i="34"/>
  <c r="C25" i="34"/>
  <c r="B66" i="34"/>
  <c r="D66" i="34"/>
  <c r="C66" i="34"/>
  <c r="B62" i="34"/>
  <c r="D62" i="34"/>
  <c r="C62" i="34"/>
  <c r="B58" i="34"/>
  <c r="D58" i="34"/>
  <c r="C58" i="34"/>
  <c r="C54" i="34"/>
  <c r="D54" i="34"/>
  <c r="B54" i="34"/>
  <c r="C50" i="34"/>
  <c r="D50" i="34"/>
  <c r="B50" i="34"/>
  <c r="C46" i="34"/>
  <c r="D46" i="34"/>
  <c r="B46" i="34"/>
  <c r="C42" i="34"/>
  <c r="D42" i="34"/>
  <c r="B42" i="34"/>
  <c r="C38" i="34"/>
  <c r="D38" i="34"/>
  <c r="B38" i="34"/>
  <c r="C34" i="34"/>
  <c r="D34" i="34"/>
  <c r="B34" i="34"/>
  <c r="C30" i="34"/>
  <c r="D30" i="34"/>
  <c r="B30" i="34"/>
  <c r="Q4" i="27" l="1"/>
  <c r="R8" i="10" s="1"/>
  <c r="O8" i="10"/>
  <c r="Q9" i="27"/>
  <c r="R13" i="10" s="1"/>
  <c r="O13" i="10"/>
  <c r="O9" i="10"/>
  <c r="Q5" i="27"/>
  <c r="R9" i="10" s="1"/>
  <c r="U14" i="10"/>
  <c r="V14" i="10" s="1"/>
  <c r="Q11" i="27"/>
  <c r="R15" i="10" s="1"/>
  <c r="O15" i="10"/>
  <c r="U6" i="10"/>
  <c r="V6" i="10" s="1"/>
  <c r="Q2" i="27"/>
  <c r="R6" i="10" s="1"/>
  <c r="U11" i="10"/>
  <c r="U10" i="10"/>
  <c r="U13" i="10"/>
  <c r="V13" i="10" s="1"/>
  <c r="U12" i="10"/>
  <c r="V12" i="10" s="1"/>
  <c r="U7" i="10"/>
  <c r="V7" i="10" s="1"/>
  <c r="U9" i="10"/>
  <c r="V8" i="10"/>
  <c r="V11" i="10"/>
  <c r="V10" i="10"/>
  <c r="V9" i="10"/>
  <c r="V15" i="10"/>
  <c r="E59" i="34"/>
  <c r="E30" i="34"/>
  <c r="E38" i="34"/>
  <c r="E46" i="34"/>
  <c r="E22" i="34"/>
  <c r="E54" i="34"/>
  <c r="E58" i="34"/>
  <c r="E43" i="34"/>
  <c r="E63" i="34"/>
  <c r="E67" i="34"/>
  <c r="E32" i="34"/>
  <c r="E40" i="34"/>
  <c r="E48" i="34"/>
  <c r="E56" i="34"/>
  <c r="E60" i="34"/>
  <c r="E64" i="34"/>
  <c r="E25" i="34"/>
  <c r="E55" i="34"/>
  <c r="E34" i="34"/>
  <c r="E42" i="34"/>
  <c r="E50" i="34"/>
  <c r="E62" i="34"/>
  <c r="E66" i="34"/>
  <c r="E26" i="34"/>
  <c r="E28" i="34"/>
  <c r="E36" i="34"/>
  <c r="E44" i="34"/>
  <c r="E52" i="34"/>
  <c r="E61" i="34"/>
  <c r="E65" i="34"/>
  <c r="E31" i="34"/>
  <c r="E35" i="34"/>
  <c r="E39" i="34"/>
  <c r="E47" i="34"/>
  <c r="E51" i="34"/>
  <c r="E23" i="34"/>
  <c r="E27" i="34"/>
  <c r="E29" i="34"/>
  <c r="E33" i="34"/>
  <c r="E37" i="34"/>
  <c r="E41" i="34"/>
  <c r="E45" i="34"/>
  <c r="E49" i="34"/>
  <c r="E53" i="34"/>
  <c r="E57" i="34"/>
  <c r="E24" i="34"/>
  <c r="W15" i="10" l="1"/>
  <c r="W13" i="10"/>
  <c r="W7" i="10"/>
  <c r="W10" i="10"/>
  <c r="W14" i="10"/>
  <c r="W12" i="10"/>
  <c r="W9" i="10"/>
  <c r="W11" i="10"/>
  <c r="W8" i="10"/>
  <c r="W6" i="10"/>
  <c r="A12" i="24" l="1"/>
  <c r="R7" i="27"/>
  <c r="B33" i="37" s="1"/>
  <c r="A11" i="24"/>
  <c r="R6" i="27"/>
  <c r="B30" i="37" s="1"/>
  <c r="R2" i="27"/>
  <c r="B18" i="37" s="1"/>
  <c r="A10" i="24"/>
  <c r="R5" i="27"/>
  <c r="B27" i="37" s="1"/>
  <c r="A8" i="24"/>
  <c r="R3" i="27"/>
  <c r="B21" i="37" s="1"/>
  <c r="A13" i="24"/>
  <c r="R8" i="27"/>
  <c r="B36" i="37" s="1"/>
  <c r="A14" i="24"/>
  <c r="R9" i="27"/>
  <c r="B39" i="37" s="1"/>
  <c r="A9" i="24"/>
  <c r="R4" i="27"/>
  <c r="B24" i="37" s="1"/>
  <c r="A15" i="24"/>
  <c r="R10" i="27"/>
  <c r="B42" i="37" s="1"/>
  <c r="R11" i="27"/>
  <c r="B45" i="37" s="1"/>
  <c r="A7"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Florian Hess</author>
  </authors>
  <commentList>
    <comment ref="F3" authorId="0" shapeId="0" xr:uid="{00000000-0006-0000-0100-000001000000}">
      <text>
        <r>
          <rPr>
            <b/>
            <sz val="9"/>
            <color indexed="81"/>
            <rFont val="Segoe UI"/>
            <family val="2"/>
          </rPr>
          <t>Florian Hess:</t>
        </r>
        <r>
          <rPr>
            <sz val="9"/>
            <color indexed="81"/>
            <rFont val="Segoe UI"/>
            <family val="2"/>
          </rPr>
          <t xml:space="preserve">
Delete the text "Pool" in Final round!</t>
        </r>
      </text>
    </comment>
    <comment ref="F4" authorId="0" shapeId="0" xr:uid="{00000000-0006-0000-0100-000002000000}">
      <text>
        <r>
          <rPr>
            <b/>
            <sz val="9"/>
            <color indexed="81"/>
            <rFont val="Segoe UI"/>
            <family val="2"/>
          </rPr>
          <t>Florian Hess:</t>
        </r>
        <r>
          <rPr>
            <sz val="9"/>
            <color indexed="81"/>
            <rFont val="Segoe UI"/>
            <family val="2"/>
          </rPr>
          <t xml:space="preserve">
Delete the Pool in Final round!</t>
        </r>
      </text>
    </comment>
    <comment ref="B13" authorId="0" shapeId="0" xr:uid="{00000000-0006-0000-0100-000003000000}">
      <text>
        <r>
          <rPr>
            <b/>
            <sz val="9"/>
            <color indexed="81"/>
            <rFont val="Segoe UI"/>
            <family val="2"/>
          </rPr>
          <t>Florian Hess:</t>
        </r>
        <r>
          <rPr>
            <sz val="9"/>
            <color indexed="81"/>
            <rFont val="Segoe UI"/>
            <family val="2"/>
          </rPr>
          <t xml:space="preserve">
Double Click for Autocomplete! (Name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Hess</author>
  </authors>
  <commentList>
    <comment ref="C6" authorId="0" shapeId="0" xr:uid="{00000000-0006-0000-0200-000001000000}">
      <text>
        <r>
          <rPr>
            <b/>
            <sz val="8"/>
            <color indexed="81"/>
            <rFont val="Tahoma"/>
            <family val="2"/>
          </rPr>
          <t>Hess:</t>
        </r>
        <r>
          <rPr>
            <sz val="8"/>
            <color indexed="81"/>
            <rFont val="Tahoma"/>
            <family val="2"/>
          </rPr>
          <t xml:space="preserve">
Enter the number of errors (not the point deduction)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Verbindung" type="4" refreshedVersion="4" background="1" saveData="1">
    <webPr sourceData="1" parsePre="1" consecutive="1" textDates="1" xl2000="1" url="http://www.shrednow.com/rankings/pointscales.html" htmlTables="1">
      <tables count="1">
        <x v="7"/>
      </tables>
    </webPr>
  </connection>
  <connection id="2" xr16:uid="{00000000-0015-0000-FFFF-FFFF01000000}" name="Verbindung1" type="4" refreshedVersion="6" background="1" saveData="1">
    <webPr sourceData="1" parsePre="1" textDates="1" xl2000="1" url="http://koljah.de/freestylediscrankings/currentopen2.htm" htmlTables="1"/>
  </connection>
</connections>
</file>

<file path=xl/sharedStrings.xml><?xml version="1.0" encoding="utf-8"?>
<sst xmlns="http://schemas.openxmlformats.org/spreadsheetml/2006/main" count="4795" uniqueCount="1750">
  <si>
    <t>Rank</t>
  </si>
  <si>
    <t>Execution</t>
  </si>
  <si>
    <t>Artistic Impression</t>
  </si>
  <si>
    <t>Difficulty</t>
  </si>
  <si>
    <t>Total</t>
  </si>
  <si>
    <t>EX 1</t>
  </si>
  <si>
    <t>EX 2</t>
  </si>
  <si>
    <t>AI 1</t>
  </si>
  <si>
    <t>AI 2</t>
  </si>
  <si>
    <t>#</t>
  </si>
  <si>
    <t>Player 1</t>
  </si>
  <si>
    <t>Player 2</t>
  </si>
  <si>
    <t>Judges</t>
  </si>
  <si>
    <t>Division</t>
  </si>
  <si>
    <t>Round</t>
  </si>
  <si>
    <t>Player 3</t>
  </si>
  <si>
    <t>Team</t>
  </si>
  <si>
    <t>Intermediate Error</t>
  </si>
  <si>
    <t>Sum</t>
  </si>
  <si>
    <t>Score</t>
  </si>
  <si>
    <t>Teamwork</t>
  </si>
  <si>
    <t>Variety</t>
  </si>
  <si>
    <t>0.0 - 10.0</t>
  </si>
  <si>
    <t>4 min</t>
  </si>
  <si>
    <t>5 min</t>
  </si>
  <si>
    <t>3 min</t>
  </si>
  <si>
    <t>EX 3</t>
  </si>
  <si>
    <t>AI 3</t>
  </si>
  <si>
    <t>DIFF 3</t>
  </si>
  <si>
    <t>Date:</t>
  </si>
  <si>
    <t>Dropped Mark</t>
  </si>
  <si>
    <t>Deductions</t>
  </si>
  <si>
    <t>Notes</t>
  </si>
  <si>
    <t>Minutes:</t>
  </si>
  <si>
    <t>Time Penalty</t>
  </si>
  <si>
    <t>Receive  Music</t>
  </si>
  <si>
    <t>Timecalls</t>
  </si>
  <si>
    <t>Judge</t>
  </si>
  <si>
    <t>Teams</t>
  </si>
  <si>
    <t>Time:</t>
  </si>
  <si>
    <t>turnovers</t>
  </si>
  <si>
    <t>tipping</t>
  </si>
  <si>
    <t>kicks</t>
  </si>
  <si>
    <t>against the spin</t>
  </si>
  <si>
    <t>control moves</t>
  </si>
  <si>
    <t>angle adjustments</t>
  </si>
  <si>
    <t>cuffs</t>
  </si>
  <si>
    <t>brushing</t>
  </si>
  <si>
    <t>deflections</t>
  </si>
  <si>
    <t>upside down</t>
  </si>
  <si>
    <t>rolls</t>
  </si>
  <si>
    <t>*</t>
  </si>
  <si>
    <t>DIF 1</t>
  </si>
  <si>
    <t>DIF 2</t>
  </si>
  <si>
    <t>DIF 3</t>
  </si>
  <si>
    <t>Settings</t>
  </si>
  <si>
    <t>Subtitle</t>
  </si>
  <si>
    <t>Name</t>
  </si>
  <si>
    <t>ITA</t>
  </si>
  <si>
    <t>USA</t>
  </si>
  <si>
    <t>HUN</t>
  </si>
  <si>
    <t>GER</t>
  </si>
  <si>
    <t>SWE</t>
  </si>
  <si>
    <t>SUI</t>
  </si>
  <si>
    <t>CZE</t>
  </si>
  <si>
    <t>ISR</t>
  </si>
  <si>
    <t>GBR</t>
  </si>
  <si>
    <t>PUR</t>
  </si>
  <si>
    <t>DEN</t>
  </si>
  <si>
    <t>JPN</t>
  </si>
  <si>
    <t>NOR</t>
  </si>
  <si>
    <t>NED</t>
  </si>
  <si>
    <t>CAN</t>
  </si>
  <si>
    <t>COL</t>
  </si>
  <si>
    <t>BRA</t>
  </si>
  <si>
    <t>POL</t>
  </si>
  <si>
    <t>Country</t>
  </si>
  <si>
    <t>Event Name</t>
  </si>
  <si>
    <t>Number of Teams</t>
  </si>
  <si>
    <t>Number of Judges</t>
  </si>
  <si>
    <t>Attention! This option should only be used by the Administrator. It enables the override protection of formulas!</t>
  </si>
  <si>
    <t>Head Judge:</t>
  </si>
  <si>
    <t>If you want to enter all single points and let the computer calculate the final results than choose "all Marks". If you want to enter only the results the judges had calculated, than choose "only Results". At this option you can edit the results table directly and don't fill every single category scoresheet.</t>
  </si>
  <si>
    <t>Florian Hess</t>
  </si>
  <si>
    <t>Scoresheet Contact</t>
  </si>
  <si>
    <t>+49 (0) 157 75744571</t>
  </si>
  <si>
    <t>Ranking Points</t>
  </si>
  <si>
    <t>Place</t>
  </si>
  <si>
    <t>Regular (100%)</t>
  </si>
  <si>
    <t>20+</t>
  </si>
  <si>
    <t>Regular (80%)</t>
  </si>
  <si>
    <t>15-19</t>
  </si>
  <si>
    <t>Regular (65%)</t>
  </si>
  <si>
    <t>10-14</t>
  </si>
  <si>
    <t>Regular (50%)</t>
  </si>
  <si>
    <t>4-9</t>
  </si>
  <si>
    <t>Pro (120%)</t>
  </si>
  <si>
    <t>FPAW (160%)</t>
  </si>
  <si>
    <t>Form</t>
  </si>
  <si>
    <t>Flow</t>
  </si>
  <si>
    <t>(Sum + Bonus) : Count-1) * 1,5 = Score</t>
  </si>
  <si>
    <t>Throws (0-2 points)</t>
  </si>
  <si>
    <t>Back hand</t>
  </si>
  <si>
    <t>Fore hand</t>
  </si>
  <si>
    <t>Over hand</t>
  </si>
  <si>
    <t>Under hand</t>
  </si>
  <si>
    <t>Helicopter</t>
  </si>
  <si>
    <t>Air bounce</t>
  </si>
  <si>
    <t>Macs, Subs</t>
  </si>
  <si>
    <t>Catches (0-2 points)</t>
  </si>
  <si>
    <t>Gitis, Flamingitis, Gitosis</t>
  </si>
  <si>
    <t>Flamingo, Flamingosis</t>
  </si>
  <si>
    <t>Behind the back/head</t>
  </si>
  <si>
    <t>Triple fake (behind the head)</t>
  </si>
  <si>
    <t>Phlaud, Chair</t>
  </si>
  <si>
    <t>Under the leg (different versions)</t>
  </si>
  <si>
    <t>Bad attitude, Olivia, Oliver</t>
  </si>
  <si>
    <t>Scare crow, Dragon</t>
  </si>
  <si>
    <t>Lacer, Indigenous, Extraneous</t>
  </si>
  <si>
    <t>Figure 4, Monster</t>
  </si>
  <si>
    <t>Flying catches (e.g. roots, gitis roll)</t>
  </si>
  <si>
    <t>Acrobatic catches (e.g. handstand, cartwheel)</t>
  </si>
  <si>
    <t>Disc handling (0-2 points)</t>
  </si>
  <si>
    <t>guides</t>
  </si>
  <si>
    <t>Styles of play (0-2 points)</t>
  </si>
  <si>
    <t>Parallel exercises</t>
  </si>
  <si>
    <t>Multiple disc</t>
  </si>
  <si>
    <t>Speed flow</t>
  </si>
  <si>
    <t>Juggling</t>
  </si>
  <si>
    <t>Twirling</t>
  </si>
  <si>
    <t>Padiddling</t>
  </si>
  <si>
    <t>Complex body movements</t>
  </si>
  <si>
    <t>Playing both spins (no, little, medium, much, fully)</t>
  </si>
  <si>
    <t xml:space="preserve">Guideline for points: </t>
  </si>
  <si>
    <t>1.5=high variety</t>
  </si>
  <si>
    <t>2=very high</t>
  </si>
  <si>
    <t>0.5=little variety</t>
  </si>
  <si>
    <t>0=very little variety</t>
  </si>
  <si>
    <t>0=using just one hand</t>
  </si>
  <si>
    <t>0.5=little use of second hand</t>
  </si>
  <si>
    <t>1.5=high use of second hand</t>
  </si>
  <si>
    <t>2=using both hands equally often</t>
  </si>
  <si>
    <t>0=using just one spin/hand</t>
  </si>
  <si>
    <t>0.5=little use of second spin/hand</t>
  </si>
  <si>
    <t>1.5=high use of second spin/hand</t>
  </si>
  <si>
    <t>Total Variety Points</t>
  </si>
  <si>
    <t>Upside down</t>
  </si>
  <si>
    <t>The number of Judges (Column count will be adjusted)</t>
  </si>
  <si>
    <t>Please help to improve this sheets and report all problems or bugs!</t>
  </si>
  <si>
    <t>If you have technical problems or questions, feel free to contact Flo!</t>
  </si>
  <si>
    <t>Please Note:</t>
  </si>
  <si>
    <t>Prints all scoresheets! Please make sure that the Printer you want to use is set as "default printer" in your printersettings!</t>
  </si>
  <si>
    <t>The number of teams in this Round (Row count will be adjusted)</t>
  </si>
  <si>
    <t>The full functionnality is only available with an official Microsoft Office version on Windows computers!</t>
  </si>
  <si>
    <t>Always enable Makro!</t>
  </si>
  <si>
    <t>Team 1</t>
  </si>
  <si>
    <t>Team 2</t>
  </si>
  <si>
    <t>Team 3</t>
  </si>
  <si>
    <t>Team 4</t>
  </si>
  <si>
    <t>Team 5</t>
  </si>
  <si>
    <t>Team 6</t>
  </si>
  <si>
    <t>Team 7</t>
  </si>
  <si>
    <t>Team 8</t>
  </si>
  <si>
    <t>Team 9</t>
  </si>
  <si>
    <t>Team 10</t>
  </si>
  <si>
    <t>Required Features</t>
  </si>
  <si>
    <t>Mark lowes Mark in Diff sheet</t>
  </si>
  <si>
    <t>FIN</t>
  </si>
  <si>
    <t>Open Pairs</t>
  </si>
  <si>
    <t>Pool</t>
  </si>
  <si>
    <t>others________________________________</t>
  </si>
  <si>
    <t>Catches with extended/condensed bodypositions</t>
  </si>
  <si>
    <t>2=use both spins/hands equally often</t>
  </si>
  <si>
    <t>Music Choreographie</t>
  </si>
  <si>
    <t>Judging Committee:</t>
  </si>
  <si>
    <t>Consec. Bonus  Sum of Points</t>
  </si>
  <si>
    <t>Minor
Error</t>
  </si>
  <si>
    <t>Major
Error</t>
  </si>
  <si>
    <t>Severe
Error</t>
  </si>
  <si>
    <t>A</t>
  </si>
  <si>
    <t>Judge: _______________________</t>
  </si>
  <si>
    <t>Both Spins/Hand playing (0-2 points)</t>
  </si>
  <si>
    <t>Sortindex</t>
  </si>
  <si>
    <t>Division Director(s):</t>
  </si>
  <si>
    <t>10 - Deductions</t>
  </si>
  <si>
    <t>1=medium variety</t>
  </si>
  <si>
    <t>1=medium use of second hand</t>
  </si>
  <si>
    <t>1=medium use of second spin/hand</t>
  </si>
  <si>
    <t>Staker</t>
  </si>
  <si>
    <t>FRA</t>
  </si>
  <si>
    <t>81.25</t>
  </si>
  <si>
    <t>BEL</t>
  </si>
  <si>
    <t>29.25</t>
  </si>
  <si>
    <t>1.</t>
  </si>
  <si>
    <t>62.5</t>
  </si>
  <si>
    <t>2.</t>
  </si>
  <si>
    <t>3.</t>
  </si>
  <si>
    <t>4.</t>
  </si>
  <si>
    <t>45.5</t>
  </si>
  <si>
    <t>5.</t>
  </si>
  <si>
    <t>6.</t>
  </si>
  <si>
    <t>32.5</t>
  </si>
  <si>
    <t>7.</t>
  </si>
  <si>
    <t>22.5</t>
  </si>
  <si>
    <t>8.</t>
  </si>
  <si>
    <t>9.</t>
  </si>
  <si>
    <t>22.75</t>
  </si>
  <si>
    <t>17.5</t>
  </si>
  <si>
    <t>10.</t>
  </si>
  <si>
    <t>19.5</t>
  </si>
  <si>
    <t>11.</t>
  </si>
  <si>
    <t>20.8</t>
  </si>
  <si>
    <t>16.9</t>
  </si>
  <si>
    <t>31.2</t>
  </si>
  <si>
    <t>41.6</t>
  </si>
  <si>
    <t>12.</t>
  </si>
  <si>
    <t>17.6</t>
  </si>
  <si>
    <t>14.3</t>
  </si>
  <si>
    <t>26.4</t>
  </si>
  <si>
    <t>35.2</t>
  </si>
  <si>
    <t>13.</t>
  </si>
  <si>
    <t>14.</t>
  </si>
  <si>
    <t>14.4</t>
  </si>
  <si>
    <t>11.7</t>
  </si>
  <si>
    <t>21.6</t>
  </si>
  <si>
    <t>28.8</t>
  </si>
  <si>
    <t>15.</t>
  </si>
  <si>
    <t>12.8</t>
  </si>
  <si>
    <t>19.2</t>
  </si>
  <si>
    <t>25.6</t>
  </si>
  <si>
    <t>16.</t>
  </si>
  <si>
    <t>11.2</t>
  </si>
  <si>
    <t>16.8</t>
  </si>
  <si>
    <t>22.4</t>
  </si>
  <si>
    <t>17.</t>
  </si>
  <si>
    <t>10.4</t>
  </si>
  <si>
    <t>15.6</t>
  </si>
  <si>
    <t>18.</t>
  </si>
  <si>
    <t>9.6</t>
  </si>
  <si>
    <t>19.</t>
  </si>
  <si>
    <t>8.8</t>
  </si>
  <si>
    <t>13.2</t>
  </si>
  <si>
    <t>20.</t>
  </si>
  <si>
    <t>10.5</t>
  </si>
  <si>
    <t>12.6</t>
  </si>
  <si>
    <t>21.</t>
  </si>
  <si>
    <t>22.</t>
  </si>
  <si>
    <t>9.5</t>
  </si>
  <si>
    <t>11.4</t>
  </si>
  <si>
    <t>15.2</t>
  </si>
  <si>
    <t>23.</t>
  </si>
  <si>
    <t>10.8</t>
  </si>
  <si>
    <t>24.</t>
  </si>
  <si>
    <t>8.5</t>
  </si>
  <si>
    <t>10.2</t>
  </si>
  <si>
    <t>13.6</t>
  </si>
  <si>
    <t>25.</t>
  </si>
  <si>
    <t>26.</t>
  </si>
  <si>
    <t>7.75</t>
  </si>
  <si>
    <t>9.3</t>
  </si>
  <si>
    <t>12.4</t>
  </si>
  <si>
    <t>27.</t>
  </si>
  <si>
    <t>7.5</t>
  </si>
  <si>
    <t>28.</t>
  </si>
  <si>
    <t>7.25</t>
  </si>
  <si>
    <t>8.7</t>
  </si>
  <si>
    <t>11.6</t>
  </si>
  <si>
    <t>29.</t>
  </si>
  <si>
    <t>8.4</t>
  </si>
  <si>
    <t>30.</t>
  </si>
  <si>
    <t>6.75</t>
  </si>
  <si>
    <t>8.1</t>
  </si>
  <si>
    <t>31.</t>
  </si>
  <si>
    <t>6.5</t>
  </si>
  <si>
    <t>7.8</t>
  </si>
  <si>
    <t>32.</t>
  </si>
  <si>
    <t>6.25</t>
  </si>
  <si>
    <t>33.</t>
  </si>
  <si>
    <t>7.2</t>
  </si>
  <si>
    <t>34.</t>
  </si>
  <si>
    <t>5.75</t>
  </si>
  <si>
    <t>6.9</t>
  </si>
  <si>
    <t>9.2</t>
  </si>
  <si>
    <t>35.</t>
  </si>
  <si>
    <t>5.5</t>
  </si>
  <si>
    <t>6.6</t>
  </si>
  <si>
    <t>36.</t>
  </si>
  <si>
    <t>5.25</t>
  </si>
  <si>
    <t>6.3</t>
  </si>
  <si>
    <t>37.</t>
  </si>
  <si>
    <t>38.</t>
  </si>
  <si>
    <t>4.75</t>
  </si>
  <si>
    <t>5.7</t>
  </si>
  <si>
    <t>7.6</t>
  </si>
  <si>
    <t>39.</t>
  </si>
  <si>
    <t>4.5</t>
  </si>
  <si>
    <t>5.4</t>
  </si>
  <si>
    <t>40.</t>
  </si>
  <si>
    <t>4.25</t>
  </si>
  <si>
    <t>5.1</t>
  </si>
  <si>
    <t>6.8</t>
  </si>
  <si>
    <t>41.</t>
  </si>
  <si>
    <t>4.8</t>
  </si>
  <si>
    <t>6.4</t>
  </si>
  <si>
    <t>42.</t>
  </si>
  <si>
    <t>3.75</t>
  </si>
  <si>
    <t>43.</t>
  </si>
  <si>
    <t>3.5</t>
  </si>
  <si>
    <t>4.2</t>
  </si>
  <si>
    <t>5.6</t>
  </si>
  <si>
    <t>44.</t>
  </si>
  <si>
    <t>3.25</t>
  </si>
  <si>
    <t>3.9</t>
  </si>
  <si>
    <t>5.2</t>
  </si>
  <si>
    <t>45.</t>
  </si>
  <si>
    <t>3.6</t>
  </si>
  <si>
    <t>46.</t>
  </si>
  <si>
    <t>2.75</t>
  </si>
  <si>
    <t>3.3</t>
  </si>
  <si>
    <t>4.4</t>
  </si>
  <si>
    <t>47.</t>
  </si>
  <si>
    <t>2.5</t>
  </si>
  <si>
    <t>48.</t>
  </si>
  <si>
    <t>2.25</t>
  </si>
  <si>
    <t>2.7</t>
  </si>
  <si>
    <t>49.</t>
  </si>
  <si>
    <t>2.4</t>
  </si>
  <si>
    <t>3.2</t>
  </si>
  <si>
    <t>50.</t>
  </si>
  <si>
    <t>1.9</t>
  </si>
  <si>
    <t>2.28</t>
  </si>
  <si>
    <t>3.04</t>
  </si>
  <si>
    <t>51.</t>
  </si>
  <si>
    <t>1.8</t>
  </si>
  <si>
    <t>2.16</t>
  </si>
  <si>
    <t>2.88</t>
  </si>
  <si>
    <t>52.</t>
  </si>
  <si>
    <t>1.7</t>
  </si>
  <si>
    <t>2.04</t>
  </si>
  <si>
    <t>2.72</t>
  </si>
  <si>
    <t>53.</t>
  </si>
  <si>
    <t>1.6</t>
  </si>
  <si>
    <t>1.92</t>
  </si>
  <si>
    <t>2.56</t>
  </si>
  <si>
    <t>54.</t>
  </si>
  <si>
    <t>1.5</t>
  </si>
  <si>
    <t>55.</t>
  </si>
  <si>
    <t>1.4</t>
  </si>
  <si>
    <t>1.68</t>
  </si>
  <si>
    <t>2.24</t>
  </si>
  <si>
    <t>56.</t>
  </si>
  <si>
    <t>1.3</t>
  </si>
  <si>
    <t>1.56</t>
  </si>
  <si>
    <t>2.08</t>
  </si>
  <si>
    <t>57.</t>
  </si>
  <si>
    <t>1.2</t>
  </si>
  <si>
    <t>1.44</t>
  </si>
  <si>
    <t>58.</t>
  </si>
  <si>
    <t>1.1</t>
  </si>
  <si>
    <t>1.32</t>
  </si>
  <si>
    <t>1.76</t>
  </si>
  <si>
    <t>59.</t>
  </si>
  <si>
    <t>60.</t>
  </si>
  <si>
    <t>0.925</t>
  </si>
  <si>
    <t>1.11</t>
  </si>
  <si>
    <t>1.48</t>
  </si>
  <si>
    <t>61.</t>
  </si>
  <si>
    <t>0.85</t>
  </si>
  <si>
    <t>1.02</t>
  </si>
  <si>
    <t>1.36</t>
  </si>
  <si>
    <t>62.</t>
  </si>
  <si>
    <t>0.775</t>
  </si>
  <si>
    <t>0.93</t>
  </si>
  <si>
    <t>1.24</t>
  </si>
  <si>
    <t>63.</t>
  </si>
  <si>
    <t>0.7</t>
  </si>
  <si>
    <t>0.84</t>
  </si>
  <si>
    <t>1.12</t>
  </si>
  <si>
    <t>64.</t>
  </si>
  <si>
    <t>0.625</t>
  </si>
  <si>
    <t>0.75</t>
  </si>
  <si>
    <t>moeglichkeit fuer 4 judges, einer davon als trainee, also ohne berechnung aber mit anzeige und drucken</t>
  </si>
  <si>
    <t>zeiteingabe ist komisch mit 24h vs. 12h. very unhandy.</t>
  </si>
  <si>
    <t>pool creator</t>
  </si>
  <si>
    <t>display namen in eigene zellen zum kopieren in scoresheet</t>
  </si>
  <si>
    <t>Deckblatt für Ordner</t>
  </si>
  <si>
    <t>Semi-Final</t>
  </si>
  <si>
    <t>Chart auf eigener Seite</t>
  </si>
  <si>
    <t>Sortierung Chart</t>
  </si>
  <si>
    <t>Berechnung der Diff Formel</t>
  </si>
  <si>
    <t>Farben Chart</t>
  </si>
  <si>
    <t>Anouncer Info Judges bei weniger wie 8 Spielern</t>
  </si>
  <si>
    <t>General Impression</t>
  </si>
  <si>
    <t>Best 8 Results</t>
  </si>
  <si>
    <t># of Events</t>
  </si>
  <si>
    <t>Paul Kenny</t>
  </si>
  <si>
    <t>Jake Gauthier</t>
  </si>
  <si>
    <t>Arthur Coddington</t>
  </si>
  <si>
    <t>Matt Gauthier</t>
  </si>
  <si>
    <t>James Wiseman</t>
  </si>
  <si>
    <t>Randy Silvey</t>
  </si>
  <si>
    <t>Fabio Sanna</t>
  </si>
  <si>
    <t>Mehrdad Hosseinian</t>
  </si>
  <si>
    <t>Alex Leist</t>
  </si>
  <si>
    <t>Tom Leitner</t>
  </si>
  <si>
    <t>Ryan Young</t>
  </si>
  <si>
    <t>Marco Prati</t>
  </si>
  <si>
    <t>Philipp Krüger</t>
  </si>
  <si>
    <t>Larry Imperiale</t>
  </si>
  <si>
    <t>Daniel O'Neill</t>
  </si>
  <si>
    <t>Sascha Höhne</t>
  </si>
  <si>
    <t>Christian Lamred</t>
  </si>
  <si>
    <t>Fabio Nizzo</t>
  </si>
  <si>
    <t>Manuel Cesari</t>
  </si>
  <si>
    <t>Robert Dittrich</t>
  </si>
  <si>
    <t>Dave Murphy</t>
  </si>
  <si>
    <t>Jeff O'Brien</t>
  </si>
  <si>
    <t>Thomas Nötzel</t>
  </si>
  <si>
    <t>Bill Wright</t>
  </si>
  <si>
    <t>Dan Lustiger</t>
  </si>
  <si>
    <t>Emanuele Faustini</t>
  </si>
  <si>
    <t>Ilka Simon</t>
  </si>
  <si>
    <t>Dan Yarnell</t>
  </si>
  <si>
    <t>Irena Kulisanova</t>
  </si>
  <si>
    <t>Bianca Strunz</t>
  </si>
  <si>
    <t>Joakim Arveskär</t>
  </si>
  <si>
    <t>Jan Schreck</t>
  </si>
  <si>
    <t>Markus Hein</t>
  </si>
  <si>
    <t>Kolja Hannemann</t>
  </si>
  <si>
    <t>Antonio Piccione Cusmá</t>
  </si>
  <si>
    <t>Benjamin Edelmann</t>
  </si>
  <si>
    <t>Andrea Rimatori</t>
  </si>
  <si>
    <t>Toddy Brodeur</t>
  </si>
  <si>
    <t>Heiko Vogt</t>
  </si>
  <si>
    <t>Lisa Hunrichs</t>
  </si>
  <si>
    <t>Nico Schwarz</t>
  </si>
  <si>
    <t>Stefan Dünkel</t>
  </si>
  <si>
    <t>Dave Schiller</t>
  </si>
  <si>
    <t>Jay Moldenhauer</t>
  </si>
  <si>
    <t>Andrea Dini</t>
  </si>
  <si>
    <t>Reto Zimmerman</t>
  </si>
  <si>
    <t>Anton Capellmann</t>
  </si>
  <si>
    <t>Andrea Meola</t>
  </si>
  <si>
    <t>Pavel Baranyk</t>
  </si>
  <si>
    <t>Jan Soerensen</t>
  </si>
  <si>
    <t>Jan Zverina</t>
  </si>
  <si>
    <t>Sophie Wolf</t>
  </si>
  <si>
    <t>Emma Kahle</t>
  </si>
  <si>
    <t>Valerio Occorsio</t>
  </si>
  <si>
    <t>Marc Pestotnik</t>
  </si>
  <si>
    <t>Chuck Richard</t>
  </si>
  <si>
    <t>Jens Friebe</t>
  </si>
  <si>
    <t>Johanna Matthiä</t>
  </si>
  <si>
    <t>Fabian Dinklage</t>
  </si>
  <si>
    <t>Eleonora Imazio</t>
  </si>
  <si>
    <t>Rainer Doerr</t>
  </si>
  <si>
    <t>Dominique Weissenberger</t>
  </si>
  <si>
    <t>Marco Fera</t>
  </si>
  <si>
    <t>Jonathan Willett</t>
  </si>
  <si>
    <t>Dario Marioni</t>
  </si>
  <si>
    <t>Markus Goetz</t>
  </si>
  <si>
    <t>Lori Daniels</t>
  </si>
  <si>
    <t>Andrea Sarti</t>
  </si>
  <si>
    <t>Edoardo Favorini</t>
  </si>
  <si>
    <t>Tony Pellicane</t>
  </si>
  <si>
    <t>Sascha Scherzinger</t>
  </si>
  <si>
    <t>Alessandro Damiano</t>
  </si>
  <si>
    <t>Gianluca Giglio</t>
  </si>
  <si>
    <t>Andrea Pecchiari</t>
  </si>
  <si>
    <t>Ryuichi Suzuki</t>
  </si>
  <si>
    <t>Andrea Poli</t>
  </si>
  <si>
    <t>Cindy St. Mary</t>
  </si>
  <si>
    <t>Greg Marter</t>
  </si>
  <si>
    <t>Rodney Sanchez</t>
  </si>
  <si>
    <t>Kimitoshi Murakami</t>
  </si>
  <si>
    <t>Michal Maciolek</t>
  </si>
  <si>
    <t>Matteo Feller</t>
  </si>
  <si>
    <t>Marco Chessa</t>
  </si>
  <si>
    <t>Andreas Jaderyd</t>
  </si>
  <si>
    <t>Steve Scannell</t>
  </si>
  <si>
    <t>Anna Bragagnolo</t>
  </si>
  <si>
    <t>Mike Galloupe</t>
  </si>
  <si>
    <t>Jens Velasquez</t>
  </si>
  <si>
    <t>Chris Bellaj</t>
  </si>
  <si>
    <t>Andrea Ludergnani</t>
  </si>
  <si>
    <t>Lorenzo Telo</t>
  </si>
  <si>
    <t>Udo Engeter</t>
  </si>
  <si>
    <t>Johnny Trevino</t>
  </si>
  <si>
    <t>John Titcomb</t>
  </si>
  <si>
    <t>Roberto Borghesi</t>
  </si>
  <si>
    <t>Rafael von der Grün</t>
  </si>
  <si>
    <t>Tobias Burzan</t>
  </si>
  <si>
    <t>Francesco Lucci</t>
  </si>
  <si>
    <t>Mike Beckman</t>
  </si>
  <si>
    <t>Lorenzo Modarelli</t>
  </si>
  <si>
    <t>Jakub Hosek</t>
  </si>
  <si>
    <t>Raphael Legrand</t>
  </si>
  <si>
    <t>Mikey Reid</t>
  </si>
  <si>
    <t>Pepyn Tavernier</t>
  </si>
  <si>
    <t>Pat Marron</t>
  </si>
  <si>
    <t>Philipp Luniak</t>
  </si>
  <si>
    <t>Raffaele Pilla</t>
  </si>
  <si>
    <t>Erwin Velasquez</t>
  </si>
  <si>
    <t>Jakub Matula</t>
  </si>
  <si>
    <t>Carsten Heim</t>
  </si>
  <si>
    <t>Andrea Marciano</t>
  </si>
  <si>
    <t>Fabio Caruso</t>
  </si>
  <si>
    <t>Fabiana Ciciriello</t>
  </si>
  <si>
    <t>Philipp Maubach</t>
  </si>
  <si>
    <t>Claudio Cigna</t>
  </si>
  <si>
    <t>Francesco Romeo</t>
  </si>
  <si>
    <t>Konrad Patris</t>
  </si>
  <si>
    <t>Gerry Geare</t>
  </si>
  <si>
    <t>Rob Fried</t>
  </si>
  <si>
    <t>Darryl Allen</t>
  </si>
  <si>
    <t>Masaki Hirashima</t>
  </si>
  <si>
    <t>Fabio Vinciguerra</t>
  </si>
  <si>
    <t>Jan Zahradnicek</t>
  </si>
  <si>
    <t>Lina Dittrich</t>
  </si>
  <si>
    <t>Harvey Brandt</t>
  </si>
  <si>
    <t>Jiri Weiss</t>
  </si>
  <si>
    <t>Claudio Massaro</t>
  </si>
  <si>
    <t>Yujiro Suzuki</t>
  </si>
  <si>
    <t>Paolo Mirabelli</t>
  </si>
  <si>
    <t>Randy Lahm</t>
  </si>
  <si>
    <t>Mattia Lambertini</t>
  </si>
  <si>
    <t>Mirco Zanchetta</t>
  </si>
  <si>
    <t>Jan Ekman</t>
  </si>
  <si>
    <t>Stefan Karlsson</t>
  </si>
  <si>
    <t>Andres Rivera</t>
  </si>
  <si>
    <t>Luca Mazzucato</t>
  </si>
  <si>
    <t>Judith Hess</t>
  </si>
  <si>
    <t>Tim Pattberg</t>
  </si>
  <si>
    <t>Fabrizio De Rossi</t>
  </si>
  <si>
    <t>Carl Dobson</t>
  </si>
  <si>
    <t>Rick Williams</t>
  </si>
  <si>
    <t>Takeru Okamura</t>
  </si>
  <si>
    <t>Tomoyuki Katakura</t>
  </si>
  <si>
    <t>Mayumi Suzuki</t>
  </si>
  <si>
    <t>Joel Rogers</t>
  </si>
  <si>
    <t>Daniele Circensi</t>
  </si>
  <si>
    <t>Conrad Damon</t>
  </si>
  <si>
    <t>Dave Hesselberth</t>
  </si>
  <si>
    <t>Niki Thoma</t>
  </si>
  <si>
    <t>David Tomiak</t>
  </si>
  <si>
    <t>Pablo Azul</t>
  </si>
  <si>
    <t>Serge Marconi</t>
  </si>
  <si>
    <t>Tobias Gebert</t>
  </si>
  <si>
    <t>Andrea Girodo</t>
  </si>
  <si>
    <t>Dave Zeff</t>
  </si>
  <si>
    <t>Santiago Sepulveda</t>
  </si>
  <si>
    <t>Jason Salkey</t>
  </si>
  <si>
    <t>Ian Schwarz</t>
  </si>
  <si>
    <t>Roger Meier</t>
  </si>
  <si>
    <t>Tom Cole</t>
  </si>
  <si>
    <t>Boguslaw Bul</t>
  </si>
  <si>
    <t>Katrin Schmeisser</t>
  </si>
  <si>
    <t>Tomas Burvall</t>
  </si>
  <si>
    <t>Korneliusz Zagórski</t>
  </si>
  <si>
    <t>Carl Emerson</t>
  </si>
  <si>
    <t>Glen Whitlock</t>
  </si>
  <si>
    <t>Mike Esterbrook</t>
  </si>
  <si>
    <t>Jakub Kostel</t>
  </si>
  <si>
    <t>Tomas Olsson</t>
  </si>
  <si>
    <t>Per Persson</t>
  </si>
  <si>
    <t>Yohei Inoue</t>
  </si>
  <si>
    <t>Akito Ueda</t>
  </si>
  <si>
    <t>Lars Neumann</t>
  </si>
  <si>
    <t>Jack Cooksey</t>
  </si>
  <si>
    <t>Andrea Piemontese</t>
  </si>
  <si>
    <t>Niklas Bergehamn</t>
  </si>
  <si>
    <t>Dieter Johansson</t>
  </si>
  <si>
    <t>Matteo Gaddoni</t>
  </si>
  <si>
    <t>Juan Piercing</t>
  </si>
  <si>
    <t>Federico Iommi</t>
  </si>
  <si>
    <t>Alessandro Berra</t>
  </si>
  <si>
    <t>Gianluca Bertoncelli</t>
  </si>
  <si>
    <t>Amy Schiller</t>
  </si>
  <si>
    <t>Bob Boulware</t>
  </si>
  <si>
    <t>Syouri Oouchi</t>
  </si>
  <si>
    <t>Giovanni Coppo</t>
  </si>
  <si>
    <t>Nadine Klos</t>
  </si>
  <si>
    <t>Paolo Cipolloni</t>
  </si>
  <si>
    <t>Jonas Bengtsson</t>
  </si>
  <si>
    <t>Mauricio Mesa</t>
  </si>
  <si>
    <t>Andrea Izzo</t>
  </si>
  <si>
    <t>Kurt Walter</t>
  </si>
  <si>
    <t>Danny Cameranesi</t>
  </si>
  <si>
    <t>Doug Korns</t>
  </si>
  <si>
    <t>Daniel Nothaas</t>
  </si>
  <si>
    <t>Hayato Hikari</t>
  </si>
  <si>
    <t>Tomokazu Yamamoto</t>
  </si>
  <si>
    <t>Yutaka Harahsina</t>
  </si>
  <si>
    <t>Julia Schuster</t>
  </si>
  <si>
    <t>Philipp Ludwig</t>
  </si>
  <si>
    <t>Ondrej Kolega</t>
  </si>
  <si>
    <t>Daisuke Kuroda</t>
  </si>
  <si>
    <t>Bartek Dusowski</t>
  </si>
  <si>
    <t>Ayal Benin</t>
  </si>
  <si>
    <t>Josh Emerson</t>
  </si>
  <si>
    <t>Scott Weaver</t>
  </si>
  <si>
    <t>Francesco Paolacci</t>
  </si>
  <si>
    <t>Luca Sanso</t>
  </si>
  <si>
    <t>Sue Strait</t>
  </si>
  <si>
    <t>Gloria Alessandrini</t>
  </si>
  <si>
    <t>Mattias Nilsson</t>
  </si>
  <si>
    <t>Mark Regalbuti</t>
  </si>
  <si>
    <t>Mary Lowry</t>
  </si>
  <si>
    <t>Lukas Lacina</t>
  </si>
  <si>
    <t>Petri Isola</t>
  </si>
  <si>
    <t>Charles Logan</t>
  </si>
  <si>
    <t>Dario Giusti</t>
  </si>
  <si>
    <t>Rick Moody</t>
  </si>
  <si>
    <t>Craig Simon</t>
  </si>
  <si>
    <t>Lou Sumrall</t>
  </si>
  <si>
    <t>Gregory Lo-a-sjoe</t>
  </si>
  <si>
    <t>Anna Longoni</t>
  </si>
  <si>
    <t>Greyce Ayla D'avila Rosa</t>
  </si>
  <si>
    <t>Robert McLeod</t>
  </si>
  <si>
    <t>Rico Schneider</t>
  </si>
  <si>
    <t>Jeraume Fink</t>
  </si>
  <si>
    <t>Peter Henriksson</t>
  </si>
  <si>
    <t>Kei Kotani</t>
  </si>
  <si>
    <t>Mitsuru Udagawa</t>
  </si>
  <si>
    <t>Hunter Wootten</t>
  </si>
  <si>
    <t>Peter Karlsson</t>
  </si>
  <si>
    <t>Juan D. Ramirez</t>
  </si>
  <si>
    <t>Paul Klimek</t>
  </si>
  <si>
    <t>Hiroshi Yokota</t>
  </si>
  <si>
    <t>Hiroshi Oguri</t>
  </si>
  <si>
    <t>Hiroyuki Takeuchi</t>
  </si>
  <si>
    <t>Bob Cooksey</t>
  </si>
  <si>
    <t>Takahiko Yamamoto</t>
  </si>
  <si>
    <t>Edoardo Gargano</t>
  </si>
  <si>
    <t>Melanie Kranz</t>
  </si>
  <si>
    <t>Jochen Schleicher</t>
  </si>
  <si>
    <t>Masafumi Kanbe</t>
  </si>
  <si>
    <t>Peter Van Gool</t>
  </si>
  <si>
    <t>Alan Caplin</t>
  </si>
  <si>
    <t>Olmo Camarda</t>
  </si>
  <si>
    <t>Tom Lasher</t>
  </si>
  <si>
    <t>Naoki Maeda</t>
  </si>
  <si>
    <t>Tomoyuki Matsuki</t>
  </si>
  <si>
    <t>David Taylor</t>
  </si>
  <si>
    <t>Jakub Sedlak</t>
  </si>
  <si>
    <t>Marie Geare</t>
  </si>
  <si>
    <t>Tito Andino</t>
  </si>
  <si>
    <t>Dave Steger</t>
  </si>
  <si>
    <t>Tim Mackey</t>
  </si>
  <si>
    <t>Don Wallace</t>
  </si>
  <si>
    <t>Scott Zimmerman</t>
  </si>
  <si>
    <t>Gohar Mossavar Rahmani</t>
  </si>
  <si>
    <t>Niloofar Mossavar Rahmani</t>
  </si>
  <si>
    <t>Stephan Stoll</t>
  </si>
  <si>
    <t>Matteo Ceresa</t>
  </si>
  <si>
    <t>Jhonatan Vanegas</t>
  </si>
  <si>
    <t>Florian Fessler</t>
  </si>
  <si>
    <t>Andrea Pietrangeli</t>
  </si>
  <si>
    <t>Lasse Schwarze</t>
  </si>
  <si>
    <t>Paul Brenner</t>
  </si>
  <si>
    <t>Koichi Hirano</t>
  </si>
  <si>
    <t>Seigo Suzuki</t>
  </si>
  <si>
    <t>Hiroyuki Takeno</t>
  </si>
  <si>
    <t>Andrea Stazi</t>
  </si>
  <si>
    <t>Danilo Torzolini</t>
  </si>
  <si>
    <t>Jason Urroz</t>
  </si>
  <si>
    <t>Yutaro Hirasawa</t>
  </si>
  <si>
    <t>Masatoshi Ishihara</t>
  </si>
  <si>
    <t>Keisuke Watanabe</t>
  </si>
  <si>
    <t>Stephanie Chan</t>
  </si>
  <si>
    <t>Alfonso Lopez Velez</t>
  </si>
  <si>
    <t>Iwan de Moor</t>
  </si>
  <si>
    <t>Urs Hardegger</t>
  </si>
  <si>
    <t>Magnus Gjerde Petersen</t>
  </si>
  <si>
    <t>Tobias Cole</t>
  </si>
  <si>
    <t>Chris Baker</t>
  </si>
  <si>
    <t>Enrique Ortiz</t>
  </si>
  <si>
    <t>Daisuke Shinkai</t>
  </si>
  <si>
    <t>Masahiro Takayama</t>
  </si>
  <si>
    <t>Kamil Calinski</t>
  </si>
  <si>
    <t>Maciek Grabowski</t>
  </si>
  <si>
    <t>Tomasz Hemerling</t>
  </si>
  <si>
    <t>Piotr Rasajewski</t>
  </si>
  <si>
    <t>Dan Schmitt</t>
  </si>
  <si>
    <t>Jean Marie Abel</t>
  </si>
  <si>
    <t>Geoff Gregory</t>
  </si>
  <si>
    <t>Megan Grilliot</t>
  </si>
  <si>
    <t>Jim Herrick</t>
  </si>
  <si>
    <t>Naim Megassabi</t>
  </si>
  <si>
    <t>Satoru Kondo</t>
  </si>
  <si>
    <t>Andreas Nogay</t>
  </si>
  <si>
    <t>Oliver Peters</t>
  </si>
  <si>
    <t>Kijo Yamashiro</t>
  </si>
  <si>
    <t>Jan Bäss</t>
  </si>
  <si>
    <t>Sven Köhn</t>
  </si>
  <si>
    <t>Andrew Lemann</t>
  </si>
  <si>
    <t>Julien Menetrat</t>
  </si>
  <si>
    <t>Jonathan Brandtberg</t>
  </si>
  <si>
    <t>Simone Nonnis</t>
  </si>
  <si>
    <t>Gery Németh</t>
  </si>
  <si>
    <t>Martina Biaglioli</t>
  </si>
  <si>
    <t>Bob Gossett</t>
  </si>
  <si>
    <t>Yousuke Suzuki</t>
  </si>
  <si>
    <t>Masao Yamaji</t>
  </si>
  <si>
    <t>Radek Lenczewski</t>
  </si>
  <si>
    <t>Michal Roginski</t>
  </si>
  <si>
    <t>Peter Honzik</t>
  </si>
  <si>
    <t>Sam Kaye</t>
  </si>
  <si>
    <t>Jason McGlade</t>
  </si>
  <si>
    <t>Anna Merlo</t>
  </si>
  <si>
    <t>Hauke Raschen</t>
  </si>
  <si>
    <t>Jeff Shelton</t>
  </si>
  <si>
    <t>Jay Hinkle</t>
  </si>
  <si>
    <t>Mark Horn</t>
  </si>
  <si>
    <t>Santiago Cano</t>
  </si>
  <si>
    <t>Sebastian Cardenas</t>
  </si>
  <si>
    <t>Daniel Hernandez</t>
  </si>
  <si>
    <t>Andres Serna</t>
  </si>
  <si>
    <t>Bethany Sanchez</t>
  </si>
  <si>
    <t>Michael Clarke</t>
  </si>
  <si>
    <t>Chris Horn</t>
  </si>
  <si>
    <t>Katerina Pleskotova</t>
  </si>
  <si>
    <t>Drew Preiss</t>
  </si>
  <si>
    <t>Ken Reynolds</t>
  </si>
  <si>
    <t>Neil Toland</t>
  </si>
  <si>
    <t>Tita Ugalde</t>
  </si>
  <si>
    <t>Chris Koslowski</t>
  </si>
  <si>
    <t>Massimo Zampieri</t>
  </si>
  <si>
    <t>Dan Exelby</t>
  </si>
  <si>
    <t>Phoebe Lett</t>
  </si>
  <si>
    <t>John Elsner</t>
  </si>
  <si>
    <t>J Kaurt</t>
  </si>
  <si>
    <t>Rick Lebeau</t>
  </si>
  <si>
    <t>Jack Stanton</t>
  </si>
  <si>
    <t>Bryan Steffen</t>
  </si>
  <si>
    <t>Paul Thompson</t>
  </si>
  <si>
    <t>Ronnie Turner</t>
  </si>
  <si>
    <t>Philipp Stahl</t>
  </si>
  <si>
    <t>Michael Conger</t>
  </si>
  <si>
    <t>Thomas Jonasson</t>
  </si>
  <si>
    <t>Eduardo Suero</t>
  </si>
  <si>
    <t>Mikael Zewgren</t>
  </si>
  <si>
    <t>Jakub Zahradnicek</t>
  </si>
  <si>
    <t>Steve Stotter</t>
  </si>
  <si>
    <t>Paul Mondesire</t>
  </si>
  <si>
    <t>Lukas Prokop</t>
  </si>
  <si>
    <t>Dominik Raclavsky</t>
  </si>
  <si>
    <t>Jon Freedman</t>
  </si>
  <si>
    <t>Jack Herrick</t>
  </si>
  <si>
    <t>Spencer Herrick</t>
  </si>
  <si>
    <t>Jay Koonts</t>
  </si>
  <si>
    <t>Kalina Kisiliewska</t>
  </si>
  <si>
    <t>Luke Smalanskas</t>
  </si>
  <si>
    <t>Susie Horn</t>
  </si>
  <si>
    <t>Davis Johnson</t>
  </si>
  <si>
    <t>Christian Voigt</t>
  </si>
  <si>
    <t>Evan Wallberg</t>
  </si>
  <si>
    <t>Sandro Zanchetta</t>
  </si>
  <si>
    <t>Sören Dietrich</t>
  </si>
  <si>
    <t>Raj Mistry</t>
  </si>
  <si>
    <t>Brian Boate</t>
  </si>
  <si>
    <t>Tim Sahlit</t>
  </si>
  <si>
    <t>Tom Sahlit</t>
  </si>
  <si>
    <t>Jeff Korns</t>
  </si>
  <si>
    <t>Will Spaziani</t>
  </si>
  <si>
    <t>Katie Smith</t>
  </si>
  <si>
    <t>Andrea Festi</t>
  </si>
  <si>
    <t>Ziv Lavy</t>
  </si>
  <si>
    <t>Ermanno Mantovani</t>
  </si>
  <si>
    <t>Lukas Zimovcak</t>
  </si>
  <si>
    <t>Alice Tommazzini</t>
  </si>
  <si>
    <t>Martina Solarova</t>
  </si>
  <si>
    <t>Bernie Murray</t>
  </si>
  <si>
    <t>Tam Wolfe</t>
  </si>
  <si>
    <t>Fathi Abdelli</t>
  </si>
  <si>
    <t>TUN</t>
  </si>
  <si>
    <t>Hazma Abdelli</t>
  </si>
  <si>
    <t>Ofek Agmon</t>
  </si>
  <si>
    <t>Randy Aiu</t>
  </si>
  <si>
    <t>RUS</t>
  </si>
  <si>
    <t>Pablo Andres Mosquer</t>
  </si>
  <si>
    <t>Valerio Annarino</t>
  </si>
  <si>
    <t>Romeo Antonino</t>
  </si>
  <si>
    <t>Lorenzo Apriani</t>
  </si>
  <si>
    <t>Ilaria Aprile</t>
  </si>
  <si>
    <t>Mes Ardagna</t>
  </si>
  <si>
    <t>Andrea Arfilli</t>
  </si>
  <si>
    <t>Keith Armstrong</t>
  </si>
  <si>
    <t>Sergio Arrighi</t>
  </si>
  <si>
    <t>Antonio Attanasio</t>
  </si>
  <si>
    <t>Gary Auerbach</t>
  </si>
  <si>
    <t>Heinz Auferodt</t>
  </si>
  <si>
    <t>Arnon Avitzur</t>
  </si>
  <si>
    <t>Davide Bacco</t>
  </si>
  <si>
    <t>Johannes Bachauer</t>
  </si>
  <si>
    <t>Adrian Baer</t>
  </si>
  <si>
    <t>Dave Bailey</t>
  </si>
  <si>
    <t>Donny Baker</t>
  </si>
  <si>
    <t>Vanes Baldazzi</t>
  </si>
  <si>
    <t>Alberto Baldelli</t>
  </si>
  <si>
    <t>Edgardo Balzac</t>
  </si>
  <si>
    <t>Enrico Barsanti</t>
  </si>
  <si>
    <t>John Barsky</t>
  </si>
  <si>
    <t>Jacopo Battaglino</t>
  </si>
  <si>
    <t>Benedigt Becker</t>
  </si>
  <si>
    <t>Chip Bell</t>
  </si>
  <si>
    <t>Stefano Bellucci Sessa</t>
  </si>
  <si>
    <t>Sarah Bergman</t>
  </si>
  <si>
    <t>Annalisa Bergonzoni</t>
  </si>
  <si>
    <t>Carlotta Berini</t>
  </si>
  <si>
    <t>Jörg Berkel</t>
  </si>
  <si>
    <t>Dan Berman</t>
  </si>
  <si>
    <t>Nico Bernold</t>
  </si>
  <si>
    <t>Davide Bianchi</t>
  </si>
  <si>
    <t>Wayne Biever</t>
  </si>
  <si>
    <t>Brad Bishop</t>
  </si>
  <si>
    <t>Dennis Black</t>
  </si>
  <si>
    <t>Tom Blockhuys</t>
  </si>
  <si>
    <t>Rob Bochenek</t>
  </si>
  <si>
    <t>Luca Boehler</t>
  </si>
  <si>
    <t>Yannic Bofah</t>
  </si>
  <si>
    <t>Dave Bogenhagen</t>
  </si>
  <si>
    <t>Heather Bogenhagen</t>
  </si>
  <si>
    <t>Terry Bogenhagen</t>
  </si>
  <si>
    <t>Dave Bolyard</t>
  </si>
  <si>
    <t>Austin Borcherding</t>
  </si>
  <si>
    <t>Fernando Botrugno</t>
  </si>
  <si>
    <t>Riccardo Bovicelli</t>
  </si>
  <si>
    <t>Christoph Brack</t>
  </si>
  <si>
    <t>Paolo Braico</t>
  </si>
  <si>
    <t>Stefano Brancaleoni</t>
  </si>
  <si>
    <t>Sebastian Brandtberg</t>
  </si>
  <si>
    <t>Sabine Brehmer</t>
  </si>
  <si>
    <t>Tara Brenner</t>
  </si>
  <si>
    <t>Matt Brock</t>
  </si>
  <si>
    <t>Dan Burke</t>
  </si>
  <si>
    <t>Scott Burtard</t>
  </si>
  <si>
    <t>Kristina Cahojova</t>
  </si>
  <si>
    <t>Amy Campbell</t>
  </si>
  <si>
    <t>Ilaria Capobianco</t>
  </si>
  <si>
    <t>Antonio Caporale</t>
  </si>
  <si>
    <t>Phil Cappa</t>
  </si>
  <si>
    <t>Silvia Caruso</t>
  </si>
  <si>
    <t>Michele Casadei</t>
  </si>
  <si>
    <t>Filippo Cavalca</t>
  </si>
  <si>
    <t>Delia Centonze</t>
  </si>
  <si>
    <t>Jamie Chantiles</t>
  </si>
  <si>
    <t>Joel Charles</t>
  </si>
  <si>
    <t>Bill Chetel</t>
  </si>
  <si>
    <t>Francesca Chierici</t>
  </si>
  <si>
    <t>Sara Cintura</t>
  </si>
  <si>
    <t>Guy Clemente</t>
  </si>
  <si>
    <t>Tom Coffin</t>
  </si>
  <si>
    <t>Eddie Cohn</t>
  </si>
  <si>
    <t>Tim Cohn</t>
  </si>
  <si>
    <t>Hampus Colbrand</t>
  </si>
  <si>
    <t>Roger Cole</t>
  </si>
  <si>
    <t>Bob Coleman</t>
  </si>
  <si>
    <t>Jake Coleman</t>
  </si>
  <si>
    <t>Sara Cordero</t>
  </si>
  <si>
    <t>Andrea Corizzo</t>
  </si>
  <si>
    <t>John Coxhead</t>
  </si>
  <si>
    <t>Dale Crawford</t>
  </si>
  <si>
    <t>Liliana Cruz</t>
  </si>
  <si>
    <t>Jacob Cuba</t>
  </si>
  <si>
    <t>Elena Dal Gesso</t>
  </si>
  <si>
    <t>Nicoló D'Ardia</t>
  </si>
  <si>
    <t>Ali Dastrandj</t>
  </si>
  <si>
    <t>AUT</t>
  </si>
  <si>
    <t>Marco De Lucia</t>
  </si>
  <si>
    <t>Justus Degener</t>
  </si>
  <si>
    <t>Janis Degenhardt</t>
  </si>
  <si>
    <t>Filippo Del Trappeto</t>
  </si>
  <si>
    <t>Caleb DePaola</t>
  </si>
  <si>
    <t>Charlotte DePaola</t>
  </si>
  <si>
    <t>Chris DePaola</t>
  </si>
  <si>
    <t>Merrill Detwiler</t>
  </si>
  <si>
    <t>Tobias Doehner</t>
  </si>
  <si>
    <t>Renae Donaldson</t>
  </si>
  <si>
    <t>Tristan Doshier</t>
  </si>
  <si>
    <t>Nate Doss</t>
  </si>
  <si>
    <t>Rik Downs</t>
  </si>
  <si>
    <t>Erik Drummond</t>
  </si>
  <si>
    <t>Roman Dubovsky</t>
  </si>
  <si>
    <t>Chris Dunaway</t>
  </si>
  <si>
    <t>John Dunaway</t>
  </si>
  <si>
    <t>MIlan Durkovic</t>
  </si>
  <si>
    <t>SLO</t>
  </si>
  <si>
    <t>Gary Edge</t>
  </si>
  <si>
    <t>Simon Emmerich</t>
  </si>
  <si>
    <t>Maurice Eugene</t>
  </si>
  <si>
    <t>Shawn Fallon</t>
  </si>
  <si>
    <t>Enrique Faria</t>
  </si>
  <si>
    <t>Mark Farrar</t>
  </si>
  <si>
    <t>Guglielmo Feis</t>
  </si>
  <si>
    <t>Jeff Fiedler</t>
  </si>
  <si>
    <t>Joe Fiedt</t>
  </si>
  <si>
    <t>Thorsten Fleissner</t>
  </si>
  <si>
    <t>Alessandro Fogazzi</t>
  </si>
  <si>
    <t>Tom Ford</t>
  </si>
  <si>
    <t>Martin Fransson</t>
  </si>
  <si>
    <t>Martina Frosini</t>
  </si>
  <si>
    <t>Kenshin Fujii</t>
  </si>
  <si>
    <t>Itay Gal</t>
  </si>
  <si>
    <t>Ramon Galliani</t>
  </si>
  <si>
    <t>Ivano Gallo</t>
  </si>
  <si>
    <t>Andrea Gallotti</t>
  </si>
  <si>
    <t>Felix Geipel</t>
  </si>
  <si>
    <t>Thomas Gereben</t>
  </si>
  <si>
    <t>Eric Gibbons</t>
  </si>
  <si>
    <t>Angela Goeller</t>
  </si>
  <si>
    <t>Anne Goh</t>
  </si>
  <si>
    <t>Fabrizio Gori</t>
  </si>
  <si>
    <t>Akihito Goto</t>
  </si>
  <si>
    <t>Christian Grau</t>
  </si>
  <si>
    <t>Dave Griffin</t>
  </si>
  <si>
    <t>Jen Griffin</t>
  </si>
  <si>
    <t>Oscar Grundström</t>
  </si>
  <si>
    <t>Hanna Gustafsson</t>
  </si>
  <si>
    <t>Sara Gustafsson</t>
  </si>
  <si>
    <t>Ricardo Guzman</t>
  </si>
  <si>
    <t>Karolina Hagenbjörk</t>
  </si>
  <si>
    <t>Tami Hamler</t>
  </si>
  <si>
    <t>Steve Hanes</t>
  </si>
  <si>
    <t>Marty Hapner</t>
  </si>
  <si>
    <t>Jesse Hawkins</t>
  </si>
  <si>
    <t>Steve Hays</t>
  </si>
  <si>
    <t>Blake Herrschaft</t>
  </si>
  <si>
    <t>Elke Herwick</t>
  </si>
  <si>
    <t>Mike Hettich</t>
  </si>
  <si>
    <t>Chris Hill</t>
  </si>
  <si>
    <t>Holger Hill</t>
  </si>
  <si>
    <t>André Hillman</t>
  </si>
  <si>
    <t>Larry Hinkle</t>
  </si>
  <si>
    <t>Motohiro Hirabayashi</t>
  </si>
  <si>
    <t>Oliver Hocker</t>
  </si>
  <si>
    <t>Ryan Hornickel</t>
  </si>
  <si>
    <t>Gregg Hosfeld</t>
  </si>
  <si>
    <t>Marek Hroch</t>
  </si>
  <si>
    <t>Carolyn Hubbard</t>
  </si>
  <si>
    <t>Steve Hubbard</t>
  </si>
  <si>
    <t>Joey Hudoklin</t>
  </si>
  <si>
    <t>Mike Hughes</t>
  </si>
  <si>
    <t>Matt Hull</t>
  </si>
  <si>
    <t>Jacqueline Hummel</t>
  </si>
  <si>
    <t>Alex Humphreys</t>
  </si>
  <si>
    <t>Jan Huybrechts</t>
  </si>
  <si>
    <t>Francesca Iasenzio</t>
  </si>
  <si>
    <t>Simone Italiano</t>
  </si>
  <si>
    <t>Phillip Jahnke</t>
  </si>
  <si>
    <t>Skippy Jammer</t>
  </si>
  <si>
    <t>Avery Jenkins</t>
  </si>
  <si>
    <t>Steve Jennings</t>
  </si>
  <si>
    <t>Lyle Jensen</t>
  </si>
  <si>
    <t>Ann-Charlotte Johansson</t>
  </si>
  <si>
    <t>Anders Johnsson</t>
  </si>
  <si>
    <t>Fady Kalo</t>
  </si>
  <si>
    <t>Billy Kaplan</t>
  </si>
  <si>
    <t>Bobbo Karlsson</t>
  </si>
  <si>
    <t>Roland Karlsson</t>
  </si>
  <si>
    <t>Charly Katzenmaier</t>
  </si>
  <si>
    <t>Brad Keller</t>
  </si>
  <si>
    <t>Jammer Mom Kenny</t>
  </si>
  <si>
    <t>Dave Kessler</t>
  </si>
  <si>
    <t>Micah Kiehl</t>
  </si>
  <si>
    <t>Cody Kirkland</t>
  </si>
  <si>
    <t>John Kirkland</t>
  </si>
  <si>
    <t>Henrik Klein</t>
  </si>
  <si>
    <t>Ari Kloke</t>
  </si>
  <si>
    <t>Martin Klopfer</t>
  </si>
  <si>
    <t>Stefanie Klos</t>
  </si>
  <si>
    <t>Rob Knapik</t>
  </si>
  <si>
    <t>Ronny Koch</t>
  </si>
  <si>
    <t>Kevin Konsorr</t>
  </si>
  <si>
    <t>Matej Kostel</t>
  </si>
  <si>
    <t>Dennis Kretschmer</t>
  </si>
  <si>
    <t>Silvia Kronmuller</t>
  </si>
  <si>
    <t>Jeff Kruger</t>
  </si>
  <si>
    <t>Krystian Krysinski</t>
  </si>
  <si>
    <t>Dave Kuettner</t>
  </si>
  <si>
    <t>Paul Kuffel</t>
  </si>
  <si>
    <t>Fabrizio La Mura</t>
  </si>
  <si>
    <t>Toufik Lamred</t>
  </si>
  <si>
    <t>Stuart Landsee</t>
  </si>
  <si>
    <t>John Langan</t>
  </si>
  <si>
    <t>Peter Laubert</t>
  </si>
  <si>
    <t>Christophe Legendre</t>
  </si>
  <si>
    <t>Zeno Legner</t>
  </si>
  <si>
    <t>Florian Leist</t>
  </si>
  <si>
    <t>Frank Lejeune</t>
  </si>
  <si>
    <t>Birgit Lenger</t>
  </si>
  <si>
    <t>Dave Lewis</t>
  </si>
  <si>
    <t>Davide Livi</t>
  </si>
  <si>
    <t>Simone Lo Giudice</t>
  </si>
  <si>
    <t>Bart Lodewijk</t>
  </si>
  <si>
    <t>Ot Loetlam</t>
  </si>
  <si>
    <t>THA</t>
  </si>
  <si>
    <t>Gino Lucia</t>
  </si>
  <si>
    <t>Andrea Lugli</t>
  </si>
  <si>
    <t>Carlo Lupin</t>
  </si>
  <si>
    <t>Bram Maassen</t>
  </si>
  <si>
    <t>Ricardo Macari</t>
  </si>
  <si>
    <t>Dan Magallanes</t>
  </si>
  <si>
    <t>Paolo Magni</t>
  </si>
  <si>
    <t>Lilla Major</t>
  </si>
  <si>
    <t>Zuzana Mala</t>
  </si>
  <si>
    <t>Daniele Malaguzzi</t>
  </si>
  <si>
    <t>Angelo Mancarella</t>
  </si>
  <si>
    <t>Claudio Marana</t>
  </si>
  <si>
    <t>Stefano Maroli</t>
  </si>
  <si>
    <t>Alan Martinez</t>
  </si>
  <si>
    <t>Stepan Materna</t>
  </si>
  <si>
    <t>Mat'o Kalnik</t>
  </si>
  <si>
    <t>Yuki Matsushita-Gebert</t>
  </si>
  <si>
    <t>Mario Mayer</t>
  </si>
  <si>
    <t>Joe McCrave</t>
  </si>
  <si>
    <t>Curran McCrory</t>
  </si>
  <si>
    <t>Luca Medri</t>
  </si>
  <si>
    <t>Mauro Mercuri</t>
  </si>
  <si>
    <t>Oren Meron</t>
  </si>
  <si>
    <t>Jan Mertens</t>
  </si>
  <si>
    <t>Laurent Mess</t>
  </si>
  <si>
    <t>Gabriele Micciola</t>
  </si>
  <si>
    <t>Cotter Michaels</t>
  </si>
  <si>
    <t>Alexander Michnewitsch</t>
  </si>
  <si>
    <t>Terry Miller</t>
  </si>
  <si>
    <t>Henrik Montin</t>
  </si>
  <si>
    <t>Russell Moore</t>
  </si>
  <si>
    <t>Riccardo Morelli</t>
  </si>
  <si>
    <t>Valerio Morossi</t>
  </si>
  <si>
    <t>Marie Murphy</t>
  </si>
  <si>
    <t>Zach Murphy</t>
  </si>
  <si>
    <t>Sammy Neilson</t>
  </si>
  <si>
    <t>Cristina Nicolardi</t>
  </si>
  <si>
    <t>Syunnichi Noda</t>
  </si>
  <si>
    <t>Ted Oberhaus</t>
  </si>
  <si>
    <t>Otto Oehring</t>
  </si>
  <si>
    <t>Hiroshi Okano</t>
  </si>
  <si>
    <t>Regina Olnils</t>
  </si>
  <si>
    <t>John O'Malley</t>
  </si>
  <si>
    <t>Ferenc Orosz</t>
  </si>
  <si>
    <t>Michel Otte</t>
  </si>
  <si>
    <t>Victor Ouzoonian</t>
  </si>
  <si>
    <t>Bruce Page</t>
  </si>
  <si>
    <t>Jeff Palmieri</t>
  </si>
  <si>
    <t>Jim Palmieri</t>
  </si>
  <si>
    <t>Kevin Palmieri</t>
  </si>
  <si>
    <t>Cosmi Palmisano</t>
  </si>
  <si>
    <t>Paolo Papini</t>
  </si>
  <si>
    <t>Renee Pardo</t>
  </si>
  <si>
    <t>Konstantin Patsalides</t>
  </si>
  <si>
    <t>Hans Peeters</t>
  </si>
  <si>
    <t>Fabio Percario</t>
  </si>
  <si>
    <t>Carlo Perrone</t>
  </si>
  <si>
    <t>Stina Persson</t>
  </si>
  <si>
    <t>Ryan Peterson</t>
  </si>
  <si>
    <t>Claudio Petro</t>
  </si>
  <si>
    <t>Stefano Pieroni</t>
  </si>
  <si>
    <t>Claudio Pietranelli</t>
  </si>
  <si>
    <t>Roberto Pizzi</t>
  </si>
  <si>
    <t>Lucie Plevova</t>
  </si>
  <si>
    <t>Dean Porter</t>
  </si>
  <si>
    <t>Massimo Possenti</t>
  </si>
  <si>
    <t>Emidio Prosperi</t>
  </si>
  <si>
    <t>Alessandro Provitali</t>
  </si>
  <si>
    <t>Andrew Quinn</t>
  </si>
  <si>
    <t>Pat Rabdau</t>
  </si>
  <si>
    <t>Noah Reckhard</t>
  </si>
  <si>
    <t>Daniel Reichert</t>
  </si>
  <si>
    <t>Chris Reynolds</t>
  </si>
  <si>
    <t>Walter Reynolds</t>
  </si>
  <si>
    <t>Greg Riley</t>
  </si>
  <si>
    <t>Scott Riley</t>
  </si>
  <si>
    <t>Giuseppe Rizzo</t>
  </si>
  <si>
    <t>Judy Robbins</t>
  </si>
  <si>
    <t>Tom Robideau</t>
  </si>
  <si>
    <t>Dan Roddick</t>
  </si>
  <si>
    <t>Omer Rosenbaum</t>
  </si>
  <si>
    <t>Peter Rujan</t>
  </si>
  <si>
    <t>Mike Ruzicka</t>
  </si>
  <si>
    <t>Chris Ryan</t>
  </si>
  <si>
    <t>Peter Ryan</t>
  </si>
  <si>
    <t>Rick Sader</t>
  </si>
  <si>
    <t>Pavel Safar</t>
  </si>
  <si>
    <t>Fred Salaz</t>
  </si>
  <si>
    <t>Jon Salchert</t>
  </si>
  <si>
    <t>Daniele Sancini</t>
  </si>
  <si>
    <t>Johan Sandell</t>
  </si>
  <si>
    <t>Mattias Sandkvist</t>
  </si>
  <si>
    <t>Dvir Sanela</t>
  </si>
  <si>
    <t>Davide Sanna</t>
  </si>
  <si>
    <t>Marco Sanna</t>
  </si>
  <si>
    <t>Riccardo Sanna</t>
  </si>
  <si>
    <t>Rabah Sbitani</t>
  </si>
  <si>
    <t>Dario Scaramucci</t>
  </si>
  <si>
    <t>Jonas Schaefers</t>
  </si>
  <si>
    <t>Victoria Schätzle</t>
  </si>
  <si>
    <t>John Schiller</t>
  </si>
  <si>
    <t>Max Schmidt</t>
  </si>
  <si>
    <t>Wolfgang Schöffel</t>
  </si>
  <si>
    <t>Corina Schusfer</t>
  </si>
  <si>
    <t>Ennio Scrimieri</t>
  </si>
  <si>
    <t>Massimo Segale</t>
  </si>
  <si>
    <t>Monika Selecka</t>
  </si>
  <si>
    <t>Davide Serlenga</t>
  </si>
  <si>
    <t>Lorenzo Sforza</t>
  </si>
  <si>
    <t>Mattie Shelton</t>
  </si>
  <si>
    <t>Chris Sieben</t>
  </si>
  <si>
    <t>Paul Siefert</t>
  </si>
  <si>
    <t>Stefan Siegert</t>
  </si>
  <si>
    <t>Vico Silano</t>
  </si>
  <si>
    <t>Doug Simon</t>
  </si>
  <si>
    <t>Benni Sing</t>
  </si>
  <si>
    <t>Ben Singer</t>
  </si>
  <si>
    <t>Paul Smith</t>
  </si>
  <si>
    <t>Yuriko Sobue</t>
  </si>
  <si>
    <t>Pete Sontag</t>
  </si>
  <si>
    <t>Holger Sorgatz</t>
  </si>
  <si>
    <t>Marygrace Sorrentino</t>
  </si>
  <si>
    <t>Jim Spencer</t>
  </si>
  <si>
    <t>Martin Stadler</t>
  </si>
  <si>
    <t>Scott Starr</t>
  </si>
  <si>
    <t>Katie Stauss</t>
  </si>
  <si>
    <t>Fabrizio Stefano</t>
  </si>
  <si>
    <t>Cedrik Stevens</t>
  </si>
  <si>
    <t>Anna Strait</t>
  </si>
  <si>
    <t>Sten Sturefeldt</t>
  </si>
  <si>
    <t>Roberto Suffanti</t>
  </si>
  <si>
    <t>Iva Svrchokrylova</t>
  </si>
  <si>
    <t>Yumiko Tauchi</t>
  </si>
  <si>
    <t>Ryan Taygan</t>
  </si>
  <si>
    <t>Joe Teronde</t>
  </si>
  <si>
    <t>Will Thoren</t>
  </si>
  <si>
    <t>Bjorn Tiggis</t>
  </si>
  <si>
    <t>Rohre Titcomb</t>
  </si>
  <si>
    <t>Vehro Titcomb</t>
  </si>
  <si>
    <t>Xtehn Titcomb</t>
  </si>
  <si>
    <t>Zahlen Titcomb</t>
  </si>
  <si>
    <t>Tommaso Tondo</t>
  </si>
  <si>
    <t>Linda Torngren</t>
  </si>
  <si>
    <t>Melissa Trail</t>
  </si>
  <si>
    <t>Kevin Traver</t>
  </si>
  <si>
    <t>Alexander Trenner</t>
  </si>
  <si>
    <t>Luca Trotta</t>
  </si>
  <si>
    <t>Mark Trout</t>
  </si>
  <si>
    <t>Juro Turan</t>
  </si>
  <si>
    <t>SVK</t>
  </si>
  <si>
    <t>Marc Uhlig</t>
  </si>
  <si>
    <t>Kerstin Ulrich</t>
  </si>
  <si>
    <t>Fabrizio Valenti</t>
  </si>
  <si>
    <t>Andrew Van Lanen</t>
  </si>
  <si>
    <t>Jim Van Lanen</t>
  </si>
  <si>
    <t>Todd Van Osdol</t>
  </si>
  <si>
    <t>Jozef Vanco</t>
  </si>
  <si>
    <t>Jason Varvaro</t>
  </si>
  <si>
    <t>Alessandro Vinciguerra</t>
  </si>
  <si>
    <t>Ron Vingerelli</t>
  </si>
  <si>
    <t>Ryan Vinoski</t>
  </si>
  <si>
    <t>Steve Vinoski</t>
  </si>
  <si>
    <t>Monika Vogt</t>
  </si>
  <si>
    <t>Alena Vojtekova</t>
  </si>
  <si>
    <t>Mirko Vosen</t>
  </si>
  <si>
    <t>Diana Vrbic</t>
  </si>
  <si>
    <t>Philipp Wacholz</t>
  </si>
  <si>
    <t>Mathias Wagner</t>
  </si>
  <si>
    <t>Hartmut Wahrmann</t>
  </si>
  <si>
    <t>Adrian Wainwright</t>
  </si>
  <si>
    <t>Josh Walton</t>
  </si>
  <si>
    <t>Matt Watenpoole</t>
  </si>
  <si>
    <t>Ross Weatherbee</t>
  </si>
  <si>
    <t>Dominik Weber</t>
  </si>
  <si>
    <t>Stefan Weinreich</t>
  </si>
  <si>
    <t>Pontus Welin</t>
  </si>
  <si>
    <t>Brad Wendt</t>
  </si>
  <si>
    <t>Sune Wentzel</t>
  </si>
  <si>
    <t>David Werner</t>
  </si>
  <si>
    <t>Willeye Williams</t>
  </si>
  <si>
    <t>Merle Witvoet</t>
  </si>
  <si>
    <t>Jascha Wollman</t>
  </si>
  <si>
    <t>Eric Wootten</t>
  </si>
  <si>
    <t>Randy Wylot</t>
  </si>
  <si>
    <t>Kana Yamamoto</t>
  </si>
  <si>
    <t>Dori Yaniv</t>
  </si>
  <si>
    <t>Kaili Young</t>
  </si>
  <si>
    <t>Manuel Zach</t>
  </si>
  <si>
    <t>Eugenio Zaffarano</t>
  </si>
  <si>
    <t>Adam Zambo</t>
  </si>
  <si>
    <t>Adrian Zeitner</t>
  </si>
  <si>
    <t>Alena Zemanova</t>
  </si>
  <si>
    <t>Sarah Ziegler</t>
  </si>
  <si>
    <t>Leander Zimmerman</t>
  </si>
  <si>
    <t>Emilia Zoila</t>
  </si>
  <si>
    <t>Mary Zurn</t>
  </si>
  <si>
    <t>Mindy Ahler</t>
  </si>
  <si>
    <t>Connie Bond</t>
  </si>
  <si>
    <t>Marygrace Clark</t>
  </si>
  <si>
    <t>Louie Cohn</t>
  </si>
  <si>
    <t>Diana Elsner</t>
  </si>
  <si>
    <t>Heather Gray</t>
  </si>
  <si>
    <t>Aya Ichikawa</t>
  </si>
  <si>
    <t>Yukari Komatsu</t>
  </si>
  <si>
    <t>Juliana Korver</t>
  </si>
  <si>
    <t>Christina Kunze</t>
  </si>
  <si>
    <t>Jeannette Ortiz</t>
  </si>
  <si>
    <t>Art Viger</t>
  </si>
  <si>
    <t>Alejandra Estrada</t>
  </si>
  <si>
    <t>Beth Verish</t>
  </si>
  <si>
    <t>Mark bonus  for consecutivity with + in the first row</t>
  </si>
  <si>
    <t>Sum / 6</t>
  </si>
  <si>
    <t>Freddy Finner</t>
  </si>
  <si>
    <t>Toby Künzel</t>
  </si>
  <si>
    <t>Björn Ahlström</t>
  </si>
  <si>
    <t>Eitan Labinaz</t>
  </si>
  <si>
    <t>Federico Bianchini</t>
  </si>
  <si>
    <t>Federico Bon</t>
  </si>
  <si>
    <t>Kate Gester</t>
  </si>
  <si>
    <t>0.0 - 60.0</t>
  </si>
  <si>
    <t>Jim Elsner</t>
  </si>
  <si>
    <t>Don Hunkel</t>
  </si>
  <si>
    <t>Joao Veiga</t>
  </si>
  <si>
    <t>POR</t>
  </si>
  <si>
    <t>Andreas Bochmann</t>
  </si>
  <si>
    <t>Lauren Braaksma</t>
  </si>
  <si>
    <t>Barrett White</t>
  </si>
  <si>
    <t>Birger Schmidt</t>
  </si>
  <si>
    <t>Adam Perry</t>
  </si>
  <si>
    <t>Keith Kleiner</t>
  </si>
  <si>
    <t>Sophie Rickers</t>
  </si>
  <si>
    <t>Jaden Paul</t>
  </si>
  <si>
    <t>Stefan Frehland</t>
  </si>
  <si>
    <t>Tanja Ritterhaus</t>
  </si>
  <si>
    <t>Tom Carlos Schuster</t>
  </si>
  <si>
    <t>Dennis Vollmer</t>
  </si>
  <si>
    <t>Manuel Enders</t>
  </si>
  <si>
    <t>Theo Liegle</t>
  </si>
  <si>
    <t>Henrik Wahlman</t>
  </si>
  <si>
    <t>Rui Pires</t>
  </si>
  <si>
    <t>Lindsay Sweeten</t>
  </si>
  <si>
    <t>Fredrik Bodell</t>
  </si>
  <si>
    <t>Michael Hu</t>
  </si>
  <si>
    <t>TPE</t>
  </si>
  <si>
    <t>Johan Stensmar</t>
  </si>
  <si>
    <t>Albin Lindblad</t>
  </si>
  <si>
    <t>Fabian Lindblad</t>
  </si>
  <si>
    <t>Anton Kappling</t>
  </si>
  <si>
    <t>Randy Lahm jr.</t>
  </si>
  <si>
    <t>Anneli André</t>
  </si>
  <si>
    <t>Frida Högberg</t>
  </si>
  <si>
    <t>This Month</t>
  </si>
  <si>
    <t>Last Month</t>
  </si>
  <si>
    <t>Simon Lühring</t>
  </si>
  <si>
    <t>Felix Schwarzbach</t>
  </si>
  <si>
    <t>Simon Faber</t>
  </si>
  <si>
    <t>Philipp Schellworth</t>
  </si>
  <si>
    <t>Mateusz Gajewski</t>
  </si>
  <si>
    <t>Robert Bross</t>
  </si>
  <si>
    <t>Robbin Flößen</t>
  </si>
  <si>
    <t>Paula Willin</t>
  </si>
  <si>
    <t>Jim Dodelson</t>
  </si>
  <si>
    <t>Gordy Brown</t>
  </si>
  <si>
    <t>Luca Muntan</t>
  </si>
  <si>
    <t>Dylan Rocha Pires</t>
  </si>
  <si>
    <t>Angelo Trevino</t>
  </si>
  <si>
    <t>Danny Miles</t>
  </si>
  <si>
    <t>Mikey Callaghan</t>
  </si>
  <si>
    <t>Steve Rhodes</t>
  </si>
  <si>
    <t>Emiliano Verrino</t>
  </si>
  <si>
    <t>Marcin Dusowski</t>
  </si>
  <si>
    <t>Billy Caplin</t>
  </si>
  <si>
    <t>Henning Worm</t>
  </si>
  <si>
    <t>Zé Luis</t>
  </si>
  <si>
    <t>The Name of the Event with year. Please use short term. i.e.: "FPAW 2015"</t>
  </si>
  <si>
    <t>Balu Major</t>
  </si>
  <si>
    <t>Clay Collerà</t>
  </si>
  <si>
    <t>Woo Wunder</t>
  </si>
  <si>
    <t>Harald S.</t>
  </si>
  <si>
    <t>Tom "Harry" Goltz</t>
  </si>
  <si>
    <t>Daniel Weinbuch</t>
  </si>
  <si>
    <t>Pipo Lopez</t>
  </si>
  <si>
    <t>Fabrizio "Nino" Nicco</t>
  </si>
  <si>
    <t>Francesco Santolin</t>
  </si>
  <si>
    <t>LUX</t>
  </si>
  <si>
    <t>Jessica S.</t>
  </si>
  <si>
    <t>Andy Absolom</t>
  </si>
  <si>
    <t>Alexander Enhuber</t>
  </si>
  <si>
    <t>Ian White</t>
  </si>
  <si>
    <t>Danny Sorgatz</t>
  </si>
  <si>
    <t>Steve Reicke</t>
  </si>
  <si>
    <t>Silvina Porsch</t>
  </si>
  <si>
    <t>Daniele Bertolini</t>
  </si>
  <si>
    <t>Mattia Colombari</t>
  </si>
  <si>
    <t>Adrian Röder</t>
  </si>
  <si>
    <t>Beka Namchevadze</t>
  </si>
  <si>
    <t>Charlie Richards IV</t>
  </si>
  <si>
    <t>Leonardo Finco</t>
  </si>
  <si>
    <t>Karin Breitenbücher</t>
  </si>
  <si>
    <t>Edoardo Turri</t>
  </si>
  <si>
    <t>329T</t>
  </si>
  <si>
    <t>Char Powell</t>
  </si>
  <si>
    <t>Sven Deschle</t>
  </si>
  <si>
    <t>Julian Störk</t>
  </si>
  <si>
    <t>376T</t>
  </si>
  <si>
    <t>Z Weyand</t>
  </si>
  <si>
    <t>Heather Wootten</t>
  </si>
  <si>
    <t>Jan "Dexter" Struz</t>
  </si>
  <si>
    <t>Scott Stokley</t>
  </si>
  <si>
    <t>Evan Walridge</t>
  </si>
  <si>
    <t>Anna Duran-Korzycka</t>
  </si>
  <si>
    <t>Ethan Lahm</t>
  </si>
  <si>
    <t>Hanna Dura</t>
  </si>
  <si>
    <t>Antonio Iannettone</t>
  </si>
  <si>
    <t>Sebastian Gorczynski</t>
  </si>
  <si>
    <t>Markus Fath</t>
  </si>
  <si>
    <t>Filip Korzycki</t>
  </si>
  <si>
    <t>Michal Piekarski</t>
  </si>
  <si>
    <t>(John - Amsterjam 2006)</t>
  </si>
  <si>
    <t>Alex Alexandrov</t>
  </si>
  <si>
    <t>Alessandro Collerà</t>
  </si>
  <si>
    <t>Davide "Panda" Fortunati</t>
  </si>
  <si>
    <t>Andrea "Oddi" Furlan</t>
  </si>
  <si>
    <t>Lui Tasini</t>
  </si>
  <si>
    <t>Felipe "Tito" Torres</t>
  </si>
  <si>
    <t>Manuel "Cuqui" Viner</t>
  </si>
  <si>
    <t>Olga Fisnerova</t>
  </si>
  <si>
    <t>Event:</t>
  </si>
  <si>
    <t>Eventcode:</t>
  </si>
  <si>
    <t>Place:</t>
  </si>
  <si>
    <t>No. Of Players:</t>
  </si>
  <si>
    <t>Category:</t>
  </si>
  <si>
    <t>Open Divisions:</t>
  </si>
  <si>
    <t>Open</t>
  </si>
  <si>
    <t>Women Divisions:</t>
  </si>
  <si>
    <t>Other Divisions:</t>
  </si>
  <si>
    <t>Appears on List:</t>
  </si>
  <si>
    <t>Expires from List:</t>
  </si>
  <si>
    <t>Player</t>
  </si>
  <si>
    <t>Gender</t>
  </si>
  <si>
    <t>Bonus</t>
  </si>
  <si>
    <t>Open Ranking Points</t>
  </si>
  <si>
    <t>Semis Bonus</t>
  </si>
  <si>
    <t>Finals Bonus</t>
  </si>
  <si>
    <t>Tied with the team above?</t>
  </si>
  <si>
    <t>Women</t>
  </si>
  <si>
    <t>Here you can put the Location Info</t>
  </si>
  <si>
    <t>Full name of the Event. i.e.: "European Freetyle Championships in Karlsruhe"</t>
  </si>
  <si>
    <t>Category</t>
  </si>
  <si>
    <t>(optional) Depends on the number of Competitors of the tournament: &gt; 20 : 100% ; &gt;14 :80%; &gt;9:65%; &gt; 4: 60%;</t>
  </si>
  <si>
    <t>World Rankings</t>
  </si>
  <si>
    <t>freestyle_ranking@googlegroups.com</t>
  </si>
  <si>
    <t>Important:</t>
  </si>
  <si>
    <t xml:space="preserve">Send to </t>
  </si>
  <si>
    <t>This function save the results as text file (to default users documents directory) for publishing on your website</t>
  </si>
  <si>
    <t>flo@freestylefrisbee.de</t>
  </si>
  <si>
    <t>Input Mode</t>
  </si>
  <si>
    <t>Send to Rankings...</t>
  </si>
  <si>
    <t>Actions</t>
  </si>
  <si>
    <t>Please send this Excel file (and all the files from the other rounds) as attachment to this email adress!</t>
  </si>
  <si>
    <t>Germany</t>
  </si>
  <si>
    <t>Colombia</t>
  </si>
  <si>
    <t>Netherlands</t>
  </si>
  <si>
    <t>Brazil</t>
  </si>
  <si>
    <t>France</t>
  </si>
  <si>
    <t>ARG</t>
  </si>
  <si>
    <t>Argentina</t>
  </si>
  <si>
    <t>Switzerland</t>
  </si>
  <si>
    <t>ALG</t>
  </si>
  <si>
    <t>Algeria</t>
  </si>
  <si>
    <t>CHI</t>
  </si>
  <si>
    <t>Chile</t>
  </si>
  <si>
    <t>Belgium</t>
  </si>
  <si>
    <t>CRO</t>
  </si>
  <si>
    <t>Croatia</t>
  </si>
  <si>
    <t>MEX</t>
  </si>
  <si>
    <t>Mexico</t>
  </si>
  <si>
    <t>CRC</t>
  </si>
  <si>
    <t>Costa Rica</t>
  </si>
  <si>
    <t>United States</t>
  </si>
  <si>
    <t>Portugal</t>
  </si>
  <si>
    <t>CIV</t>
  </si>
  <si>
    <t>Ivory Coast</t>
  </si>
  <si>
    <t>ESP</t>
  </si>
  <si>
    <t>Spain</t>
  </si>
  <si>
    <t>URU</t>
  </si>
  <si>
    <t>Uruguay</t>
  </si>
  <si>
    <t>BIH</t>
  </si>
  <si>
    <t>Bosnia and Herzegovina</t>
  </si>
  <si>
    <t>GHA</t>
  </si>
  <si>
    <t>Ghana</t>
  </si>
  <si>
    <t>AUS</t>
  </si>
  <si>
    <t>Australia</t>
  </si>
  <si>
    <t>KOR</t>
  </si>
  <si>
    <t>South Korea</t>
  </si>
  <si>
    <t>NGA</t>
  </si>
  <si>
    <t>Nigeria</t>
  </si>
  <si>
    <t>GRE</t>
  </si>
  <si>
    <t>Greece</t>
  </si>
  <si>
    <t>ECU</t>
  </si>
  <si>
    <t>Ecuador</t>
  </si>
  <si>
    <t>Italy</t>
  </si>
  <si>
    <t>ENG</t>
  </si>
  <si>
    <t>England</t>
  </si>
  <si>
    <t>Russia</t>
  </si>
  <si>
    <t>Japan</t>
  </si>
  <si>
    <t>HON</t>
  </si>
  <si>
    <t>Honduras</t>
  </si>
  <si>
    <t>IRN</t>
  </si>
  <si>
    <t>Iran</t>
  </si>
  <si>
    <t>CMR</t>
  </si>
  <si>
    <t>Cameroon</t>
  </si>
  <si>
    <t>Waldemar Wagner</t>
  </si>
  <si>
    <t>Andre Zaharias</t>
  </si>
  <si>
    <t>Martin Höser</t>
  </si>
  <si>
    <t>426T</t>
  </si>
  <si>
    <t>Yuval Reikoren</t>
  </si>
  <si>
    <t>Filippo Bortot</t>
  </si>
  <si>
    <t>Yasutaka Okubo</t>
  </si>
  <si>
    <t>Fabio Böhm</t>
  </si>
  <si>
    <t>Lisa Löser</t>
  </si>
  <si>
    <t>Syouki Maeda</t>
  </si>
  <si>
    <t>Noriaki Wakabayashi</t>
  </si>
  <si>
    <t>Kiwi Sallehsari</t>
  </si>
  <si>
    <t>325T</t>
  </si>
  <si>
    <t>Koutaro Ikebayashi</t>
  </si>
  <si>
    <t>Syohei Ono</t>
  </si>
  <si>
    <t>Mattias Hultqvist</t>
  </si>
  <si>
    <t>Jonas Karlsson</t>
  </si>
  <si>
    <t>Anton Lindh</t>
  </si>
  <si>
    <t>Gur Kimel</t>
  </si>
  <si>
    <t>Aiden Slaska</t>
  </si>
  <si>
    <t>Mike Slaska</t>
  </si>
  <si>
    <t>355T</t>
  </si>
  <si>
    <t>Aria Andarizig</t>
  </si>
  <si>
    <t>Simon Hesselgren</t>
  </si>
  <si>
    <t>Steve Leak</t>
  </si>
  <si>
    <t>Abozar Hejdari</t>
  </si>
  <si>
    <t>Gahfur Hossini</t>
  </si>
  <si>
    <t>Patrick Chartrand</t>
  </si>
  <si>
    <t>Brian McElwain</t>
  </si>
  <si>
    <t>Jonathan Dybbroe</t>
  </si>
  <si>
    <t>Obaid Mirzayi</t>
  </si>
  <si>
    <t>Marzia Abboni</t>
  </si>
  <si>
    <t>Luana Morelli</t>
  </si>
  <si>
    <t>Janine ?</t>
  </si>
  <si>
    <t>Lars Ake Vinberg</t>
  </si>
  <si>
    <t>Monica Andrea Correa</t>
  </si>
  <si>
    <t>Catia Brandi</t>
  </si>
  <si>
    <t>AIFDA Aichi Flying Disc Competition - Open</t>
  </si>
  <si>
    <t>2016 JamBrittania - Mixed Pairs</t>
  </si>
  <si>
    <t>2016 JamBrittania - Open Co-op</t>
  </si>
  <si>
    <t>AIFDA Laguna Beach - Open Pairs</t>
  </si>
  <si>
    <t>Ilka’s &amp; Dr.NoZ’s Birthday Clash - Open</t>
  </si>
  <si>
    <t>2016 Beachstylers - Turboshred</t>
  </si>
  <si>
    <t>2016 Beachstylers - Open Pairs</t>
  </si>
  <si>
    <t>2016 Anzio Jam - Mixed Pairs</t>
  </si>
  <si>
    <t>2016 Anzio Jam - Open Pairs</t>
  </si>
  <si>
    <t>1234 Seasons Hat - Fall 2016 - Random Open</t>
  </si>
  <si>
    <t>Wiesn Jam (Oktoberfest Jam) - Open Pairs</t>
  </si>
  <si>
    <t>Walk the Plank Hat Tournament - Open Pairs</t>
  </si>
  <si>
    <t>2016 Sandslash - Open Pairs</t>
  </si>
  <si>
    <t>2016 FPAW - Women Pairs</t>
  </si>
  <si>
    <t>2016 FPAW - Mixed Pairs</t>
  </si>
  <si>
    <t>2016 FPAW - Open Coop</t>
  </si>
  <si>
    <t>2016 FPAW - Open Pairs</t>
  </si>
  <si>
    <t>JFDA All Japan - Open Pairs</t>
  </si>
  <si>
    <t>1234 Seasons Hat - Summer 2016 - Random Coop</t>
  </si>
  <si>
    <t>Swedish Freestyle Championships - Open Pairs, Juniors</t>
  </si>
  <si>
    <t>2016 US Open - Open Pairs</t>
  </si>
  <si>
    <t>2016 Potlatch - Open Pairs</t>
  </si>
  <si>
    <t>Version: 2.15</t>
  </si>
  <si>
    <t>m</t>
  </si>
  <si>
    <t>f</t>
  </si>
  <si>
    <t>Kuba Radwanski</t>
  </si>
  <si>
    <t>Daniel Pinchasov</t>
  </si>
  <si>
    <t>Brett Schramek</t>
  </si>
  <si>
    <t>Benedicte Audet</t>
  </si>
  <si>
    <t>Ofir Almog</t>
  </si>
  <si>
    <t>Gil Korin</t>
  </si>
  <si>
    <t xml:space="preserve">ISR </t>
  </si>
  <si>
    <t>Amir Hoshen</t>
  </si>
  <si>
    <t>Tomer Adar</t>
  </si>
  <si>
    <t>Yarden Borkow</t>
  </si>
  <si>
    <t>Ron Huberman</t>
  </si>
  <si>
    <t>Alon Hoffman</t>
  </si>
  <si>
    <t>Kevin Surdyka</t>
  </si>
  <si>
    <t>Matteo Pinto</t>
  </si>
  <si>
    <t>Maurizio Ranieri</t>
  </si>
  <si>
    <t>Leo Kamiya</t>
  </si>
  <si>
    <t xml:space="preserve">JPN </t>
  </si>
  <si>
    <t>Jan Dufke</t>
  </si>
  <si>
    <t>Bar Bendek</t>
  </si>
  <si>
    <t>Kuba Opaluch</t>
  </si>
  <si>
    <t xml:space="preserve">POL </t>
  </si>
  <si>
    <t>Michaela Galloupe</t>
  </si>
  <si>
    <t>Daniel Shriki</t>
  </si>
  <si>
    <t>Riley O'Neill</t>
  </si>
  <si>
    <t>Giulio ?</t>
  </si>
  <si>
    <t>James Emerson</t>
  </si>
  <si>
    <t>Alan Clark</t>
  </si>
  <si>
    <t>Constantino Mucciaccia</t>
  </si>
  <si>
    <t>Ilona Heinz</t>
  </si>
  <si>
    <t>Ran Klein</t>
  </si>
  <si>
    <t>Kouhei Yamaji</t>
  </si>
  <si>
    <t>Dominik Rurek</t>
  </si>
  <si>
    <t>Idan Levy</t>
  </si>
  <si>
    <t>Les Bryant</t>
  </si>
  <si>
    <t xml:space="preserve">GBR </t>
  </si>
  <si>
    <t>Pablo Rada</t>
  </si>
  <si>
    <t>Janis Brunner</t>
  </si>
  <si>
    <t>Daniel Bailey</t>
  </si>
  <si>
    <t>Davide Liberti</t>
  </si>
  <si>
    <t>Eitan Reikoren</t>
  </si>
  <si>
    <t>Kazuki Kaji</t>
  </si>
  <si>
    <t>307T</t>
  </si>
  <si>
    <t>Jan Vincent</t>
  </si>
  <si>
    <t xml:space="preserve">GER </t>
  </si>
  <si>
    <t>311T</t>
  </si>
  <si>
    <t>Michael Shperling</t>
  </si>
  <si>
    <t>315T</t>
  </si>
  <si>
    <t>Maurizio Lozio</t>
  </si>
  <si>
    <t>Frederic Rudel</t>
  </si>
  <si>
    <t xml:space="preserve">FRA </t>
  </si>
  <si>
    <t>Oz Friere</t>
  </si>
  <si>
    <t>Giulia Aretano</t>
  </si>
  <si>
    <t>Seweryn Janeczka</t>
  </si>
  <si>
    <t>Cotton McAloon</t>
  </si>
  <si>
    <t xml:space="preserve">IRL </t>
  </si>
  <si>
    <t>Allen Elliot</t>
  </si>
  <si>
    <t>332T</t>
  </si>
  <si>
    <t>333T</t>
  </si>
  <si>
    <t>Avihiy Haim</t>
  </si>
  <si>
    <t>Yasuhiro Komori</t>
  </si>
  <si>
    <t>Kim Larkin</t>
  </si>
  <si>
    <t>Yusuke Umehara</t>
  </si>
  <si>
    <t>Dan Bailey</t>
  </si>
  <si>
    <t>Raz Avrahami</t>
  </si>
  <si>
    <t>350T</t>
  </si>
  <si>
    <t>Flavia Figa Talamanca</t>
  </si>
  <si>
    <t xml:space="preserve">ITA </t>
  </si>
  <si>
    <t>Alex Wenger</t>
  </si>
  <si>
    <t>Simon Wassermann</t>
  </si>
  <si>
    <t>360T</t>
  </si>
  <si>
    <t>362T</t>
  </si>
  <si>
    <t>Mike Stoneking</t>
  </si>
  <si>
    <t>363T</t>
  </si>
  <si>
    <t>367T</t>
  </si>
  <si>
    <t>Kazunori Kanai</t>
  </si>
  <si>
    <t>Konrad Konda</t>
  </si>
  <si>
    <t>Kouji Negishi</t>
  </si>
  <si>
    <t>Eitan Rei Koren</t>
  </si>
  <si>
    <t>Joe Gamon Kossi</t>
  </si>
  <si>
    <t xml:space="preserve">BEL </t>
  </si>
  <si>
    <t>John Collins</t>
  </si>
  <si>
    <t>Ian Kitchens</t>
  </si>
  <si>
    <t>392T</t>
  </si>
  <si>
    <t>395T</t>
  </si>
  <si>
    <t>396T</t>
  </si>
  <si>
    <t>400T</t>
  </si>
  <si>
    <t>405T</t>
  </si>
  <si>
    <t>408T</t>
  </si>
  <si>
    <t>Cormac Finn O'Brien</t>
  </si>
  <si>
    <t>IRL</t>
  </si>
  <si>
    <t>Giulio Baroni</t>
  </si>
  <si>
    <t>413T</t>
  </si>
  <si>
    <t>Riccardo Anversa</t>
  </si>
  <si>
    <t>Luca Restaino</t>
  </si>
  <si>
    <t>Derek Robins</t>
  </si>
  <si>
    <t>Jose Rodriguez</t>
  </si>
  <si>
    <t>Angela Polla Cusma</t>
  </si>
  <si>
    <t>John Anthony</t>
  </si>
  <si>
    <t>Simone Terramoccia</t>
  </si>
  <si>
    <t>430T</t>
  </si>
  <si>
    <t>433T</t>
  </si>
  <si>
    <t>Judith Jakobsson</t>
  </si>
  <si>
    <t>Matilda Ringbom</t>
  </si>
  <si>
    <t>432T</t>
  </si>
  <si>
    <t>Elena Dalmasso</t>
  </si>
  <si>
    <t>440T</t>
  </si>
  <si>
    <t>Yung Kai Liang</t>
  </si>
  <si>
    <t>Fabio Girotto</t>
  </si>
  <si>
    <t>Tobia Valente</t>
  </si>
  <si>
    <t>Morris Starling</t>
  </si>
  <si>
    <t>Giacomo Poli</t>
  </si>
  <si>
    <t>Vendela Arveskär</t>
  </si>
  <si>
    <t xml:space="preserve">SWE </t>
  </si>
  <si>
    <t>Oliver Baczko</t>
  </si>
  <si>
    <t>?</t>
  </si>
  <si>
    <t>I Chi Lin</t>
  </si>
  <si>
    <t>Mauricio Lobos Fernandez</t>
  </si>
  <si>
    <t>Dominika Matuskova</t>
  </si>
  <si>
    <t>Yu Han Wang</t>
  </si>
  <si>
    <t>New Tournaments this Month:</t>
  </si>
  <si>
    <t>Tournaments included:</t>
  </si>
  <si>
    <t>2017 Lazzaroni - Mixed Pairs</t>
  </si>
  <si>
    <t>2017 Lazzaroni - Open Pairs</t>
  </si>
  <si>
    <t>2017 Jam Brittannia II - Mixed Pairs</t>
  </si>
  <si>
    <t>2017 Jam Brittannia II - Open Co-Op</t>
  </si>
  <si>
    <t>2017 Aichi Flying Disc Competition - Open Pairs</t>
  </si>
  <si>
    <t>123 Four Season Hat Tournament - Edition Fall 2017 - Random Open Pairs</t>
  </si>
  <si>
    <t>2017 KOVA Hat Tournament (Autumn Edition) - Random Open Pairs</t>
  </si>
  <si>
    <t>2017 Ilka's Hat Tournament - Random Open Pairs</t>
  </si>
  <si>
    <t>2017 Laguna Beach Disc Festival - Open</t>
  </si>
  <si>
    <t>2017 24a Coppa Città di Milano - Open Pairs</t>
  </si>
  <si>
    <t>Capocotta Hat Tournament 2017 - Open Pairs</t>
  </si>
  <si>
    <t>2017 Sandslash - Open Pairs</t>
  </si>
  <si>
    <t>123 Four Season Hat Tournament - Edition Summer 2017 - Open Pairs</t>
  </si>
  <si>
    <t>All Japan Flying Disc Championships - Open Pairs</t>
  </si>
  <si>
    <t>2017 FPAW - Women Pairs</t>
  </si>
  <si>
    <t>2017 FPAW - Mixed Pairs</t>
  </si>
  <si>
    <t>2017 FPAW - Open CoOp</t>
  </si>
  <si>
    <t>2017 FPAW - Open Pairs</t>
  </si>
  <si>
    <t>2017 WFDF World Overall Flying Disc Championships - Women Pairs</t>
  </si>
  <si>
    <t>2017 WFDF World Overall Flying Disc Championships - Open Pairs, Juniors</t>
  </si>
  <si>
    <t>2017 KOVA Hat Tournament (Summer Edition) - Open</t>
  </si>
  <si>
    <t>2017 Amsterjam - Open</t>
  </si>
  <si>
    <t>2017 NBG Bridge Bash - Open Pairs</t>
  </si>
  <si>
    <t>2017 German Freestyledisc Championships - Mixed Pairs</t>
  </si>
  <si>
    <t>2017 German Freestyledisc Championships - Open Pairs, Open CoOp</t>
  </si>
  <si>
    <t>2017 Potlatch - Open Pairs, Turbo Jam</t>
  </si>
  <si>
    <t>2017 Munich Mash - Open Pairs</t>
  </si>
  <si>
    <t>2017 American Freestyle Open - Mixed Pairs</t>
  </si>
  <si>
    <t>2017 American Freestyle Open - Open Pairs, Open CoOp</t>
  </si>
  <si>
    <t>2017 Italian Freestyle Open - Mixed Pairs</t>
  </si>
  <si>
    <t>2017 Italian Freestyle Open - Open Pairs, Open CoOp</t>
  </si>
  <si>
    <t>2017 Disc Days Cologne - Open Pairs</t>
  </si>
  <si>
    <t>123four-Seasons-Hat-Tournament - Edition Spring 2017 - Open Pairs</t>
  </si>
  <si>
    <t>The Jammers - Mixed Pairs</t>
  </si>
  <si>
    <t>The Jammers - Open</t>
  </si>
  <si>
    <t>20 Years of Frisbee in Poland - Random Open</t>
  </si>
  <si>
    <t>2017 Virginia States - Open</t>
  </si>
  <si>
    <t>2017 Paganello - Random Team Battle</t>
  </si>
  <si>
    <t>2017 Jam Canaria - Open Pairs</t>
  </si>
  <si>
    <t>2017 Frisbeer Cup - Women Pairs</t>
  </si>
  <si>
    <t>2017 Frisbeer Cup - Mixed Pairs</t>
  </si>
  <si>
    <t>2017 Frisbeer Cup - Open Pairs, Open Coop</t>
  </si>
  <si>
    <t>1234 Seasons Hat - Winter 2017 - Open Co-op</t>
  </si>
  <si>
    <t>2017 In den Hallen - Open Pairs</t>
  </si>
  <si>
    <t>2016 Lazzaroni - Open Pairs</t>
  </si>
  <si>
    <t>Old Tournaments no longer counted:</t>
  </si>
  <si>
    <t>Steffen Verstichel</t>
  </si>
  <si>
    <t>Yonatan Kriss</t>
  </si>
  <si>
    <t>183T</t>
  </si>
  <si>
    <t>139T</t>
  </si>
  <si>
    <t>Yarden Ghefter</t>
  </si>
  <si>
    <t>214T</t>
  </si>
  <si>
    <t>215T</t>
  </si>
  <si>
    <t>217T</t>
  </si>
  <si>
    <t>218T</t>
  </si>
  <si>
    <t>320T</t>
  </si>
  <si>
    <t>391T</t>
  </si>
  <si>
    <t>250T</t>
  </si>
  <si>
    <t>300T</t>
  </si>
  <si>
    <t>Bailey Bonaci</t>
  </si>
  <si>
    <t xml:space="preserve">USA </t>
  </si>
  <si>
    <t>268T</t>
  </si>
  <si>
    <t>273T</t>
  </si>
  <si>
    <t>270T</t>
  </si>
  <si>
    <t>411T</t>
  </si>
  <si>
    <t>295T</t>
  </si>
  <si>
    <t>289T</t>
  </si>
  <si>
    <t>369T</t>
  </si>
  <si>
    <t>298T</t>
  </si>
  <si>
    <t>303T</t>
  </si>
  <si>
    <t>313T</t>
  </si>
  <si>
    <t>305T</t>
  </si>
  <si>
    <t>312T</t>
  </si>
  <si>
    <t>Jannis Brünner</t>
  </si>
  <si>
    <t>Felix Krause</t>
  </si>
  <si>
    <t>319T</t>
  </si>
  <si>
    <t>234T</t>
  </si>
  <si>
    <t>323T</t>
  </si>
  <si>
    <t>331T</t>
  </si>
  <si>
    <t>Kurt Karlsson</t>
  </si>
  <si>
    <t>Nadav Zandani</t>
  </si>
  <si>
    <t>337T</t>
  </si>
  <si>
    <t>Grant Guilmor</t>
  </si>
  <si>
    <t>342T</t>
  </si>
  <si>
    <t>Alessandro Tamassia</t>
  </si>
  <si>
    <t>347T</t>
  </si>
  <si>
    <t>Chris Korn</t>
  </si>
  <si>
    <t>Greg Goren</t>
  </si>
  <si>
    <t>373T</t>
  </si>
  <si>
    <t>388T</t>
  </si>
  <si>
    <t>375T</t>
  </si>
  <si>
    <t>381T</t>
  </si>
  <si>
    <t>398T</t>
  </si>
  <si>
    <t>383T</t>
  </si>
  <si>
    <t>385T</t>
  </si>
  <si>
    <t>404T</t>
  </si>
  <si>
    <t>387T</t>
  </si>
  <si>
    <t>406T</t>
  </si>
  <si>
    <t>Aaron Wachtler</t>
  </si>
  <si>
    <t>Jörg Wachtler</t>
  </si>
  <si>
    <t>418T</t>
  </si>
  <si>
    <t>428T</t>
  </si>
  <si>
    <t>292T</t>
  </si>
  <si>
    <t>Luca Nogay</t>
  </si>
  <si>
    <t>Dániel Kárpáti</t>
  </si>
  <si>
    <t xml:space="preserve">HUN </t>
  </si>
  <si>
    <t>424T</t>
  </si>
  <si>
    <t>444T</t>
  </si>
  <si>
    <t>448T</t>
  </si>
  <si>
    <t>Philipp Kleis</t>
  </si>
  <si>
    <t>436T</t>
  </si>
  <si>
    <t>452T</t>
  </si>
  <si>
    <t>Jasun Burdic</t>
  </si>
  <si>
    <t>458T</t>
  </si>
  <si>
    <t>Mike Prost</t>
  </si>
  <si>
    <t>Cade Loving</t>
  </si>
  <si>
    <t>Hank Bass</t>
  </si>
  <si>
    <t>446T</t>
  </si>
  <si>
    <t>464T</t>
  </si>
  <si>
    <t>Pavel Hanka</t>
  </si>
  <si>
    <t xml:space="preserve">CZE </t>
  </si>
  <si>
    <t>Jiri Sedlácek</t>
  </si>
  <si>
    <t>Jan Skladanowski</t>
  </si>
  <si>
    <t>415T</t>
  </si>
  <si>
    <t>439T</t>
  </si>
  <si>
    <t>470T</t>
  </si>
  <si>
    <t>2018 European Freestyledisc Championships - Women Pairs</t>
  </si>
  <si>
    <t>2018 European Freestyledisc Championships - Mixed Pairs</t>
  </si>
  <si>
    <t>2018 European Freestyledisc Championships - Open Co-Op</t>
  </si>
  <si>
    <t>2018 European Freestyledisc Championships - Open Pairs</t>
  </si>
  <si>
    <t>2018 Amsterjam - Open Pairs</t>
  </si>
  <si>
    <t>German Freestyledisc Championships - Mixed Pairs</t>
  </si>
  <si>
    <t>German Freestyledisc Championships - Open Co-Op</t>
  </si>
  <si>
    <t>German Freestyledisc Championships - Open Pairs</t>
  </si>
  <si>
    <t>Swedish Freestyle Championships - Open Pairs</t>
  </si>
  <si>
    <t>2018 Sunbreak - Follow the Leader</t>
  </si>
  <si>
    <t>2018 Sunbreak - Open Pairs</t>
  </si>
  <si>
    <t>2018 Dolomites Disc Tournament - Open Pairs</t>
  </si>
  <si>
    <t>2018 Munich Mash - Open</t>
  </si>
  <si>
    <t>FICO Frisbee Italian Championship - Open Co-Op</t>
  </si>
  <si>
    <t>FICO Frisbee Italian Championship - Open Pairs</t>
  </si>
  <si>
    <t>2018 US Open - Open</t>
  </si>
  <si>
    <t>2018 Capocotta - Open Pairs</t>
  </si>
  <si>
    <t>2018 The Jammers - Mixed Pairs</t>
  </si>
  <si>
    <t>2018 The Jammers - Open</t>
  </si>
  <si>
    <t>2018 Kova #4 Tournament 2018 (Spring Edition) - Random Open</t>
  </si>
  <si>
    <t>123 Four Seasons Hat Tournament  - Edition Spring 2018 - Random Open Pairs</t>
  </si>
  <si>
    <t>2018 Black to the forest - Open Co-Op</t>
  </si>
  <si>
    <t>2018 Virginia States - Open</t>
  </si>
  <si>
    <t>Israeli Freestyle Frisbee Championship 2018 - Open Pairs</t>
  </si>
  <si>
    <t>2018 Frisbeer - Mixed Pairs</t>
  </si>
  <si>
    <t>2018 Frisbeer - Women Pairs</t>
  </si>
  <si>
    <t>2018 Frisbeer - Open Co-Op</t>
  </si>
  <si>
    <t>2018 Frisbeer - Open Pairs</t>
  </si>
  <si>
    <t>2018 In den Hallen - Open Pairs</t>
  </si>
  <si>
    <t>Kova #3 Tournament 2018 (Winter Edition) - Open Pairs</t>
  </si>
  <si>
    <t>FPAW 2018</t>
  </si>
  <si>
    <t>Trnava, Slowakia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</si>
</sst>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0.0"/>
    <numFmt numFmtId="165" formatCode="?&quot;.&quot;"/>
    <numFmt numFmtId="166" formatCode="h:mm;@"/>
  </numFmts>
  <fonts count="53" x14ac:knownFonts="1">
    <font>
      <sz val="11"/>
      <color theme="1"/>
      <name val="Calibri"/>
      <family val="2"/>
      <scheme val="minor"/>
    </font>
    <font>
      <b/>
      <sz val="18"/>
      <color indexed="8"/>
      <name val="Calibri"/>
      <family val="2"/>
    </font>
    <font>
      <sz val="11"/>
      <color indexed="56"/>
      <name val="Calibri"/>
      <family val="2"/>
    </font>
    <font>
      <sz val="11"/>
      <name val="Calibri"/>
      <family val="2"/>
    </font>
    <font>
      <b/>
      <sz val="18"/>
      <name val="Calibri"/>
      <family val="2"/>
    </font>
    <font>
      <sz val="12"/>
      <name val="Calibri"/>
      <family val="2"/>
    </font>
    <font>
      <sz val="16"/>
      <name val="Calibri"/>
      <family val="2"/>
    </font>
    <font>
      <sz val="10"/>
      <name val="Calibri"/>
      <family val="2"/>
    </font>
    <font>
      <sz val="14"/>
      <name val="Calibri"/>
      <family val="2"/>
    </font>
    <font>
      <b/>
      <sz val="16"/>
      <name val="Calibri"/>
      <family val="2"/>
    </font>
    <font>
      <b/>
      <sz val="14"/>
      <name val="Calibri"/>
      <family val="2"/>
    </font>
    <font>
      <b/>
      <sz val="12"/>
      <name val="Calibri"/>
      <family val="2"/>
    </font>
    <font>
      <b/>
      <sz val="26"/>
      <name val="Calibri"/>
      <family val="2"/>
    </font>
    <font>
      <sz val="11"/>
      <color indexed="8"/>
      <name val="Calibri"/>
      <family val="2"/>
    </font>
    <font>
      <b/>
      <sz val="11"/>
      <color indexed="8"/>
      <name val="Calibri"/>
      <family val="2"/>
    </font>
    <font>
      <u/>
      <sz val="11"/>
      <color indexed="12"/>
      <name val="Calibri"/>
      <family val="2"/>
    </font>
    <font>
      <b/>
      <sz val="11"/>
      <name val="Calibri"/>
      <family val="2"/>
    </font>
    <font>
      <b/>
      <sz val="10"/>
      <name val="Calibri"/>
      <family val="2"/>
    </font>
    <font>
      <sz val="8"/>
      <name val="Calibri"/>
      <family val="2"/>
    </font>
    <font>
      <sz val="8"/>
      <color indexed="81"/>
      <name val="Tahoma"/>
      <family val="2"/>
    </font>
    <font>
      <b/>
      <sz val="8"/>
      <color indexed="81"/>
      <name val="Tahoma"/>
      <family val="2"/>
    </font>
    <font>
      <b/>
      <sz val="16"/>
      <name val="Calibri"/>
      <family val="2"/>
    </font>
    <font>
      <b/>
      <sz val="11"/>
      <color indexed="8"/>
      <name val="Calibri"/>
      <family val="2"/>
    </font>
    <font>
      <i/>
      <sz val="14"/>
      <color indexed="8"/>
      <name val="Calibri"/>
      <family val="2"/>
    </font>
    <font>
      <sz val="12"/>
      <color indexed="8"/>
      <name val="Calibri"/>
      <family val="2"/>
    </font>
    <font>
      <sz val="11"/>
      <color indexed="10"/>
      <name val="Calibri"/>
      <family val="2"/>
    </font>
    <font>
      <b/>
      <sz val="11"/>
      <color indexed="10"/>
      <name val="Calibri"/>
      <family val="2"/>
    </font>
    <font>
      <b/>
      <sz val="14"/>
      <color indexed="8"/>
      <name val="Calibri"/>
      <family val="2"/>
    </font>
    <font>
      <sz val="14"/>
      <color indexed="10"/>
      <name val="Calibri"/>
      <family val="2"/>
    </font>
    <font>
      <sz val="5"/>
      <name val="Arial"/>
      <family val="2"/>
    </font>
    <font>
      <sz val="11"/>
      <color theme="1"/>
      <name val="Calibri"/>
      <family val="2"/>
      <scheme val="minor"/>
    </font>
    <font>
      <b/>
      <sz val="11"/>
      <color theme="1"/>
      <name val="Calibri"/>
      <family val="2"/>
      <scheme val="minor"/>
    </font>
    <font>
      <sz val="7"/>
      <color theme="1"/>
      <name val="Calibri"/>
      <family val="2"/>
      <scheme val="minor"/>
    </font>
    <font>
      <sz val="14"/>
      <color theme="1"/>
      <name val="Calibri"/>
      <family val="2"/>
      <scheme val="minor"/>
    </font>
    <font>
      <b/>
      <sz val="14"/>
      <color theme="1"/>
      <name val="Calibri"/>
      <family val="2"/>
      <scheme val="minor"/>
    </font>
    <font>
      <b/>
      <sz val="18"/>
      <color theme="1"/>
      <name val="Calibri"/>
      <family val="2"/>
    </font>
    <font>
      <b/>
      <sz val="16"/>
      <color theme="1"/>
      <name val="Calibri"/>
      <family val="2"/>
      <scheme val="minor"/>
    </font>
    <font>
      <sz val="8"/>
      <color theme="0" tint="-0.499984740745262"/>
      <name val="Calibri"/>
      <family val="2"/>
    </font>
    <font>
      <sz val="8"/>
      <color theme="1"/>
      <name val="Calibri"/>
      <family val="2"/>
      <scheme val="minor"/>
    </font>
    <font>
      <sz val="8"/>
      <color rgb="FFFF0000"/>
      <name val="Calibri"/>
      <family val="2"/>
      <scheme val="minor"/>
    </font>
    <font>
      <sz val="8"/>
      <name val="Calibri"/>
      <family val="2"/>
      <scheme val="minor"/>
    </font>
    <font>
      <b/>
      <u/>
      <sz val="8"/>
      <color theme="1"/>
      <name val="Calibri"/>
      <family val="2"/>
      <scheme val="minor"/>
    </font>
    <font>
      <b/>
      <sz val="8"/>
      <color theme="1"/>
      <name val="Calibri"/>
      <family val="2"/>
      <scheme val="minor"/>
    </font>
    <font>
      <b/>
      <sz val="8"/>
      <color rgb="FFFF0000"/>
      <name val="Calibri"/>
      <family val="2"/>
      <scheme val="minor"/>
    </font>
    <font>
      <i/>
      <sz val="10"/>
      <color indexed="8"/>
      <name val="Calibri"/>
      <family val="2"/>
    </font>
    <font>
      <b/>
      <i/>
      <sz val="10"/>
      <color rgb="FFFF0000"/>
      <name val="Calibri"/>
      <family val="2"/>
    </font>
    <font>
      <sz val="10"/>
      <color theme="1"/>
      <name val="Calibri"/>
      <family val="2"/>
      <scheme val="minor"/>
    </font>
    <font>
      <b/>
      <sz val="10"/>
      <color indexed="8"/>
      <name val="Calibri"/>
      <family val="2"/>
    </font>
    <font>
      <b/>
      <u/>
      <sz val="14"/>
      <color indexed="12"/>
      <name val="Calibri"/>
      <family val="2"/>
    </font>
    <font>
      <sz val="9"/>
      <color indexed="81"/>
      <name val="Segoe UI"/>
      <family val="2"/>
    </font>
    <font>
      <b/>
      <sz val="9"/>
      <color indexed="81"/>
      <name val="Segoe UI"/>
      <family val="2"/>
    </font>
    <font>
      <b/>
      <sz val="10"/>
      <color theme="1"/>
      <name val="Calibri"/>
      <family val="2"/>
      <scheme val="minor"/>
    </font>
    <font>
      <sz val="10"/>
      <color indexed="8"/>
      <name val="Calibri"/>
      <family val="2"/>
    </font>
  </fonts>
  <fills count="12">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solid">
        <fgColor indexed="42"/>
        <bgColor indexed="64"/>
      </patternFill>
    </fill>
    <fill>
      <patternFill patternType="solid">
        <fgColor indexed="47"/>
        <bgColor indexed="64"/>
      </patternFill>
    </fill>
    <fill>
      <patternFill patternType="solid">
        <fgColor theme="0" tint="-4.9989318521683403E-2"/>
        <bgColor indexed="64"/>
      </patternFill>
    </fill>
    <fill>
      <patternFill patternType="solid">
        <fgColor rgb="FFB1F388"/>
        <bgColor indexed="64"/>
      </patternFill>
    </fill>
    <fill>
      <patternFill patternType="solid">
        <fgColor rgb="FFCCFECC"/>
        <bgColor indexed="64"/>
      </patternFill>
    </fill>
    <fill>
      <patternFill patternType="solid">
        <fgColor rgb="FFF2F2F2"/>
        <bgColor indexed="64"/>
      </patternFill>
    </fill>
    <fill>
      <patternFill patternType="solid">
        <fgColor rgb="FFCCFFCC"/>
        <bgColor indexed="64"/>
      </patternFill>
    </fill>
    <fill>
      <patternFill patternType="solid">
        <fgColor theme="4" tint="0.79998168889431442"/>
        <bgColor indexed="64"/>
      </patternFill>
    </fill>
  </fills>
  <borders count="103">
    <border>
      <left/>
      <right/>
      <top/>
      <bottom/>
      <diagonal/>
    </border>
    <border>
      <left/>
      <right style="medium">
        <color indexed="64"/>
      </right>
      <top/>
      <bottom style="medium">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ck">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dotted">
        <color indexed="64"/>
      </right>
      <top style="medium">
        <color indexed="64"/>
      </top>
      <bottom style="medium">
        <color indexed="64"/>
      </bottom>
      <diagonal/>
    </border>
    <border>
      <left style="thick">
        <color indexed="64"/>
      </left>
      <right style="medium">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style="thick">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hair">
        <color indexed="64"/>
      </top>
      <bottom style="hair">
        <color indexed="64"/>
      </bottom>
      <diagonal/>
    </border>
    <border>
      <left style="medium">
        <color indexed="64"/>
      </left>
      <right style="thin">
        <color indexed="64"/>
      </right>
      <top style="medium">
        <color indexed="64"/>
      </top>
      <bottom/>
      <diagonal/>
    </border>
    <border>
      <left style="thick">
        <color indexed="64"/>
      </left>
      <right style="medium">
        <color indexed="64"/>
      </right>
      <top style="medium">
        <color indexed="64"/>
      </top>
      <bottom/>
      <diagonal/>
    </border>
    <border>
      <left style="thick">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ck">
        <color indexed="64"/>
      </left>
      <right style="thin">
        <color indexed="64"/>
      </right>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diagonal/>
    </border>
    <border>
      <left style="thick">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bottom/>
      <diagonal/>
    </border>
    <border>
      <left style="medium">
        <color indexed="64"/>
      </left>
      <right style="thick">
        <color indexed="64"/>
      </right>
      <top style="medium">
        <color indexed="64"/>
      </top>
      <bottom/>
      <diagonal/>
    </border>
    <border>
      <left/>
      <right style="thin">
        <color indexed="64"/>
      </right>
      <top style="thin">
        <color indexed="64"/>
      </top>
      <bottom/>
      <diagonal/>
    </border>
    <border>
      <left/>
      <right style="thin">
        <color indexed="64"/>
      </right>
      <top/>
      <bottom/>
      <diagonal/>
    </border>
    <border>
      <left style="thick">
        <color indexed="64"/>
      </left>
      <right style="hair">
        <color indexed="64"/>
      </right>
      <top style="medium">
        <color indexed="64"/>
      </top>
      <bottom/>
      <diagonal/>
    </border>
    <border>
      <left style="thick">
        <color indexed="64"/>
      </left>
      <right style="hair">
        <color indexed="64"/>
      </right>
      <top style="medium">
        <color indexed="64"/>
      </top>
      <bottom style="medium">
        <color indexed="64"/>
      </bottom>
      <diagonal/>
    </border>
    <border>
      <left style="medium">
        <color indexed="64"/>
      </left>
      <right style="hair">
        <color indexed="64"/>
      </right>
      <top style="medium">
        <color indexed="64"/>
      </top>
      <bottom/>
      <diagonal/>
    </border>
    <border>
      <left style="medium">
        <color indexed="64"/>
      </left>
      <right style="hair">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thick">
        <color indexed="64"/>
      </right>
      <top/>
      <bottom/>
      <diagonal/>
    </border>
    <border>
      <left style="medium">
        <color indexed="64"/>
      </left>
      <right style="thick">
        <color indexed="64"/>
      </right>
      <top/>
      <bottom style="medium">
        <color indexed="64"/>
      </bottom>
      <diagonal/>
    </border>
    <border>
      <left/>
      <right style="thin">
        <color indexed="64"/>
      </right>
      <top style="hair">
        <color indexed="64"/>
      </top>
      <bottom style="hair">
        <color indexed="64"/>
      </bottom>
      <diagonal/>
    </border>
    <border>
      <left/>
      <right style="thin">
        <color indexed="64"/>
      </right>
      <top/>
      <bottom style="hair">
        <color indexed="64"/>
      </bottom>
      <diagonal/>
    </border>
    <border>
      <left style="thick">
        <color indexed="64"/>
      </left>
      <right/>
      <top style="medium">
        <color indexed="64"/>
      </top>
      <bottom style="medium">
        <color indexed="64"/>
      </bottom>
      <diagonal/>
    </border>
    <border>
      <left style="thick">
        <color indexed="64"/>
      </left>
      <right/>
      <top style="medium">
        <color indexed="64"/>
      </top>
      <bottom/>
      <diagonal/>
    </border>
    <border>
      <left style="thick">
        <color indexed="64"/>
      </left>
      <right style="thick">
        <color indexed="64"/>
      </right>
      <top style="medium">
        <color indexed="64"/>
      </top>
      <bottom style="medium">
        <color indexed="64"/>
      </bottom>
      <diagonal/>
    </border>
    <border>
      <left style="thick">
        <color indexed="64"/>
      </left>
      <right style="thick">
        <color indexed="64"/>
      </right>
      <top style="medium">
        <color indexed="64"/>
      </top>
      <bottom/>
      <diagonal/>
    </border>
    <border>
      <left style="medium">
        <color indexed="64"/>
      </left>
      <right/>
      <top/>
      <bottom/>
      <diagonal/>
    </border>
    <border>
      <left style="thick">
        <color indexed="64"/>
      </left>
      <right style="medium">
        <color indexed="64"/>
      </right>
      <top/>
      <bottom/>
      <diagonal/>
    </border>
    <border>
      <left style="thick">
        <color indexed="64"/>
      </left>
      <right style="hair">
        <color indexed="64"/>
      </right>
      <top/>
      <bottom style="medium">
        <color indexed="64"/>
      </bottom>
      <diagonal/>
    </border>
    <border>
      <left style="medium">
        <color indexed="64"/>
      </left>
      <right style="hair">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thick">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thick">
        <color indexed="64"/>
      </left>
      <right style="medium">
        <color indexed="64"/>
      </right>
      <top style="medium">
        <color indexed="64"/>
      </top>
      <bottom style="thin">
        <color indexed="64"/>
      </bottom>
      <diagonal/>
    </border>
    <border>
      <left/>
      <right/>
      <top style="medium">
        <color indexed="64"/>
      </top>
      <bottom style="medium">
        <color indexed="64"/>
      </bottom>
      <diagonal/>
    </border>
    <border>
      <left style="thick">
        <color indexed="64"/>
      </left>
      <right style="medium">
        <color indexed="64"/>
      </right>
      <top style="medium">
        <color indexed="64"/>
      </top>
      <bottom style="thick">
        <color indexed="64"/>
      </bottom>
      <diagonal/>
    </border>
    <border>
      <left/>
      <right/>
      <top style="medium">
        <color indexed="64"/>
      </top>
      <bottom/>
      <diagonal/>
    </border>
    <border>
      <left style="thin">
        <color indexed="64"/>
      </left>
      <right style="medium">
        <color indexed="64"/>
      </right>
      <top/>
      <bottom style="medium">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diagonal/>
    </border>
    <border>
      <left/>
      <right/>
      <top style="thin">
        <color auto="1"/>
      </top>
      <bottom/>
      <diagonal/>
    </border>
    <border>
      <left style="medium">
        <color auto="1"/>
      </left>
      <right/>
      <top style="thin">
        <color auto="1"/>
      </top>
      <bottom style="medium">
        <color auto="1"/>
      </bottom>
      <diagonal/>
    </border>
    <border>
      <left/>
      <right style="thin">
        <color indexed="64"/>
      </right>
      <top style="medium">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right style="thin">
        <color indexed="64"/>
      </right>
      <top style="medium">
        <color indexed="64"/>
      </top>
      <bottom/>
      <diagonal/>
    </border>
    <border>
      <left style="thin">
        <color indexed="64"/>
      </left>
      <right/>
      <top/>
      <bottom/>
      <diagonal/>
    </border>
    <border>
      <left style="thin">
        <color indexed="64"/>
      </left>
      <right style="thin">
        <color indexed="64"/>
      </right>
      <top style="medium">
        <color indexed="64"/>
      </top>
      <bottom style="hair">
        <color indexed="64"/>
      </bottom>
      <diagonal/>
    </border>
    <border>
      <left style="thin">
        <color indexed="64"/>
      </left>
      <right style="medium">
        <color indexed="64"/>
      </right>
      <top style="medium">
        <color indexed="64"/>
      </top>
      <bottom style="hair">
        <color indexed="64"/>
      </bottom>
      <diagonal/>
    </border>
    <border>
      <left style="medium">
        <color indexed="64"/>
      </left>
      <right style="thin">
        <color indexed="64"/>
      </right>
      <top style="medium">
        <color indexed="64"/>
      </top>
      <bottom style="hair">
        <color indexed="64"/>
      </bottom>
      <diagonal/>
    </border>
    <border>
      <left style="thin">
        <color indexed="64"/>
      </left>
      <right/>
      <top style="medium">
        <color indexed="64"/>
      </top>
      <bottom style="hair">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medium">
        <color indexed="64"/>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style="medium">
        <color indexed="64"/>
      </left>
      <right style="medium">
        <color indexed="64"/>
      </right>
      <top style="thin">
        <color indexed="64"/>
      </top>
      <bottom style="medium">
        <color indexed="64"/>
      </bottom>
      <diagonal/>
    </border>
    <border>
      <left style="thick">
        <color indexed="64"/>
      </left>
      <right style="medium">
        <color indexed="64"/>
      </right>
      <top style="thin">
        <color indexed="64"/>
      </top>
      <bottom style="medium">
        <color indexed="64"/>
      </bottom>
      <diagonal/>
    </border>
    <border>
      <left style="thick">
        <color indexed="64"/>
      </left>
      <right style="thin">
        <color indexed="64"/>
      </right>
      <top style="thin">
        <color indexed="64"/>
      </top>
      <bottom style="medium">
        <color indexed="64"/>
      </bottom>
      <diagonal/>
    </border>
    <border>
      <left style="medium">
        <color indexed="64"/>
      </left>
      <right style="thick">
        <color indexed="64"/>
      </right>
      <top style="hair">
        <color indexed="64"/>
      </top>
      <bottom style="medium">
        <color indexed="64"/>
      </bottom>
      <diagonal/>
    </border>
    <border>
      <left style="medium">
        <color indexed="64"/>
      </left>
      <right style="medium">
        <color indexed="64"/>
      </right>
      <top style="hair">
        <color indexed="64"/>
      </top>
      <bottom style="medium">
        <color indexed="64"/>
      </bottom>
      <diagonal/>
    </border>
    <border>
      <left/>
      <right style="thick">
        <color indexed="64"/>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style="medium">
        <color indexed="64"/>
      </right>
      <top style="thin">
        <color indexed="64"/>
      </top>
      <bottom/>
      <diagonal/>
    </border>
  </borders>
  <cellStyleXfs count="3">
    <xf numFmtId="0" fontId="0" fillId="0" borderId="0"/>
    <xf numFmtId="43" fontId="13" fillId="0" borderId="0" applyFont="0" applyFill="0" applyBorder="0" applyAlignment="0" applyProtection="0"/>
    <xf numFmtId="0" fontId="15" fillId="0" borderId="0" applyNumberFormat="0" applyFill="0" applyBorder="0" applyAlignment="0" applyProtection="0">
      <alignment vertical="top"/>
      <protection locked="0"/>
    </xf>
  </cellStyleXfs>
  <cellXfs count="462">
    <xf numFmtId="0" fontId="0" fillId="0" borderId="0" xfId="0"/>
    <xf numFmtId="0" fontId="0" fillId="0" borderId="0" xfId="0" applyAlignment="1">
      <alignment textRotation="60"/>
    </xf>
    <xf numFmtId="0" fontId="0" fillId="0" borderId="0" xfId="0" applyAlignment="1">
      <alignment textRotation="75"/>
    </xf>
    <xf numFmtId="0" fontId="0" fillId="0" borderId="0" xfId="0" applyAlignment="1"/>
    <xf numFmtId="0" fontId="1" fillId="0" borderId="0" xfId="0" applyFont="1" applyAlignment="1">
      <alignment horizontal="left"/>
    </xf>
    <xf numFmtId="0" fontId="2" fillId="0" borderId="0" xfId="0" applyFont="1" applyBorder="1"/>
    <xf numFmtId="0" fontId="2" fillId="0" borderId="0" xfId="0" applyFont="1" applyBorder="1" applyAlignment="1">
      <alignment textRotation="60"/>
    </xf>
    <xf numFmtId="0" fontId="2" fillId="0" borderId="0" xfId="0" applyFont="1" applyBorder="1" applyAlignment="1">
      <alignment textRotation="75"/>
    </xf>
    <xf numFmtId="0" fontId="3" fillId="0" borderId="0" xfId="0" applyFont="1" applyBorder="1" applyAlignment="1">
      <alignment textRotation="60"/>
    </xf>
    <xf numFmtId="0" fontId="4" fillId="0" borderId="0" xfId="0" applyFont="1" applyBorder="1" applyAlignment="1">
      <alignment horizontal="left"/>
    </xf>
    <xf numFmtId="0" fontId="3" fillId="0" borderId="0" xfId="0" applyFont="1" applyAlignment="1">
      <alignment textRotation="60"/>
    </xf>
    <xf numFmtId="0" fontId="3" fillId="0" borderId="0" xfId="0" applyFont="1" applyBorder="1" applyAlignment="1">
      <alignment textRotation="75"/>
    </xf>
    <xf numFmtId="0" fontId="4" fillId="0" borderId="0" xfId="0" applyFont="1" applyBorder="1"/>
    <xf numFmtId="0" fontId="3" fillId="0" borderId="0" xfId="0" applyFont="1" applyBorder="1"/>
    <xf numFmtId="0" fontId="5" fillId="0" borderId="1" xfId="0" applyFont="1" applyBorder="1" applyAlignment="1">
      <alignment horizontal="center" textRotation="45" wrapText="1"/>
    </xf>
    <xf numFmtId="0" fontId="5" fillId="0" borderId="2" xfId="0" applyFont="1" applyBorder="1" applyAlignment="1">
      <alignment wrapText="1"/>
    </xf>
    <xf numFmtId="0" fontId="5" fillId="0" borderId="3" xfId="0" applyFont="1" applyBorder="1" applyAlignment="1">
      <alignment wrapText="1"/>
    </xf>
    <xf numFmtId="0" fontId="3" fillId="0" borderId="3" xfId="0" applyFont="1" applyBorder="1" applyAlignment="1"/>
    <xf numFmtId="0" fontId="5" fillId="0" borderId="4" xfId="0" applyFont="1" applyBorder="1" applyAlignment="1">
      <alignment horizontal="center" wrapText="1"/>
    </xf>
    <xf numFmtId="0" fontId="6" fillId="0" borderId="5" xfId="0" applyFont="1" applyBorder="1" applyAlignment="1">
      <alignment horizontal="center"/>
    </xf>
    <xf numFmtId="0" fontId="6" fillId="0" borderId="4" xfId="0" applyFont="1" applyBorder="1" applyAlignment="1">
      <alignment horizontal="center"/>
    </xf>
    <xf numFmtId="49" fontId="7" fillId="0" borderId="4" xfId="0" applyNumberFormat="1" applyFont="1" applyBorder="1" applyAlignment="1">
      <alignment horizontal="center"/>
    </xf>
    <xf numFmtId="0" fontId="3" fillId="0" borderId="0" xfId="0" applyFont="1"/>
    <xf numFmtId="0" fontId="3" fillId="0" borderId="4" xfId="0" applyFont="1" applyBorder="1" applyAlignment="1">
      <alignment horizontal="center"/>
    </xf>
    <xf numFmtId="0" fontId="3" fillId="0" borderId="5" xfId="0" applyFont="1" applyBorder="1" applyAlignment="1">
      <alignment horizontal="center"/>
    </xf>
    <xf numFmtId="49" fontId="7" fillId="0" borderId="8" xfId="0" applyNumberFormat="1" applyFont="1" applyBorder="1" applyAlignment="1">
      <alignment horizontal="center"/>
    </xf>
    <xf numFmtId="0" fontId="5" fillId="0" borderId="9" xfId="0" applyFont="1" applyBorder="1" applyAlignment="1">
      <alignment horizontal="center"/>
    </xf>
    <xf numFmtId="0" fontId="3" fillId="0" borderId="0" xfId="0" applyFont="1" applyBorder="1" applyAlignment="1"/>
    <xf numFmtId="0" fontId="10" fillId="0" borderId="0" xfId="0" applyFont="1" applyBorder="1"/>
    <xf numFmtId="0" fontId="3" fillId="0" borderId="0" xfId="0" applyFont="1" applyAlignment="1">
      <alignment textRotation="75"/>
    </xf>
    <xf numFmtId="0" fontId="4" fillId="0" borderId="0" xfId="0" applyFont="1" applyAlignment="1">
      <alignment horizontal="left"/>
    </xf>
    <xf numFmtId="20" fontId="3" fillId="0" borderId="0" xfId="0" applyNumberFormat="1" applyFont="1" applyBorder="1"/>
    <xf numFmtId="0" fontId="12" fillId="0" borderId="0" xfId="0" applyFont="1" applyBorder="1" applyAlignment="1">
      <alignment horizontal="left"/>
    </xf>
    <xf numFmtId="0" fontId="3" fillId="0" borderId="10" xfId="0" applyFont="1" applyBorder="1"/>
    <xf numFmtId="0" fontId="3" fillId="0" borderId="11" xfId="0" applyFont="1" applyBorder="1"/>
    <xf numFmtId="0" fontId="3" fillId="0" borderId="12" xfId="0" applyFont="1" applyBorder="1" applyAlignment="1">
      <alignment horizontal="center"/>
    </xf>
    <xf numFmtId="0" fontId="3" fillId="0" borderId="2" xfId="0" applyFont="1" applyBorder="1" applyAlignment="1">
      <alignment horizontal="center"/>
    </xf>
    <xf numFmtId="0" fontId="5" fillId="0" borderId="13" xfId="0" applyFont="1" applyBorder="1" applyAlignment="1">
      <alignment horizontal="center"/>
    </xf>
    <xf numFmtId="0" fontId="5" fillId="0" borderId="0" xfId="0" applyFont="1"/>
    <xf numFmtId="0" fontId="5" fillId="0" borderId="0" xfId="0" applyFont="1" applyAlignment="1">
      <alignment vertical="center"/>
    </xf>
    <xf numFmtId="49" fontId="7" fillId="0" borderId="4" xfId="0" applyNumberFormat="1" applyFont="1" applyBorder="1" applyAlignment="1">
      <alignment horizontal="center" vertical="center" wrapText="1"/>
    </xf>
    <xf numFmtId="0" fontId="5" fillId="0" borderId="4" xfId="0" applyFont="1" applyBorder="1" applyAlignment="1">
      <alignment horizontal="center" vertical="center" wrapText="1"/>
    </xf>
    <xf numFmtId="0" fontId="5" fillId="0" borderId="5" xfId="0" applyFont="1" applyBorder="1" applyAlignment="1">
      <alignment horizontal="center" vertical="center" wrapText="1"/>
    </xf>
    <xf numFmtId="0" fontId="10" fillId="0" borderId="0" xfId="0" applyFont="1" applyBorder="1" applyAlignment="1"/>
    <xf numFmtId="0" fontId="11" fillId="0" borderId="14" xfId="0" applyFont="1" applyBorder="1"/>
    <xf numFmtId="0" fontId="11" fillId="0" borderId="15" xfId="0" applyFont="1" applyBorder="1" applyAlignment="1"/>
    <xf numFmtId="0" fontId="11" fillId="0" borderId="10" xfId="0" applyFont="1" applyBorder="1" applyAlignment="1">
      <alignment horizontal="right"/>
    </xf>
    <xf numFmtId="0" fontId="6" fillId="0" borderId="16" xfId="0" applyFont="1" applyBorder="1" applyAlignment="1">
      <alignment horizontal="center" vertical="center" wrapText="1"/>
    </xf>
    <xf numFmtId="49" fontId="3" fillId="0" borderId="0" xfId="0" applyNumberFormat="1" applyFont="1" applyBorder="1"/>
    <xf numFmtId="49" fontId="0" fillId="0" borderId="0" xfId="0" applyNumberFormat="1"/>
    <xf numFmtId="49" fontId="5" fillId="0" borderId="17" xfId="0" applyNumberFormat="1" applyFont="1" applyBorder="1" applyAlignment="1">
      <alignment vertical="center" wrapText="1"/>
    </xf>
    <xf numFmtId="164" fontId="8" fillId="0" borderId="19" xfId="0" applyNumberFormat="1" applyFont="1" applyBorder="1" applyAlignment="1">
      <alignment horizontal="center" vertical="center"/>
    </xf>
    <xf numFmtId="0" fontId="16" fillId="0" borderId="0" xfId="0" applyFont="1"/>
    <xf numFmtId="0" fontId="3" fillId="3" borderId="4" xfId="0" applyNumberFormat="1" applyFont="1" applyFill="1" applyBorder="1" applyAlignment="1">
      <alignment horizontal="center"/>
    </xf>
    <xf numFmtId="0" fontId="3" fillId="3" borderId="5" xfId="0" applyNumberFormat="1" applyFont="1" applyFill="1" applyBorder="1" applyAlignment="1">
      <alignment horizontal="center"/>
    </xf>
    <xf numFmtId="0" fontId="3" fillId="5" borderId="9" xfId="0" applyNumberFormat="1" applyFont="1" applyFill="1" applyBorder="1" applyAlignment="1">
      <alignment horizontal="center"/>
    </xf>
    <xf numFmtId="0" fontId="3" fillId="5" borderId="5" xfId="0" applyNumberFormat="1" applyFont="1" applyFill="1" applyBorder="1" applyAlignment="1">
      <alignment horizontal="center"/>
    </xf>
    <xf numFmtId="0" fontId="11" fillId="0" borderId="20" xfId="0" applyFont="1" applyFill="1" applyBorder="1" applyAlignment="1">
      <alignment horizontal="center" textRotation="60" wrapText="1"/>
    </xf>
    <xf numFmtId="0" fontId="11" fillId="0" borderId="23" xfId="0" applyFont="1" applyFill="1" applyBorder="1" applyAlignment="1">
      <alignment horizontal="center" textRotation="60" wrapText="1"/>
    </xf>
    <xf numFmtId="0" fontId="11" fillId="0" borderId="24" xfId="0" applyFont="1" applyFill="1" applyBorder="1" applyAlignment="1">
      <alignment horizontal="center" textRotation="60" wrapText="1"/>
    </xf>
    <xf numFmtId="0" fontId="16" fillId="3" borderId="4" xfId="0" applyNumberFormat="1" applyFont="1" applyFill="1" applyBorder="1" applyAlignment="1">
      <alignment horizontal="center"/>
    </xf>
    <xf numFmtId="0" fontId="16" fillId="3" borderId="5" xfId="0" applyNumberFormat="1" applyFont="1" applyFill="1" applyBorder="1" applyAlignment="1">
      <alignment horizontal="center"/>
    </xf>
    <xf numFmtId="0" fontId="16" fillId="4" borderId="9" xfId="0" applyNumberFormat="1" applyFont="1" applyFill="1" applyBorder="1" applyAlignment="1">
      <alignment horizontal="center"/>
    </xf>
    <xf numFmtId="0" fontId="16" fillId="4" borderId="5" xfId="0" applyNumberFormat="1" applyFont="1" applyFill="1" applyBorder="1" applyAlignment="1">
      <alignment horizontal="center"/>
    </xf>
    <xf numFmtId="0" fontId="16" fillId="5" borderId="9" xfId="0" applyNumberFormat="1" applyFont="1" applyFill="1" applyBorder="1" applyAlignment="1">
      <alignment horizontal="center"/>
    </xf>
    <xf numFmtId="0" fontId="16" fillId="5" borderId="5" xfId="0" applyNumberFormat="1" applyFont="1" applyFill="1" applyBorder="1" applyAlignment="1">
      <alignment horizontal="center"/>
    </xf>
    <xf numFmtId="0" fontId="16" fillId="0" borderId="0" xfId="0" applyFont="1" applyFill="1" applyBorder="1"/>
    <xf numFmtId="49" fontId="16" fillId="0" borderId="4" xfId="0" applyNumberFormat="1" applyFont="1" applyFill="1" applyBorder="1" applyAlignment="1">
      <alignment horizontal="center"/>
    </xf>
    <xf numFmtId="0" fontId="6" fillId="0" borderId="7" xfId="0" applyNumberFormat="1" applyFont="1" applyBorder="1" applyAlignment="1">
      <alignment horizontal="center"/>
    </xf>
    <xf numFmtId="0" fontId="8" fillId="0" borderId="4" xfId="0" applyNumberFormat="1" applyFont="1" applyBorder="1" applyAlignment="1">
      <alignment horizontal="center" wrapText="1"/>
    </xf>
    <xf numFmtId="49" fontId="17" fillId="0" borderId="21" xfId="0" applyNumberFormat="1" applyFont="1" applyFill="1" applyBorder="1" applyAlignment="1">
      <alignment horizontal="left" textRotation="60" wrapText="1"/>
    </xf>
    <xf numFmtId="0" fontId="17" fillId="0" borderId="21" xfId="0" applyNumberFormat="1" applyFont="1" applyFill="1" applyBorder="1" applyAlignment="1">
      <alignment horizontal="left" textRotation="60" wrapText="1"/>
    </xf>
    <xf numFmtId="0" fontId="3" fillId="5" borderId="6" xfId="0" applyNumberFormat="1" applyFont="1" applyFill="1" applyBorder="1" applyAlignment="1">
      <alignment horizontal="center"/>
    </xf>
    <xf numFmtId="0" fontId="11" fillId="3" borderId="20" xfId="0" applyFont="1" applyFill="1" applyBorder="1" applyAlignment="1">
      <alignment horizontal="center" textRotation="60" wrapText="1"/>
    </xf>
    <xf numFmtId="0" fontId="11" fillId="4" borderId="23" xfId="0" applyFont="1" applyFill="1" applyBorder="1" applyAlignment="1">
      <alignment horizontal="center" textRotation="60" wrapText="1"/>
    </xf>
    <xf numFmtId="0" fontId="11" fillId="5" borderId="24" xfId="0" applyFont="1" applyFill="1" applyBorder="1" applyAlignment="1">
      <alignment horizontal="center" textRotation="60" wrapText="1"/>
    </xf>
    <xf numFmtId="0" fontId="0" fillId="5" borderId="0" xfId="0" applyNumberFormat="1" applyFill="1"/>
    <xf numFmtId="0" fontId="0" fillId="3" borderId="25" xfId="0" applyNumberFormat="1" applyFill="1" applyBorder="1"/>
    <xf numFmtId="0" fontId="0" fillId="4" borderId="14" xfId="0" applyNumberFormat="1" applyFill="1" applyBorder="1"/>
    <xf numFmtId="0" fontId="3" fillId="0" borderId="27" xfId="0" applyFont="1" applyBorder="1" applyAlignment="1" applyProtection="1">
      <protection locked="0"/>
    </xf>
    <xf numFmtId="0" fontId="3" fillId="0" borderId="28" xfId="0" applyFont="1" applyBorder="1" applyProtection="1">
      <protection locked="0"/>
    </xf>
    <xf numFmtId="164" fontId="4" fillId="2" borderId="16" xfId="0" applyNumberFormat="1" applyFont="1" applyFill="1" applyBorder="1" applyAlignment="1">
      <alignment horizontal="center" vertical="center"/>
    </xf>
    <xf numFmtId="164" fontId="6" fillId="2" borderId="24" xfId="0" applyNumberFormat="1" applyFont="1" applyFill="1" applyBorder="1" applyAlignment="1">
      <alignment horizontal="center" vertical="center"/>
    </xf>
    <xf numFmtId="0" fontId="4" fillId="2" borderId="29" xfId="0" applyNumberFormat="1" applyFont="1" applyFill="1" applyBorder="1" applyAlignment="1">
      <alignment horizontal="center" vertical="center"/>
    </xf>
    <xf numFmtId="164" fontId="6" fillId="2" borderId="20" xfId="0" applyNumberFormat="1" applyFont="1" applyFill="1" applyBorder="1" applyAlignment="1">
      <alignment horizontal="center" vertical="center"/>
    </xf>
    <xf numFmtId="164" fontId="6" fillId="2" borderId="23" xfId="0" applyNumberFormat="1" applyFont="1" applyFill="1" applyBorder="1" applyAlignment="1">
      <alignment horizontal="center" vertical="center"/>
    </xf>
    <xf numFmtId="0" fontId="6" fillId="2" borderId="16" xfId="0" applyFont="1" applyFill="1" applyBorder="1" applyAlignment="1">
      <alignment horizontal="center" vertical="center" wrapText="1"/>
    </xf>
    <xf numFmtId="0" fontId="6" fillId="0" borderId="19" xfId="0" applyFont="1" applyBorder="1" applyAlignment="1">
      <alignment horizontal="center" vertical="center" wrapText="1"/>
    </xf>
    <xf numFmtId="164" fontId="9" fillId="0" borderId="29" xfId="0" applyNumberFormat="1" applyFont="1" applyBorder="1" applyAlignment="1">
      <alignment horizontal="center" vertical="center"/>
    </xf>
    <xf numFmtId="164" fontId="6" fillId="0" borderId="19" xfId="0" applyNumberFormat="1" applyFont="1" applyBorder="1" applyAlignment="1">
      <alignment horizontal="center" vertical="center"/>
    </xf>
    <xf numFmtId="1" fontId="6" fillId="0" borderId="16" xfId="0" applyNumberFormat="1" applyFont="1" applyBorder="1" applyAlignment="1">
      <alignment horizontal="center" vertical="center"/>
    </xf>
    <xf numFmtId="1" fontId="6" fillId="0" borderId="16" xfId="0" applyNumberFormat="1" applyFont="1" applyBorder="1" applyAlignment="1" applyProtection="1">
      <alignment horizontal="center" vertical="center"/>
      <protection locked="0"/>
    </xf>
    <xf numFmtId="1" fontId="6" fillId="0" borderId="30" xfId="0" applyNumberFormat="1" applyFont="1" applyBorder="1" applyAlignment="1" applyProtection="1">
      <alignment horizontal="center" vertical="center"/>
      <protection locked="0"/>
    </xf>
    <xf numFmtId="164" fontId="6" fillId="0" borderId="16" xfId="0" applyNumberFormat="1" applyFont="1" applyBorder="1" applyAlignment="1" applyProtection="1">
      <alignment horizontal="center" vertical="center"/>
      <protection locked="0"/>
    </xf>
    <xf numFmtId="0" fontId="3" fillId="0" borderId="0" xfId="0" applyFont="1" applyBorder="1" applyProtection="1">
      <protection locked="0"/>
    </xf>
    <xf numFmtId="1" fontId="3" fillId="0" borderId="16" xfId="0" applyNumberFormat="1" applyFont="1" applyBorder="1" applyAlignment="1" applyProtection="1">
      <alignment vertical="center" wrapText="1"/>
      <protection locked="0"/>
    </xf>
    <xf numFmtId="0" fontId="2" fillId="0" borderId="0" xfId="0" applyFont="1" applyBorder="1" applyAlignment="1"/>
    <xf numFmtId="0" fontId="6" fillId="0" borderId="4" xfId="0" applyFont="1" applyBorder="1" applyAlignment="1">
      <alignment horizontal="center" vertical="center" wrapText="1"/>
    </xf>
    <xf numFmtId="164" fontId="6" fillId="2" borderId="31" xfId="0" applyNumberFormat="1" applyFont="1" applyFill="1" applyBorder="1" applyAlignment="1">
      <alignment horizontal="center" vertical="center"/>
    </xf>
    <xf numFmtId="164" fontId="6" fillId="2" borderId="32" xfId="0" applyNumberFormat="1" applyFont="1" applyFill="1" applyBorder="1" applyAlignment="1">
      <alignment horizontal="center" vertical="center"/>
    </xf>
    <xf numFmtId="164" fontId="6" fillId="2" borderId="33" xfId="0" applyNumberFormat="1" applyFont="1" applyFill="1" applyBorder="1" applyAlignment="1">
      <alignment horizontal="center" vertical="center"/>
    </xf>
    <xf numFmtId="164" fontId="4" fillId="2" borderId="4" xfId="0" applyNumberFormat="1" applyFont="1" applyFill="1" applyBorder="1" applyAlignment="1">
      <alignment horizontal="center" vertical="center"/>
    </xf>
    <xf numFmtId="0" fontId="4" fillId="2" borderId="7" xfId="0" applyNumberFormat="1" applyFont="1" applyFill="1" applyBorder="1" applyAlignment="1">
      <alignment horizontal="center" vertical="center"/>
    </xf>
    <xf numFmtId="164" fontId="6" fillId="0" borderId="4" xfId="0" applyNumberFormat="1" applyFont="1" applyBorder="1" applyAlignment="1" applyProtection="1">
      <alignment horizontal="center" vertical="center"/>
      <protection locked="0"/>
    </xf>
    <xf numFmtId="164" fontId="6" fillId="0" borderId="8" xfId="0" applyNumberFormat="1" applyFont="1" applyBorder="1" applyAlignment="1" applyProtection="1">
      <alignment horizontal="center" vertical="center"/>
      <protection locked="0"/>
    </xf>
    <xf numFmtId="164" fontId="9" fillId="0" borderId="7" xfId="0" applyNumberFormat="1" applyFont="1" applyBorder="1" applyAlignment="1">
      <alignment horizontal="center" vertical="center"/>
    </xf>
    <xf numFmtId="0" fontId="6" fillId="0" borderId="9" xfId="0" applyFont="1" applyBorder="1" applyAlignment="1">
      <alignment horizontal="center" vertical="center" wrapText="1"/>
    </xf>
    <xf numFmtId="1" fontId="6" fillId="0" borderId="4" xfId="0" applyNumberFormat="1" applyFont="1" applyBorder="1" applyAlignment="1" applyProtection="1">
      <alignment horizontal="center" vertical="center"/>
      <protection locked="0"/>
    </xf>
    <xf numFmtId="1" fontId="6" fillId="0" borderId="5" xfId="0" applyNumberFormat="1" applyFont="1" applyBorder="1" applyAlignment="1" applyProtection="1">
      <alignment horizontal="center" vertical="center"/>
      <protection locked="0"/>
    </xf>
    <xf numFmtId="164" fontId="6" fillId="0" borderId="9" xfId="0" applyNumberFormat="1" applyFont="1" applyBorder="1" applyAlignment="1">
      <alignment horizontal="center" vertical="center"/>
    </xf>
    <xf numFmtId="1" fontId="6" fillId="0" borderId="4" xfId="0" applyNumberFormat="1" applyFont="1" applyBorder="1" applyAlignment="1">
      <alignment horizontal="center" vertical="center"/>
    </xf>
    <xf numFmtId="1" fontId="3" fillId="0" borderId="16" xfId="0" applyNumberFormat="1" applyFont="1" applyBorder="1" applyAlignment="1" applyProtection="1">
      <alignment vertical="center" wrapText="1"/>
    </xf>
    <xf numFmtId="1" fontId="3" fillId="0" borderId="4" xfId="0" applyNumberFormat="1" applyFont="1" applyBorder="1" applyAlignment="1" applyProtection="1">
      <alignment vertical="center" wrapText="1"/>
    </xf>
    <xf numFmtId="0" fontId="7" fillId="0" borderId="4" xfId="0" applyFont="1" applyBorder="1" applyAlignment="1">
      <alignment horizontal="center"/>
    </xf>
    <xf numFmtId="49" fontId="16" fillId="0" borderId="7" xfId="0" applyNumberFormat="1" applyFont="1" applyFill="1" applyBorder="1" applyAlignment="1">
      <alignment horizontal="center"/>
    </xf>
    <xf numFmtId="0" fontId="0" fillId="0" borderId="28" xfId="0" applyBorder="1"/>
    <xf numFmtId="0" fontId="22" fillId="0" borderId="0" xfId="0" applyFont="1"/>
    <xf numFmtId="0" fontId="23" fillId="0" borderId="0" xfId="0" applyFont="1"/>
    <xf numFmtId="0" fontId="0" fillId="0" borderId="0" xfId="0" applyBorder="1"/>
    <xf numFmtId="14" fontId="3" fillId="0" borderId="0" xfId="0" applyNumberFormat="1" applyFont="1" applyAlignment="1">
      <alignment horizontal="left"/>
    </xf>
    <xf numFmtId="165" fontId="0" fillId="0" borderId="0" xfId="0" applyNumberFormat="1"/>
    <xf numFmtId="17" fontId="0" fillId="0" borderId="0" xfId="0" applyNumberFormat="1"/>
    <xf numFmtId="16" fontId="0" fillId="0" borderId="0" xfId="0" applyNumberFormat="1"/>
    <xf numFmtId="2" fontId="0" fillId="0" borderId="0" xfId="0" applyNumberFormat="1"/>
    <xf numFmtId="0" fontId="12" fillId="0" borderId="0" xfId="0" applyNumberFormat="1" applyFont="1" applyBorder="1" applyAlignment="1" applyProtection="1">
      <alignment horizontal="left"/>
      <protection locked="0"/>
    </xf>
    <xf numFmtId="49" fontId="3" fillId="0" borderId="0" xfId="0" applyNumberFormat="1" applyFont="1" applyBorder="1" applyAlignment="1">
      <alignment vertical="top"/>
    </xf>
    <xf numFmtId="0" fontId="24" fillId="0" borderId="0" xfId="0" applyFont="1"/>
    <xf numFmtId="0" fontId="24" fillId="0" borderId="0" xfId="0" applyFont="1" applyProtection="1">
      <protection locked="0"/>
    </xf>
    <xf numFmtId="0" fontId="0" fillId="0" borderId="0" xfId="0" applyProtection="1">
      <protection locked="0"/>
    </xf>
    <xf numFmtId="0" fontId="0" fillId="0" borderId="0" xfId="0" applyAlignment="1">
      <alignment horizontal="right"/>
    </xf>
    <xf numFmtId="164" fontId="8" fillId="0" borderId="16" xfId="0" applyNumberFormat="1" applyFont="1" applyFill="1" applyBorder="1" applyAlignment="1" applyProtection="1">
      <alignment horizontal="center" vertical="center"/>
    </xf>
    <xf numFmtId="164" fontId="8" fillId="2" borderId="16" xfId="0" applyNumberFormat="1" applyFont="1" applyFill="1" applyBorder="1" applyAlignment="1" applyProtection="1">
      <alignment horizontal="center" vertical="center"/>
    </xf>
    <xf numFmtId="164" fontId="8" fillId="2" borderId="35" xfId="0" applyNumberFormat="1" applyFont="1" applyFill="1" applyBorder="1" applyAlignment="1" applyProtection="1">
      <alignment horizontal="center" vertical="center"/>
    </xf>
    <xf numFmtId="164" fontId="8" fillId="2" borderId="19" xfId="0" applyNumberFormat="1" applyFont="1" applyFill="1" applyBorder="1" applyAlignment="1" applyProtection="1">
      <alignment horizontal="center" vertical="center"/>
    </xf>
    <xf numFmtId="164" fontId="8" fillId="0" borderId="4" xfId="0" applyNumberFormat="1" applyFont="1" applyFill="1" applyBorder="1" applyAlignment="1" applyProtection="1">
      <alignment horizontal="center" vertical="center"/>
    </xf>
    <xf numFmtId="164" fontId="8" fillId="2" borderId="4" xfId="0" applyNumberFormat="1" applyFont="1" applyFill="1" applyBorder="1" applyAlignment="1" applyProtection="1">
      <alignment horizontal="center" vertical="center"/>
    </xf>
    <xf numFmtId="164" fontId="8" fillId="2" borderId="6" xfId="0" applyNumberFormat="1" applyFont="1" applyFill="1" applyBorder="1" applyAlignment="1" applyProtection="1">
      <alignment horizontal="center" vertical="center"/>
    </xf>
    <xf numFmtId="164" fontId="8" fillId="2" borderId="9" xfId="0" applyNumberFormat="1" applyFont="1" applyFill="1" applyBorder="1" applyAlignment="1" applyProtection="1">
      <alignment horizontal="center" vertical="center"/>
    </xf>
    <xf numFmtId="0" fontId="14" fillId="0" borderId="0" xfId="0" applyFont="1"/>
    <xf numFmtId="0" fontId="15" fillId="0" borderId="0" xfId="2" applyAlignment="1" applyProtection="1"/>
    <xf numFmtId="2" fontId="3" fillId="0" borderId="0" xfId="0" applyNumberFormat="1" applyFont="1" applyBorder="1"/>
    <xf numFmtId="49" fontId="30" fillId="0" borderId="0" xfId="1" applyNumberFormat="1" applyFont="1"/>
    <xf numFmtId="0" fontId="5" fillId="0" borderId="5" xfId="0" applyFont="1" applyBorder="1" applyAlignment="1">
      <alignment horizontal="center" wrapText="1"/>
    </xf>
    <xf numFmtId="49" fontId="18" fillId="0" borderId="4" xfId="0" applyNumberFormat="1" applyFont="1" applyBorder="1" applyAlignment="1">
      <alignment horizontal="center" vertical="center" wrapText="1"/>
    </xf>
    <xf numFmtId="0" fontId="14" fillId="0" borderId="0" xfId="0" applyFont="1" applyAlignment="1">
      <alignment horizontal="left"/>
    </xf>
    <xf numFmtId="0" fontId="0" fillId="0" borderId="0" xfId="0" applyFill="1"/>
    <xf numFmtId="0" fontId="26" fillId="0" borderId="0" xfId="0" applyFont="1" applyAlignment="1">
      <alignment vertical="top"/>
    </xf>
    <xf numFmtId="0" fontId="14" fillId="0" borderId="0" xfId="0" applyFont="1" applyAlignment="1">
      <alignment horizontal="left" wrapText="1"/>
    </xf>
    <xf numFmtId="0" fontId="25" fillId="0" borderId="0" xfId="0" applyFont="1" applyBorder="1"/>
    <xf numFmtId="0" fontId="0" fillId="0" borderId="4" xfId="0" applyBorder="1"/>
    <xf numFmtId="0" fontId="0" fillId="0" borderId="0" xfId="0" applyAlignment="1">
      <alignment vertical="top"/>
    </xf>
    <xf numFmtId="0" fontId="32" fillId="0" borderId="0" xfId="0" applyFont="1" applyAlignment="1">
      <alignment wrapText="1"/>
    </xf>
    <xf numFmtId="49" fontId="17" fillId="0" borderId="5" xfId="0" applyNumberFormat="1" applyFont="1" applyFill="1" applyBorder="1" applyAlignment="1">
      <alignment horizontal="left" textRotation="60" wrapText="1"/>
    </xf>
    <xf numFmtId="49" fontId="17" fillId="0" borderId="7" xfId="0" applyNumberFormat="1" applyFont="1" applyFill="1" applyBorder="1" applyAlignment="1">
      <alignment horizontal="left" textRotation="60" wrapText="1"/>
    </xf>
    <xf numFmtId="0" fontId="11" fillId="0" borderId="36" xfId="0" applyFont="1" applyBorder="1" applyAlignment="1">
      <alignment vertical="top"/>
    </xf>
    <xf numFmtId="0" fontId="11" fillId="0" borderId="37" xfId="0" applyFont="1" applyBorder="1" applyAlignment="1">
      <alignment vertical="top"/>
    </xf>
    <xf numFmtId="0" fontId="11" fillId="0" borderId="10" xfId="0" applyFont="1" applyBorder="1" applyAlignment="1">
      <alignment vertical="top"/>
    </xf>
    <xf numFmtId="0" fontId="6" fillId="0" borderId="13" xfId="0" applyFont="1" applyBorder="1" applyAlignment="1">
      <alignment horizontal="center" vertical="center" wrapText="1"/>
    </xf>
    <xf numFmtId="0" fontId="6" fillId="0" borderId="12" xfId="0" applyFont="1" applyBorder="1" applyAlignment="1">
      <alignment horizontal="center" vertical="center" wrapText="1"/>
    </xf>
    <xf numFmtId="1" fontId="3" fillId="0" borderId="12" xfId="0" applyNumberFormat="1" applyFont="1" applyBorder="1" applyAlignment="1" applyProtection="1">
      <alignment vertical="center" wrapText="1"/>
    </xf>
    <xf numFmtId="164" fontId="8" fillId="2" borderId="38" xfId="0" applyNumberFormat="1" applyFont="1" applyFill="1" applyBorder="1" applyAlignment="1" applyProtection="1">
      <alignment horizontal="center" vertical="center"/>
    </xf>
    <xf numFmtId="164" fontId="8" fillId="2" borderId="39" xfId="0" applyNumberFormat="1" applyFont="1" applyFill="1" applyBorder="1" applyAlignment="1" applyProtection="1">
      <alignment horizontal="center" vertical="center"/>
    </xf>
    <xf numFmtId="164" fontId="8" fillId="2" borderId="40" xfId="0" applyNumberFormat="1" applyFont="1" applyFill="1" applyBorder="1" applyAlignment="1" applyProtection="1">
      <alignment horizontal="center" vertical="center"/>
    </xf>
    <xf numFmtId="164" fontId="8" fillId="2" borderId="41" xfId="0" applyNumberFormat="1" applyFont="1" applyFill="1" applyBorder="1" applyAlignment="1" applyProtection="1">
      <alignment horizontal="center" vertical="center"/>
    </xf>
    <xf numFmtId="0" fontId="6" fillId="0" borderId="42" xfId="0" applyFont="1" applyBorder="1" applyAlignment="1" applyProtection="1">
      <alignment horizontal="center" vertical="center"/>
      <protection locked="0"/>
    </xf>
    <xf numFmtId="0" fontId="6" fillId="0" borderId="34" xfId="0" applyFont="1" applyBorder="1" applyAlignment="1" applyProtection="1">
      <alignment horizontal="center" vertical="center"/>
      <protection locked="0"/>
    </xf>
    <xf numFmtId="0" fontId="6" fillId="0" borderId="43" xfId="0" applyFont="1" applyBorder="1" applyAlignment="1" applyProtection="1">
      <alignment horizontal="center" vertical="center"/>
      <protection locked="0"/>
    </xf>
    <xf numFmtId="0" fontId="6" fillId="0" borderId="12" xfId="0" applyFont="1" applyBorder="1" applyAlignment="1" applyProtection="1">
      <alignment horizontal="center" vertical="center"/>
      <protection locked="0"/>
    </xf>
    <xf numFmtId="0" fontId="6" fillId="0" borderId="1" xfId="0" applyFont="1" applyBorder="1" applyAlignment="1" applyProtection="1">
      <alignment horizontal="center" vertical="center"/>
      <protection locked="0"/>
    </xf>
    <xf numFmtId="0" fontId="6" fillId="0" borderId="44" xfId="0" applyFont="1" applyBorder="1" applyAlignment="1" applyProtection="1">
      <alignment horizontal="center" vertical="center"/>
      <protection locked="0"/>
    </xf>
    <xf numFmtId="0" fontId="6" fillId="0" borderId="13" xfId="0" applyFont="1" applyBorder="1" applyAlignment="1">
      <alignment horizontal="center" vertical="center"/>
    </xf>
    <xf numFmtId="1" fontId="3" fillId="0" borderId="4" xfId="0" applyNumberFormat="1" applyFont="1" applyBorder="1" applyAlignment="1" applyProtection="1">
      <alignment vertical="center" wrapText="1"/>
      <protection locked="0"/>
    </xf>
    <xf numFmtId="0" fontId="33" fillId="0" borderId="45" xfId="0" applyFont="1" applyBorder="1"/>
    <xf numFmtId="0" fontId="33" fillId="0" borderId="28" xfId="0" applyFont="1" applyBorder="1"/>
    <xf numFmtId="0" fontId="27" fillId="0" borderId="0" xfId="0" applyFont="1" applyAlignment="1">
      <alignment horizontal="left"/>
    </xf>
    <xf numFmtId="0" fontId="33" fillId="0" borderId="46" xfId="0" applyFont="1" applyBorder="1"/>
    <xf numFmtId="0" fontId="33" fillId="0" borderId="0" xfId="0" applyFont="1"/>
    <xf numFmtId="0" fontId="33" fillId="0" borderId="45" xfId="0" applyFont="1" applyFill="1" applyBorder="1"/>
    <xf numFmtId="0" fontId="8" fillId="0" borderId="45" xfId="0" applyFont="1" applyFill="1" applyBorder="1"/>
    <xf numFmtId="0" fontId="8" fillId="0" borderId="28" xfId="0" applyFont="1" applyBorder="1"/>
    <xf numFmtId="0" fontId="8" fillId="0" borderId="0" xfId="0" applyFont="1"/>
    <xf numFmtId="0" fontId="28" fillId="0" borderId="28" xfId="0" applyFont="1" applyBorder="1"/>
    <xf numFmtId="0" fontId="27" fillId="0" borderId="0" xfId="0" applyFont="1" applyAlignment="1">
      <alignment horizontal="left" vertical="top"/>
    </xf>
    <xf numFmtId="0" fontId="34" fillId="0" borderId="0" xfId="0" applyFont="1" applyAlignment="1">
      <alignment horizontal="right"/>
    </xf>
    <xf numFmtId="0" fontId="7" fillId="0" borderId="21" xfId="0" applyNumberFormat="1" applyFont="1" applyFill="1" applyBorder="1" applyAlignment="1">
      <alignment horizontal="left" textRotation="60" wrapText="1"/>
    </xf>
    <xf numFmtId="0" fontId="3" fillId="0" borderId="0" xfId="0" applyFont="1" applyBorder="1" applyAlignment="1">
      <alignment horizontal="left" vertical="top"/>
    </xf>
    <xf numFmtId="0" fontId="35" fillId="0" borderId="0" xfId="0" applyFont="1" applyBorder="1"/>
    <xf numFmtId="49" fontId="7" fillId="0" borderId="47" xfId="0" applyNumberFormat="1" applyFont="1" applyBorder="1" applyAlignment="1">
      <alignment horizontal="center"/>
    </xf>
    <xf numFmtId="164" fontId="6" fillId="0" borderId="48" xfId="0" applyNumberFormat="1" applyFont="1" applyBorder="1" applyAlignment="1">
      <alignment horizontal="center" vertical="center"/>
    </xf>
    <xf numFmtId="0" fontId="21" fillId="0" borderId="7" xfId="0" applyFont="1" applyBorder="1" applyAlignment="1">
      <alignment horizontal="center" wrapText="1"/>
    </xf>
    <xf numFmtId="0" fontId="3" fillId="0" borderId="7" xfId="0" applyFont="1" applyBorder="1" applyAlignment="1">
      <alignment horizontal="center"/>
    </xf>
    <xf numFmtId="0" fontId="6" fillId="0" borderId="29" xfId="0" applyFont="1" applyBorder="1" applyAlignment="1">
      <alignment horizontal="center" vertical="center" wrapText="1"/>
    </xf>
    <xf numFmtId="0" fontId="21" fillId="0" borderId="49" xfId="0" applyFont="1" applyBorder="1" applyAlignment="1">
      <alignment horizontal="center" wrapText="1"/>
    </xf>
    <xf numFmtId="0" fontId="3" fillId="0" borderId="49" xfId="0" applyFont="1" applyBorder="1" applyAlignment="1">
      <alignment horizontal="center"/>
    </xf>
    <xf numFmtId="164" fontId="9" fillId="0" borderId="50" xfId="0" applyNumberFormat="1" applyFont="1" applyBorder="1" applyAlignment="1">
      <alignment horizontal="center" vertical="center"/>
    </xf>
    <xf numFmtId="0" fontId="6" fillId="0" borderId="7" xfId="0" applyFont="1" applyBorder="1" applyAlignment="1">
      <alignment horizontal="center" vertical="center" wrapText="1"/>
    </xf>
    <xf numFmtId="164" fontId="6" fillId="0" borderId="12" xfId="0" applyNumberFormat="1" applyFont="1" applyBorder="1" applyAlignment="1" applyProtection="1">
      <alignment horizontal="center" vertical="center"/>
      <protection locked="0"/>
    </xf>
    <xf numFmtId="0" fontId="6" fillId="0" borderId="1" xfId="0" applyFont="1" applyBorder="1" applyAlignment="1">
      <alignment horizontal="center" vertical="center" wrapText="1"/>
    </xf>
    <xf numFmtId="0" fontId="6" fillId="0" borderId="42" xfId="0" applyFont="1" applyBorder="1" applyAlignment="1">
      <alignment horizontal="center" vertical="center" wrapText="1"/>
    </xf>
    <xf numFmtId="1" fontId="3" fillId="0" borderId="42" xfId="0" applyNumberFormat="1" applyFont="1" applyBorder="1" applyAlignment="1" applyProtection="1">
      <alignment vertical="center" wrapText="1"/>
    </xf>
    <xf numFmtId="1" fontId="6" fillId="0" borderId="42" xfId="0" applyNumberFormat="1" applyFont="1" applyBorder="1" applyAlignment="1" applyProtection="1">
      <alignment horizontal="center" vertical="center"/>
      <protection locked="0"/>
    </xf>
    <xf numFmtId="1" fontId="6" fillId="0" borderId="51" xfId="0" applyNumberFormat="1" applyFont="1" applyBorder="1" applyAlignment="1" applyProtection="1">
      <alignment horizontal="center" vertical="center"/>
      <protection locked="0"/>
    </xf>
    <xf numFmtId="164" fontId="6" fillId="0" borderId="52" xfId="0" applyNumberFormat="1" applyFont="1" applyBorder="1" applyAlignment="1">
      <alignment horizontal="center" vertical="center"/>
    </xf>
    <xf numFmtId="164" fontId="9" fillId="0" borderId="34" xfId="0" applyNumberFormat="1" applyFont="1" applyBorder="1" applyAlignment="1">
      <alignment horizontal="center" vertical="center"/>
    </xf>
    <xf numFmtId="0" fontId="6" fillId="0" borderId="52" xfId="0" applyFont="1" applyBorder="1" applyAlignment="1">
      <alignment horizontal="center" vertical="center" wrapText="1"/>
    </xf>
    <xf numFmtId="1" fontId="6" fillId="0" borderId="12" xfId="0" applyNumberFormat="1" applyFont="1" applyBorder="1" applyAlignment="1" applyProtection="1">
      <alignment horizontal="center" vertical="center"/>
      <protection locked="0"/>
    </xf>
    <xf numFmtId="1" fontId="6" fillId="0" borderId="2" xfId="0" applyNumberFormat="1" applyFont="1" applyBorder="1" applyAlignment="1" applyProtection="1">
      <alignment horizontal="center" vertical="center"/>
      <protection locked="0"/>
    </xf>
    <xf numFmtId="164" fontId="6" fillId="0" borderId="13" xfId="0" applyNumberFormat="1" applyFont="1" applyBorder="1" applyAlignment="1">
      <alignment horizontal="center" vertical="center"/>
    </xf>
    <xf numFmtId="164" fontId="9" fillId="0" borderId="1" xfId="0" applyNumberFormat="1" applyFont="1" applyBorder="1" applyAlignment="1">
      <alignment horizontal="center" vertical="center"/>
    </xf>
    <xf numFmtId="164" fontId="8" fillId="0" borderId="12" xfId="0" applyNumberFormat="1" applyFont="1" applyFill="1" applyBorder="1" applyAlignment="1" applyProtection="1">
      <alignment horizontal="center" vertical="center"/>
    </xf>
    <xf numFmtId="164" fontId="8" fillId="2" borderId="12" xfId="0" applyNumberFormat="1" applyFont="1" applyFill="1" applyBorder="1" applyAlignment="1" applyProtection="1">
      <alignment horizontal="center" vertical="center"/>
    </xf>
    <xf numFmtId="164" fontId="8" fillId="2" borderId="44" xfId="0" applyNumberFormat="1" applyFont="1" applyFill="1" applyBorder="1" applyAlignment="1" applyProtection="1">
      <alignment horizontal="center" vertical="center"/>
    </xf>
    <xf numFmtId="164" fontId="8" fillId="2" borderId="53" xfId="0" applyNumberFormat="1" applyFont="1" applyFill="1" applyBorder="1" applyAlignment="1" applyProtection="1">
      <alignment horizontal="center" vertical="center"/>
    </xf>
    <xf numFmtId="164" fontId="8" fillId="2" borderId="54" xfId="0" applyNumberFormat="1" applyFont="1" applyFill="1" applyBorder="1" applyAlignment="1" applyProtection="1">
      <alignment horizontal="center" vertical="center"/>
    </xf>
    <xf numFmtId="0" fontId="3" fillId="0" borderId="51" xfId="0" applyFont="1" applyBorder="1"/>
    <xf numFmtId="49" fontId="3" fillId="0" borderId="26" xfId="0" applyNumberFormat="1" applyFont="1" applyBorder="1" applyProtection="1">
      <protection locked="0"/>
    </xf>
    <xf numFmtId="0" fontId="36" fillId="0" borderId="0" xfId="0" applyFont="1" applyAlignment="1">
      <alignment horizontal="right"/>
    </xf>
    <xf numFmtId="0" fontId="6" fillId="0" borderId="2" xfId="0" applyFont="1" applyBorder="1" applyAlignment="1" applyProtection="1">
      <alignment horizontal="center" vertical="center"/>
      <protection locked="0"/>
    </xf>
    <xf numFmtId="0" fontId="9" fillId="0" borderId="5" xfId="0" applyFont="1" applyBorder="1" applyAlignment="1">
      <alignment horizontal="center" wrapText="1"/>
    </xf>
    <xf numFmtId="0" fontId="21" fillId="0" borderId="9" xfId="0" applyFont="1" applyBorder="1" applyAlignment="1">
      <alignment horizontal="center" wrapText="1"/>
    </xf>
    <xf numFmtId="0" fontId="5" fillId="0" borderId="3" xfId="0" applyFont="1" applyBorder="1" applyAlignment="1">
      <alignment horizontal="center" wrapText="1"/>
    </xf>
    <xf numFmtId="0" fontId="37" fillId="0" borderId="3" xfId="0" quotePrefix="1" applyFont="1" applyBorder="1" applyAlignment="1">
      <alignment horizontal="center" wrapText="1"/>
    </xf>
    <xf numFmtId="0" fontId="21" fillId="0" borderId="22" xfId="0" applyFont="1" applyBorder="1" applyAlignment="1">
      <alignment horizontal="center" wrapText="1"/>
    </xf>
    <xf numFmtId="0" fontId="21" fillId="0" borderId="9" xfId="0" applyFont="1" applyBorder="1" applyAlignment="1">
      <alignment horizontal="center"/>
    </xf>
    <xf numFmtId="0" fontId="6" fillId="0" borderId="42" xfId="0" applyFont="1" applyBorder="1" applyAlignment="1">
      <alignment horizontal="center" vertical="center"/>
    </xf>
    <xf numFmtId="0" fontId="5" fillId="0" borderId="60" xfId="0" applyFont="1" applyBorder="1" applyAlignment="1">
      <alignment horizontal="center" wrapText="1"/>
    </xf>
    <xf numFmtId="0" fontId="6" fillId="0" borderId="61" xfId="0" applyFont="1" applyBorder="1" applyAlignment="1">
      <alignment horizontal="center" vertical="center" wrapText="1"/>
    </xf>
    <xf numFmtId="164" fontId="6" fillId="0" borderId="47" xfId="0" applyNumberFormat="1" applyFont="1" applyBorder="1" applyAlignment="1">
      <alignment horizontal="center" vertical="center"/>
    </xf>
    <xf numFmtId="164" fontId="9" fillId="0" borderId="49" xfId="0" applyNumberFormat="1" applyFont="1" applyBorder="1" applyAlignment="1">
      <alignment horizontal="center" vertical="center"/>
    </xf>
    <xf numFmtId="164" fontId="29" fillId="2" borderId="62" xfId="0" applyNumberFormat="1" applyFont="1" applyFill="1" applyBorder="1" applyAlignment="1" applyProtection="1">
      <alignment horizontal="center" vertical="center" wrapText="1"/>
    </xf>
    <xf numFmtId="164" fontId="29" fillId="2" borderId="60" xfId="0" applyNumberFormat="1" applyFont="1" applyFill="1" applyBorder="1" applyAlignment="1" applyProtection="1">
      <alignment horizontal="center" vertical="center" wrapText="1"/>
    </xf>
    <xf numFmtId="0" fontId="6" fillId="0" borderId="16" xfId="0" applyFont="1" applyBorder="1" applyAlignment="1">
      <alignment horizontal="center" vertical="center" wrapText="1"/>
    </xf>
    <xf numFmtId="0" fontId="6" fillId="0" borderId="12" xfId="0" applyFont="1" applyBorder="1" applyAlignment="1">
      <alignment horizontal="center" vertical="center" wrapText="1"/>
    </xf>
    <xf numFmtId="1" fontId="3" fillId="0" borderId="16" xfId="0" applyNumberFormat="1" applyFont="1" applyBorder="1" applyAlignment="1" applyProtection="1">
      <alignment vertical="center" wrapText="1"/>
    </xf>
    <xf numFmtId="1" fontId="3" fillId="0" borderId="12" xfId="0" applyNumberFormat="1" applyFont="1" applyBorder="1" applyAlignment="1" applyProtection="1">
      <alignment vertical="center" wrapText="1"/>
    </xf>
    <xf numFmtId="0" fontId="6" fillId="0" borderId="16" xfId="0" applyFont="1" applyBorder="1" applyAlignment="1">
      <alignment horizontal="center" vertical="center" wrapText="1"/>
    </xf>
    <xf numFmtId="164" fontId="29" fillId="2" borderId="0" xfId="0" applyNumberFormat="1" applyFont="1" applyFill="1" applyBorder="1" applyAlignment="1" applyProtection="1">
      <alignment horizontal="center" vertical="center" wrapText="1"/>
    </xf>
    <xf numFmtId="164" fontId="8" fillId="2" borderId="13" xfId="0" applyNumberFormat="1" applyFont="1" applyFill="1" applyBorder="1" applyAlignment="1" applyProtection="1">
      <alignment horizontal="center" vertical="center"/>
    </xf>
    <xf numFmtId="164" fontId="6" fillId="2" borderId="25" xfId="0" applyNumberFormat="1" applyFont="1" applyFill="1" applyBorder="1" applyAlignment="1">
      <alignment horizontal="center" vertical="center"/>
    </xf>
    <xf numFmtId="164" fontId="6" fillId="2" borderId="14" xfId="0" applyNumberFormat="1" applyFont="1" applyFill="1" applyBorder="1" applyAlignment="1">
      <alignment horizontal="center" vertical="center"/>
    </xf>
    <xf numFmtId="164" fontId="6" fillId="2" borderId="63" xfId="0" applyNumberFormat="1" applyFont="1" applyFill="1" applyBorder="1" applyAlignment="1">
      <alignment horizontal="center" vertical="center"/>
    </xf>
    <xf numFmtId="164" fontId="4" fillId="2" borderId="12" xfId="0" applyNumberFormat="1" applyFont="1" applyFill="1" applyBorder="1" applyAlignment="1">
      <alignment horizontal="center" vertical="center"/>
    </xf>
    <xf numFmtId="0" fontId="4" fillId="2" borderId="34" xfId="0" applyNumberFormat="1" applyFont="1" applyFill="1" applyBorder="1" applyAlignment="1">
      <alignment horizontal="center" vertical="center"/>
    </xf>
    <xf numFmtId="164" fontId="29" fillId="2" borderId="3" xfId="0" applyNumberFormat="1" applyFont="1" applyFill="1" applyBorder="1" applyAlignment="1" applyProtection="1">
      <alignment horizontal="center" vertical="center" wrapText="1"/>
    </xf>
    <xf numFmtId="0" fontId="4" fillId="2" borderId="1" xfId="0" applyNumberFormat="1" applyFont="1" applyFill="1" applyBorder="1" applyAlignment="1">
      <alignment horizontal="center" vertical="center"/>
    </xf>
    <xf numFmtId="0" fontId="38" fillId="0" borderId="0" xfId="0" applyFont="1" applyProtection="1">
      <protection hidden="1"/>
    </xf>
    <xf numFmtId="0" fontId="39" fillId="0" borderId="0" xfId="0" applyFont="1" applyProtection="1">
      <protection hidden="1"/>
    </xf>
    <xf numFmtId="0" fontId="40" fillId="0" borderId="0" xfId="0" applyNumberFormat="1" applyFont="1" applyFill="1" applyAlignment="1" applyProtection="1">
      <alignment vertical="center"/>
      <protection hidden="1"/>
    </xf>
    <xf numFmtId="2" fontId="38" fillId="0" borderId="0" xfId="0" applyNumberFormat="1" applyFont="1" applyProtection="1">
      <protection hidden="1"/>
    </xf>
    <xf numFmtId="49" fontId="38" fillId="6" borderId="58" xfId="0" applyNumberFormat="1" applyFont="1" applyFill="1" applyBorder="1" applyAlignment="1" applyProtection="1">
      <protection hidden="1"/>
    </xf>
    <xf numFmtId="49" fontId="38" fillId="6" borderId="68" xfId="0" applyNumberFormat="1" applyFont="1" applyFill="1" applyBorder="1" applyAlignment="1" applyProtection="1">
      <protection hidden="1"/>
    </xf>
    <xf numFmtId="49" fontId="38" fillId="0" borderId="69" xfId="0" applyNumberFormat="1" applyFont="1" applyFill="1" applyBorder="1" applyAlignment="1" applyProtection="1">
      <protection hidden="1"/>
    </xf>
    <xf numFmtId="49" fontId="38" fillId="0" borderId="64" xfId="0" applyNumberFormat="1" applyFont="1" applyFill="1" applyBorder="1" applyAlignment="1" applyProtection="1">
      <protection hidden="1"/>
    </xf>
    <xf numFmtId="49" fontId="38" fillId="6" borderId="69" xfId="0" applyNumberFormat="1" applyFont="1" applyFill="1" applyBorder="1" applyAlignment="1" applyProtection="1">
      <protection hidden="1"/>
    </xf>
    <xf numFmtId="49" fontId="38" fillId="6" borderId="64" xfId="0" applyNumberFormat="1" applyFont="1" applyFill="1" applyBorder="1" applyAlignment="1" applyProtection="1">
      <protection hidden="1"/>
    </xf>
    <xf numFmtId="49" fontId="38" fillId="6" borderId="70" xfId="0" applyNumberFormat="1" applyFont="1" applyFill="1" applyBorder="1" applyAlignment="1" applyProtection="1">
      <protection hidden="1"/>
    </xf>
    <xf numFmtId="49" fontId="38" fillId="6" borderId="71" xfId="0" applyNumberFormat="1" applyFont="1" applyFill="1" applyBorder="1" applyAlignment="1" applyProtection="1">
      <protection hidden="1"/>
    </xf>
    <xf numFmtId="0" fontId="38" fillId="0" borderId="0" xfId="0" applyFont="1" applyFill="1" applyProtection="1">
      <protection hidden="1"/>
    </xf>
    <xf numFmtId="0" fontId="38" fillId="0" borderId="0" xfId="0" applyFont="1" applyAlignment="1" applyProtection="1">
      <alignment vertical="center"/>
      <protection hidden="1"/>
    </xf>
    <xf numFmtId="0" fontId="41" fillId="9" borderId="60" xfId="0" applyFont="1" applyFill="1" applyBorder="1" applyAlignment="1" applyProtection="1">
      <alignment horizontal="left" vertical="center"/>
      <protection locked="0"/>
    </xf>
    <xf numFmtId="0" fontId="41" fillId="9" borderId="60" xfId="0" applyFont="1" applyFill="1" applyBorder="1" applyAlignment="1" applyProtection="1">
      <alignment horizontal="left" vertical="center"/>
      <protection hidden="1"/>
    </xf>
    <xf numFmtId="0" fontId="41" fillId="6" borderId="60" xfId="0" applyFont="1" applyFill="1" applyBorder="1" applyAlignment="1" applyProtection="1">
      <alignment horizontal="center" vertical="center"/>
      <protection hidden="1"/>
    </xf>
    <xf numFmtId="0" fontId="38" fillId="6" borderId="60" xfId="0" applyFont="1" applyFill="1" applyBorder="1" applyAlignment="1" applyProtection="1">
      <alignment horizontal="left" vertical="center"/>
      <protection hidden="1"/>
    </xf>
    <xf numFmtId="0" fontId="38" fillId="6" borderId="7" xfId="0" applyFont="1" applyFill="1" applyBorder="1" applyAlignment="1" applyProtection="1">
      <alignment horizontal="left" vertical="center"/>
      <protection hidden="1"/>
    </xf>
    <xf numFmtId="0" fontId="38" fillId="6" borderId="29" xfId="0" applyFont="1" applyFill="1" applyBorder="1" applyAlignment="1" applyProtection="1">
      <alignment vertical="center"/>
      <protection hidden="1"/>
    </xf>
    <xf numFmtId="2" fontId="38" fillId="0" borderId="0" xfId="0" applyNumberFormat="1" applyFont="1" applyAlignment="1" applyProtection="1">
      <alignment vertical="center"/>
      <protection hidden="1"/>
    </xf>
    <xf numFmtId="0" fontId="42" fillId="0" borderId="0" xfId="0" applyFont="1" applyAlignment="1" applyProtection="1">
      <alignment textRotation="90" wrapText="1"/>
      <protection hidden="1"/>
    </xf>
    <xf numFmtId="0" fontId="42" fillId="0" borderId="21" xfId="0" applyFont="1" applyBorder="1" applyAlignment="1" applyProtection="1">
      <alignment horizontal="center" vertical="center" textRotation="90" wrapText="1"/>
      <protection hidden="1"/>
    </xf>
    <xf numFmtId="0" fontId="42" fillId="0" borderId="73" xfId="0" applyFont="1" applyBorder="1" applyAlignment="1" applyProtection="1">
      <alignment horizontal="center" vertical="center" textRotation="90" wrapText="1"/>
      <protection hidden="1"/>
    </xf>
    <xf numFmtId="0" fontId="42" fillId="0" borderId="73" xfId="0" applyFont="1" applyFill="1" applyBorder="1" applyAlignment="1" applyProtection="1">
      <alignment horizontal="center" vertical="center" textRotation="90" wrapText="1"/>
      <protection hidden="1"/>
    </xf>
    <xf numFmtId="0" fontId="42" fillId="0" borderId="32" xfId="0" applyFont="1" applyBorder="1" applyAlignment="1" applyProtection="1">
      <alignment horizontal="center" vertical="center" wrapText="1"/>
      <protection hidden="1"/>
    </xf>
    <xf numFmtId="0" fontId="42" fillId="0" borderId="32" xfId="0" applyFont="1" applyBorder="1" applyAlignment="1" applyProtection="1">
      <alignment horizontal="center" vertical="center" textRotation="90" wrapText="1"/>
      <protection hidden="1"/>
    </xf>
    <xf numFmtId="0" fontId="42" fillId="0" borderId="33" xfId="0" applyFont="1" applyBorder="1" applyAlignment="1" applyProtection="1">
      <alignment horizontal="center" vertical="center" textRotation="90" wrapText="1"/>
      <protection hidden="1"/>
    </xf>
    <xf numFmtId="0" fontId="42" fillId="0" borderId="0" xfId="0" applyFont="1" applyAlignment="1" applyProtection="1">
      <alignment vertical="center" textRotation="90" wrapText="1"/>
      <protection hidden="1"/>
    </xf>
    <xf numFmtId="0" fontId="42" fillId="0" borderId="74" xfId="0" applyFont="1" applyBorder="1" applyAlignment="1" applyProtection="1">
      <alignment horizontal="center" vertical="center" textRotation="90" wrapText="1"/>
      <protection hidden="1"/>
    </xf>
    <xf numFmtId="0" fontId="42" fillId="0" borderId="14" xfId="0" applyFont="1" applyBorder="1" applyAlignment="1" applyProtection="1">
      <alignment horizontal="center" vertical="center" textRotation="90" wrapText="1"/>
      <protection hidden="1"/>
    </xf>
    <xf numFmtId="0" fontId="43" fillId="0" borderId="63" xfId="0" applyFont="1" applyBorder="1" applyAlignment="1" applyProtection="1">
      <alignment horizontal="center" vertical="center" textRotation="90" wrapText="1"/>
      <protection hidden="1"/>
    </xf>
    <xf numFmtId="0" fontId="42" fillId="0" borderId="4" xfId="0" applyFont="1" applyBorder="1" applyAlignment="1" applyProtection="1">
      <alignment horizontal="center" vertical="center" textRotation="90" wrapText="1"/>
      <protection hidden="1"/>
    </xf>
    <xf numFmtId="0" fontId="38" fillId="6" borderId="34" xfId="0" applyFont="1" applyFill="1" applyBorder="1" applyProtection="1">
      <protection hidden="1"/>
    </xf>
    <xf numFmtId="0" fontId="42" fillId="0" borderId="18" xfId="0" applyFont="1" applyBorder="1" applyAlignment="1" applyProtection="1">
      <alignment horizontal="center" vertical="center" textRotation="90" wrapText="1"/>
      <protection hidden="1"/>
    </xf>
    <xf numFmtId="0" fontId="42" fillId="0" borderId="78" xfId="0" applyFont="1" applyBorder="1" applyAlignment="1" applyProtection="1">
      <alignment horizontal="center" vertical="center" textRotation="90" wrapText="1"/>
      <protection hidden="1"/>
    </xf>
    <xf numFmtId="0" fontId="42" fillId="0" borderId="23" xfId="0" applyFont="1" applyBorder="1" applyAlignment="1" applyProtection="1">
      <alignment horizontal="center" vertical="center" wrapText="1"/>
      <protection hidden="1"/>
    </xf>
    <xf numFmtId="0" fontId="42" fillId="0" borderId="23" xfId="0" applyFont="1" applyBorder="1" applyAlignment="1" applyProtection="1">
      <alignment horizontal="center" vertical="center" textRotation="90" wrapText="1"/>
      <protection hidden="1"/>
    </xf>
    <xf numFmtId="0" fontId="42" fillId="0" borderId="24" xfId="0" applyFont="1" applyBorder="1" applyAlignment="1" applyProtection="1">
      <alignment horizontal="center" vertical="center" textRotation="90" wrapText="1"/>
      <protection hidden="1"/>
    </xf>
    <xf numFmtId="0" fontId="42" fillId="0" borderId="75" xfId="0" applyFont="1" applyBorder="1" applyAlignment="1" applyProtection="1">
      <alignment horizontal="center" vertical="center" textRotation="90" wrapText="1"/>
      <protection hidden="1"/>
    </xf>
    <xf numFmtId="0" fontId="42" fillId="0" borderId="76" xfId="0" applyFont="1" applyBorder="1" applyAlignment="1" applyProtection="1">
      <alignment horizontal="center" vertical="center" textRotation="90" wrapText="1"/>
      <protection hidden="1"/>
    </xf>
    <xf numFmtId="0" fontId="42" fillId="0" borderId="79" xfId="0" applyFont="1" applyBorder="1" applyAlignment="1" applyProtection="1">
      <alignment horizontal="center" vertical="center" textRotation="90" wrapText="1"/>
      <protection hidden="1"/>
    </xf>
    <xf numFmtId="0" fontId="43" fillId="0" borderId="77" xfId="0" applyFont="1" applyBorder="1" applyAlignment="1" applyProtection="1">
      <alignment horizontal="center" vertical="center" textRotation="90" wrapText="1"/>
      <protection hidden="1"/>
    </xf>
    <xf numFmtId="0" fontId="38" fillId="0" borderId="16" xfId="0" applyFont="1" applyBorder="1" applyProtection="1">
      <protection hidden="1"/>
    </xf>
    <xf numFmtId="0" fontId="42" fillId="0" borderId="21" xfId="0" applyFont="1" applyBorder="1" applyProtection="1">
      <protection hidden="1"/>
    </xf>
    <xf numFmtId="0" fontId="42" fillId="0" borderId="32" xfId="0" applyFont="1" applyBorder="1" applyProtection="1">
      <protection hidden="1"/>
    </xf>
    <xf numFmtId="0" fontId="42" fillId="0" borderId="33" xfId="0" applyFont="1" applyBorder="1" applyProtection="1">
      <protection hidden="1"/>
    </xf>
    <xf numFmtId="0" fontId="38" fillId="0" borderId="78" xfId="0" applyFont="1" applyFill="1" applyBorder="1" applyAlignment="1" applyProtection="1">
      <alignment horizontal="center" vertical="center"/>
      <protection hidden="1"/>
    </xf>
    <xf numFmtId="0" fontId="38" fillId="0" borderId="80" xfId="0" applyFont="1" applyFill="1" applyBorder="1" applyAlignment="1" applyProtection="1">
      <alignment horizontal="center" vertical="center"/>
      <protection hidden="1"/>
    </xf>
    <xf numFmtId="2" fontId="38" fillId="0" borderId="81" xfId="0" applyNumberFormat="1" applyFont="1" applyBorder="1" applyAlignment="1" applyProtection="1">
      <alignment horizontal="center" vertical="center"/>
      <protection hidden="1"/>
    </xf>
    <xf numFmtId="2" fontId="38" fillId="0" borderId="0" xfId="0" applyNumberFormat="1" applyFont="1" applyAlignment="1" applyProtection="1">
      <protection hidden="1"/>
    </xf>
    <xf numFmtId="2" fontId="38" fillId="0" borderId="82" xfId="0" applyNumberFormat="1" applyFont="1" applyBorder="1" applyAlignment="1" applyProtection="1">
      <alignment horizontal="center" vertical="center"/>
      <protection hidden="1"/>
    </xf>
    <xf numFmtId="2" fontId="38" fillId="0" borderId="80" xfId="0" applyNumberFormat="1" applyFont="1" applyFill="1" applyBorder="1" applyAlignment="1" applyProtection="1">
      <alignment horizontal="center" vertical="center"/>
      <protection hidden="1"/>
    </xf>
    <xf numFmtId="2" fontId="38" fillId="0" borderId="83" xfId="0" applyNumberFormat="1" applyFont="1" applyBorder="1" applyAlignment="1" applyProtection="1">
      <alignment horizontal="center" vertical="center"/>
      <protection hidden="1"/>
    </xf>
    <xf numFmtId="2" fontId="43" fillId="0" borderId="81" xfId="0" applyNumberFormat="1" applyFont="1" applyBorder="1" applyAlignment="1" applyProtection="1">
      <alignment horizontal="center" vertical="center"/>
      <protection hidden="1"/>
    </xf>
    <xf numFmtId="2" fontId="38" fillId="6" borderId="26" xfId="0" applyNumberFormat="1" applyFont="1" applyFill="1" applyBorder="1" applyProtection="1">
      <protection hidden="1"/>
    </xf>
    <xf numFmtId="2" fontId="38" fillId="6" borderId="85" xfId="0" applyNumberFormat="1" applyFont="1" applyFill="1" applyBorder="1" applyProtection="1">
      <protection hidden="1"/>
    </xf>
    <xf numFmtId="0" fontId="38" fillId="0" borderId="37" xfId="0" applyFont="1" applyFill="1" applyBorder="1" applyAlignment="1" applyProtection="1">
      <alignment horizontal="center" vertical="center"/>
      <protection hidden="1"/>
    </xf>
    <xf numFmtId="0" fontId="38" fillId="0" borderId="86" xfId="0" applyFont="1" applyFill="1" applyBorder="1" applyAlignment="1" applyProtection="1">
      <alignment horizontal="center" vertical="center"/>
      <protection hidden="1"/>
    </xf>
    <xf numFmtId="2" fontId="38" fillId="0" borderId="87" xfId="0" applyNumberFormat="1" applyFont="1" applyBorder="1" applyAlignment="1" applyProtection="1">
      <alignment horizontal="center" vertical="center"/>
      <protection hidden="1"/>
    </xf>
    <xf numFmtId="2" fontId="38" fillId="0" borderId="88" xfId="0" applyNumberFormat="1" applyFont="1" applyBorder="1" applyAlignment="1" applyProtection="1">
      <alignment horizontal="center" vertical="center"/>
      <protection hidden="1"/>
    </xf>
    <xf numFmtId="2" fontId="38" fillId="0" borderId="86" xfId="0" applyNumberFormat="1" applyFont="1" applyFill="1" applyBorder="1" applyAlignment="1" applyProtection="1">
      <alignment horizontal="center" vertical="center"/>
      <protection hidden="1"/>
    </xf>
    <xf numFmtId="2" fontId="38" fillId="0" borderId="89" xfId="0" applyNumberFormat="1" applyFont="1" applyBorder="1" applyAlignment="1" applyProtection="1">
      <alignment horizontal="center" vertical="center"/>
      <protection hidden="1"/>
    </xf>
    <xf numFmtId="2" fontId="43" fillId="0" borderId="87" xfId="0" applyNumberFormat="1" applyFont="1" applyBorder="1" applyAlignment="1" applyProtection="1">
      <alignment horizontal="center" vertical="center"/>
      <protection hidden="1"/>
    </xf>
    <xf numFmtId="2" fontId="38" fillId="0" borderId="26" xfId="0" applyNumberFormat="1" applyFont="1" applyFill="1" applyBorder="1" applyProtection="1">
      <protection hidden="1"/>
    </xf>
    <xf numFmtId="2" fontId="38" fillId="0" borderId="85" xfId="0" applyNumberFormat="1" applyFont="1" applyFill="1" applyBorder="1" applyProtection="1">
      <protection hidden="1"/>
    </xf>
    <xf numFmtId="0" fontId="38" fillId="0" borderId="90" xfId="0" applyFont="1" applyFill="1" applyBorder="1" applyAlignment="1" applyProtection="1">
      <alignment horizontal="center" vertical="center"/>
      <protection hidden="1"/>
    </xf>
    <xf numFmtId="0" fontId="38" fillId="0" borderId="91" xfId="0" applyFont="1" applyFill="1" applyBorder="1" applyAlignment="1" applyProtection="1">
      <alignment horizontal="center" vertical="center"/>
      <protection hidden="1"/>
    </xf>
    <xf numFmtId="2" fontId="38" fillId="0" borderId="92" xfId="0" applyNumberFormat="1" applyFont="1" applyBorder="1" applyAlignment="1" applyProtection="1">
      <alignment horizontal="center" vertical="center"/>
      <protection hidden="1"/>
    </xf>
    <xf numFmtId="2" fontId="38" fillId="0" borderId="93" xfId="0" applyNumberFormat="1" applyFont="1" applyBorder="1" applyAlignment="1" applyProtection="1">
      <alignment horizontal="center" vertical="center"/>
      <protection hidden="1"/>
    </xf>
    <xf numFmtId="2" fontId="38" fillId="0" borderId="91" xfId="0" applyNumberFormat="1" applyFont="1" applyFill="1" applyBorder="1" applyAlignment="1" applyProtection="1">
      <alignment horizontal="center" vertical="center"/>
      <protection hidden="1"/>
    </xf>
    <xf numFmtId="2" fontId="38" fillId="0" borderId="94" xfId="0" applyNumberFormat="1" applyFont="1" applyBorder="1" applyAlignment="1" applyProtection="1">
      <alignment horizontal="center" vertical="center"/>
      <protection hidden="1"/>
    </xf>
    <xf numFmtId="2" fontId="43" fillId="0" borderId="92" xfId="0" applyNumberFormat="1" applyFont="1" applyBorder="1" applyAlignment="1" applyProtection="1">
      <alignment horizontal="center" vertical="center"/>
      <protection hidden="1"/>
    </xf>
    <xf numFmtId="0" fontId="38" fillId="0" borderId="0" xfId="0" applyFont="1" applyBorder="1" applyAlignment="1" applyProtection="1">
      <alignment horizontal="center" vertical="center"/>
      <protection hidden="1"/>
    </xf>
    <xf numFmtId="0" fontId="38" fillId="0" borderId="0" xfId="0" applyFont="1" applyFill="1" applyBorder="1" applyAlignment="1" applyProtection="1">
      <alignment horizontal="center" vertical="center"/>
      <protection hidden="1"/>
    </xf>
    <xf numFmtId="0" fontId="38" fillId="0" borderId="0" xfId="0" applyFont="1" applyFill="1" applyBorder="1" applyProtection="1">
      <protection hidden="1"/>
    </xf>
    <xf numFmtId="0" fontId="38" fillId="0" borderId="0" xfId="0" applyFont="1" applyFill="1" applyBorder="1" applyAlignment="1" applyProtection="1">
      <alignment horizontal="center"/>
      <protection hidden="1"/>
    </xf>
    <xf numFmtId="2" fontId="38" fillId="0" borderId="0" xfId="0" applyNumberFormat="1" applyFont="1" applyFill="1" applyBorder="1" applyAlignment="1" applyProtection="1">
      <alignment horizontal="center"/>
      <protection hidden="1"/>
    </xf>
    <xf numFmtId="2" fontId="38" fillId="0" borderId="0" xfId="0" applyNumberFormat="1" applyFont="1" applyFill="1" applyAlignment="1" applyProtection="1">
      <protection hidden="1"/>
    </xf>
    <xf numFmtId="2" fontId="38" fillId="0" borderId="0" xfId="0" applyNumberFormat="1" applyFont="1" applyFill="1" applyBorder="1" applyAlignment="1" applyProtection="1">
      <alignment horizontal="center" vertical="center"/>
      <protection hidden="1"/>
    </xf>
    <xf numFmtId="2" fontId="38" fillId="0" borderId="0" xfId="0" applyNumberFormat="1" applyFont="1" applyBorder="1" applyAlignment="1" applyProtection="1">
      <alignment horizontal="center" vertical="center"/>
      <protection hidden="1"/>
    </xf>
    <xf numFmtId="2" fontId="39" fillId="0" borderId="0" xfId="0" applyNumberFormat="1" applyFont="1" applyBorder="1" applyAlignment="1" applyProtection="1">
      <alignment horizontal="center" vertical="center"/>
      <protection hidden="1"/>
    </xf>
    <xf numFmtId="0" fontId="38" fillId="0" borderId="76" xfId="0" applyFont="1" applyBorder="1" applyProtection="1">
      <protection hidden="1"/>
    </xf>
    <xf numFmtId="9" fontId="24" fillId="0" borderId="0" xfId="0" applyNumberFormat="1" applyFont="1" applyAlignment="1" applyProtection="1">
      <alignment horizontal="left"/>
      <protection locked="0"/>
    </xf>
    <xf numFmtId="49" fontId="41" fillId="9" borderId="5" xfId="0" applyNumberFormat="1" applyFont="1" applyFill="1" applyBorder="1" applyAlignment="1" applyProtection="1">
      <alignment horizontal="left" vertical="center"/>
      <protection locked="0"/>
    </xf>
    <xf numFmtId="49" fontId="41" fillId="9" borderId="60" xfId="0" applyNumberFormat="1" applyFont="1" applyFill="1" applyBorder="1" applyAlignment="1" applyProtection="1">
      <alignment horizontal="center" vertical="center"/>
      <protection hidden="1"/>
    </xf>
    <xf numFmtId="49" fontId="38" fillId="10" borderId="80" xfId="0" applyNumberFormat="1" applyFont="1" applyFill="1" applyBorder="1" applyProtection="1">
      <protection locked="0"/>
    </xf>
    <xf numFmtId="49" fontId="38" fillId="10" borderId="86" xfId="0" applyNumberFormat="1" applyFont="1" applyFill="1" applyBorder="1" applyProtection="1">
      <protection locked="0"/>
    </xf>
    <xf numFmtId="49" fontId="38" fillId="10" borderId="91" xfId="0" applyNumberFormat="1" applyFont="1" applyFill="1" applyBorder="1" applyProtection="1">
      <protection locked="0"/>
    </xf>
    <xf numFmtId="49" fontId="38" fillId="6" borderId="84" xfId="0" applyNumberFormat="1" applyFont="1" applyFill="1" applyBorder="1" applyProtection="1">
      <protection hidden="1"/>
    </xf>
    <xf numFmtId="49" fontId="38" fillId="0" borderId="84" xfId="0" applyNumberFormat="1" applyFont="1" applyFill="1" applyBorder="1" applyProtection="1">
      <protection hidden="1"/>
    </xf>
    <xf numFmtId="0" fontId="31" fillId="0" borderId="0" xfId="0" applyFont="1"/>
    <xf numFmtId="0" fontId="44" fillId="0" borderId="0" xfId="0" applyFont="1"/>
    <xf numFmtId="0" fontId="44" fillId="0" borderId="0" xfId="0" applyFont="1" applyAlignment="1">
      <alignment wrapText="1"/>
    </xf>
    <xf numFmtId="0" fontId="45" fillId="0" borderId="0" xfId="0" applyFont="1" applyAlignment="1">
      <alignment wrapText="1"/>
    </xf>
    <xf numFmtId="0" fontId="46" fillId="0" borderId="0" xfId="0" applyFont="1"/>
    <xf numFmtId="0" fontId="47" fillId="0" borderId="0" xfId="0" applyFont="1"/>
    <xf numFmtId="0" fontId="17" fillId="0" borderId="18" xfId="0" applyFont="1" applyFill="1" applyBorder="1" applyAlignment="1">
      <alignment horizontal="left" textRotation="60" wrapText="1"/>
    </xf>
    <xf numFmtId="0" fontId="14" fillId="0" borderId="62" xfId="0" applyNumberFormat="1" applyFont="1" applyBorder="1"/>
    <xf numFmtId="0" fontId="6" fillId="0" borderId="95" xfId="0" applyFont="1" applyBorder="1" applyAlignment="1">
      <alignment horizontal="center" vertical="center" wrapText="1"/>
    </xf>
    <xf numFmtId="164" fontId="8" fillId="0" borderId="96" xfId="0" applyNumberFormat="1" applyFont="1" applyBorder="1" applyAlignment="1">
      <alignment horizontal="center" vertical="center"/>
    </xf>
    <xf numFmtId="0" fontId="9" fillId="0" borderId="7" xfId="0" applyNumberFormat="1" applyFont="1" applyFill="1" applyBorder="1" applyAlignment="1">
      <alignment horizontal="center"/>
    </xf>
    <xf numFmtId="0" fontId="4" fillId="2" borderId="29" xfId="0" applyNumberFormat="1" applyFont="1" applyFill="1" applyBorder="1" applyAlignment="1">
      <alignment horizontal="center" vertical="center" wrapText="1"/>
    </xf>
    <xf numFmtId="0" fontId="4" fillId="2" borderId="67" xfId="0" applyNumberFormat="1" applyFont="1" applyFill="1" applyBorder="1" applyAlignment="1">
      <alignment horizontal="center" vertical="center" wrapText="1"/>
    </xf>
    <xf numFmtId="0" fontId="10" fillId="0" borderId="4" xfId="0" applyNumberFormat="1" applyFont="1" applyFill="1" applyBorder="1" applyAlignment="1">
      <alignment horizontal="center" wrapText="1"/>
    </xf>
    <xf numFmtId="49" fontId="5" fillId="0" borderId="99" xfId="0" applyNumberFormat="1" applyFont="1" applyBorder="1" applyAlignment="1">
      <alignment vertical="center" wrapText="1"/>
    </xf>
    <xf numFmtId="49" fontId="5" fillId="0" borderId="98" xfId="0" applyNumberFormat="1" applyFont="1" applyBorder="1" applyAlignment="1">
      <alignment vertical="center" wrapText="1"/>
    </xf>
    <xf numFmtId="20" fontId="3" fillId="0" borderId="0" xfId="0" applyNumberFormat="1" applyFont="1" applyBorder="1" applyAlignment="1">
      <alignment horizontal="left"/>
    </xf>
    <xf numFmtId="14" fontId="16" fillId="0" borderId="0" xfId="0" applyNumberFormat="1" applyFont="1" applyBorder="1" applyAlignment="1" applyProtection="1">
      <alignment horizontal="left"/>
      <protection locked="0"/>
    </xf>
    <xf numFmtId="0" fontId="3" fillId="0" borderId="0" xfId="0" applyFont="1" applyBorder="1" applyAlignment="1">
      <alignment horizontal="left"/>
    </xf>
    <xf numFmtId="166" fontId="16" fillId="0" borderId="0" xfId="0" applyNumberFormat="1" applyFont="1" applyBorder="1" applyAlignment="1" applyProtection="1">
      <alignment horizontal="left"/>
      <protection locked="0"/>
    </xf>
    <xf numFmtId="0" fontId="46" fillId="0" borderId="0" xfId="0" applyFont="1" applyFill="1"/>
    <xf numFmtId="0" fontId="52" fillId="0" borderId="0" xfId="0" applyFont="1"/>
    <xf numFmtId="2" fontId="0" fillId="0" borderId="0" xfId="0" applyNumberFormat="1" applyAlignment="1">
      <alignment horizontal="right"/>
    </xf>
    <xf numFmtId="0" fontId="46" fillId="0" borderId="0" xfId="0" applyFont="1" applyProtection="1">
      <protection locked="0"/>
    </xf>
    <xf numFmtId="3" fontId="46" fillId="0" borderId="0" xfId="0" applyNumberFormat="1" applyFont="1" applyProtection="1">
      <protection locked="0"/>
    </xf>
    <xf numFmtId="0" fontId="3" fillId="0" borderId="0" xfId="0" applyFont="1" applyBorder="1" applyAlignment="1"/>
    <xf numFmtId="0" fontId="7" fillId="0" borderId="4" xfId="0" applyNumberFormat="1" applyFont="1" applyBorder="1" applyAlignment="1">
      <alignment horizontal="center"/>
    </xf>
    <xf numFmtId="0" fontId="11" fillId="0" borderId="15" xfId="0" applyFont="1" applyBorder="1"/>
    <xf numFmtId="0" fontId="11" fillId="0" borderId="90" xfId="0" applyFont="1" applyBorder="1"/>
    <xf numFmtId="49" fontId="3" fillId="0" borderId="27" xfId="0" applyNumberFormat="1" applyFont="1" applyBorder="1" applyProtection="1">
      <protection locked="0"/>
    </xf>
    <xf numFmtId="0" fontId="11" fillId="0" borderId="3" xfId="0" applyFont="1" applyBorder="1"/>
    <xf numFmtId="0" fontId="11" fillId="0" borderId="3" xfId="0" applyFont="1" applyBorder="1" applyAlignment="1"/>
    <xf numFmtId="0" fontId="18" fillId="0" borderId="10" xfId="0" applyNumberFormat="1" applyFont="1" applyBorder="1" applyProtection="1"/>
    <xf numFmtId="1" fontId="16" fillId="0" borderId="0" xfId="0" applyNumberFormat="1" applyFont="1" applyFill="1" applyBorder="1" applyAlignment="1" applyProtection="1">
      <alignment horizontal="left"/>
      <protection locked="0"/>
    </xf>
    <xf numFmtId="0" fontId="3" fillId="0" borderId="0" xfId="0" applyNumberFormat="1" applyFont="1" applyBorder="1" applyProtection="1"/>
    <xf numFmtId="49" fontId="3" fillId="0" borderId="101" xfId="0" applyNumberFormat="1" applyFont="1" applyBorder="1" applyProtection="1">
      <protection locked="0"/>
    </xf>
    <xf numFmtId="0" fontId="48" fillId="0" borderId="0" xfId="2" applyFont="1" applyAlignment="1" applyProtection="1">
      <protection hidden="1"/>
    </xf>
    <xf numFmtId="0" fontId="51" fillId="0" borderId="0" xfId="0" applyFont="1" applyProtection="1">
      <protection locked="0"/>
    </xf>
    <xf numFmtId="49" fontId="5" fillId="11" borderId="55" xfId="0" applyNumberFormat="1" applyFont="1" applyFill="1" applyBorder="1" applyAlignment="1" applyProtection="1">
      <alignment horizontal="center" vertical="center"/>
      <protection locked="0"/>
    </xf>
    <xf numFmtId="49" fontId="5" fillId="11" borderId="56" xfId="0" applyNumberFormat="1" applyFont="1" applyFill="1" applyBorder="1" applyAlignment="1" applyProtection="1">
      <alignment horizontal="center" vertical="center"/>
      <protection locked="0"/>
    </xf>
    <xf numFmtId="49" fontId="5" fillId="11" borderId="57" xfId="0" applyNumberFormat="1" applyFont="1" applyFill="1" applyBorder="1" applyAlignment="1" applyProtection="1">
      <alignment horizontal="center" vertical="center"/>
      <protection locked="0"/>
    </xf>
    <xf numFmtId="49" fontId="5" fillId="11" borderId="58" xfId="0" applyNumberFormat="1" applyFont="1" applyFill="1" applyBorder="1" applyAlignment="1" applyProtection="1">
      <alignment horizontal="center" vertical="center"/>
      <protection locked="0"/>
    </xf>
    <xf numFmtId="0" fontId="5" fillId="11" borderId="59" xfId="0" applyFont="1" applyFill="1" applyBorder="1" applyAlignment="1" applyProtection="1">
      <alignment horizontal="center" vertical="center"/>
      <protection locked="0"/>
    </xf>
    <xf numFmtId="0" fontId="0" fillId="0" borderId="0" xfId="0" applyFont="1" applyFill="1"/>
    <xf numFmtId="0" fontId="18" fillId="0" borderId="11" xfId="0" applyNumberFormat="1" applyFont="1" applyBorder="1" applyProtection="1"/>
    <xf numFmtId="49" fontId="16" fillId="0" borderId="0" xfId="0" applyNumberFormat="1" applyFont="1" applyBorder="1" applyAlignment="1" applyProtection="1">
      <protection locked="0"/>
    </xf>
    <xf numFmtId="0" fontId="3" fillId="0" borderId="0" xfId="0" applyFont="1" applyBorder="1" applyAlignment="1">
      <alignment horizontal="left" vertical="center"/>
    </xf>
    <xf numFmtId="0" fontId="0" fillId="0" borderId="0" xfId="0" applyNumberFormat="1"/>
    <xf numFmtId="0" fontId="3" fillId="0" borderId="0" xfId="0" applyFont="1" applyBorder="1" applyAlignment="1"/>
    <xf numFmtId="0" fontId="0" fillId="0" borderId="0" xfId="0" applyAlignment="1"/>
    <xf numFmtId="49" fontId="3" fillId="0" borderId="55" xfId="0" applyNumberFormat="1" applyFont="1" applyBorder="1" applyProtection="1">
      <protection locked="0"/>
    </xf>
    <xf numFmtId="49" fontId="3" fillId="0" borderId="95" xfId="0" applyNumberFormat="1" applyFont="1" applyBorder="1" applyProtection="1">
      <protection locked="0"/>
    </xf>
    <xf numFmtId="49" fontId="3" fillId="0" borderId="102" xfId="0" applyNumberFormat="1" applyFont="1" applyBorder="1" applyProtection="1">
      <protection locked="0"/>
    </xf>
    <xf numFmtId="49" fontId="3" fillId="0" borderId="42" xfId="0" applyNumberFormat="1" applyFont="1" applyBorder="1" applyProtection="1">
      <protection locked="0"/>
    </xf>
    <xf numFmtId="49" fontId="3" fillId="0" borderId="16" xfId="0" applyNumberFormat="1" applyFont="1" applyBorder="1" applyProtection="1">
      <protection locked="0"/>
    </xf>
    <xf numFmtId="0" fontId="8" fillId="0" borderId="19" xfId="0" applyNumberFormat="1" applyFont="1" applyBorder="1" applyAlignment="1">
      <alignment horizontal="center" vertical="center"/>
    </xf>
    <xf numFmtId="0" fontId="8" fillId="0" borderId="96" xfId="0" applyNumberFormat="1" applyFont="1" applyBorder="1" applyAlignment="1">
      <alignment horizontal="center" vertical="center"/>
    </xf>
    <xf numFmtId="0" fontId="6" fillId="0" borderId="20" xfId="0" applyNumberFormat="1" applyFont="1" applyBorder="1" applyAlignment="1">
      <alignment horizontal="center" vertical="center"/>
    </xf>
    <xf numFmtId="0" fontId="6" fillId="0" borderId="97" xfId="0" applyNumberFormat="1" applyFont="1" applyBorder="1" applyAlignment="1">
      <alignment horizontal="center" vertical="center"/>
    </xf>
    <xf numFmtId="0" fontId="4" fillId="2" borderId="16" xfId="0" applyNumberFormat="1" applyFont="1" applyFill="1" applyBorder="1" applyAlignment="1">
      <alignment horizontal="center" vertical="center"/>
    </xf>
    <xf numFmtId="0" fontId="4" fillId="2" borderId="95" xfId="0" applyNumberFormat="1" applyFont="1" applyFill="1" applyBorder="1" applyAlignment="1">
      <alignment horizontal="center" vertical="center"/>
    </xf>
    <xf numFmtId="164" fontId="4" fillId="2" borderId="6" xfId="0" applyNumberFormat="1" applyFont="1" applyFill="1" applyBorder="1" applyAlignment="1">
      <alignment horizontal="center" vertical="center"/>
    </xf>
    <xf numFmtId="0" fontId="44" fillId="0" borderId="0" xfId="0" applyFont="1" applyAlignment="1">
      <alignment horizontal="left" vertical="center" wrapText="1"/>
    </xf>
    <xf numFmtId="0" fontId="3" fillId="0" borderId="0" xfId="0" applyFont="1" applyBorder="1" applyAlignment="1" applyProtection="1">
      <protection locked="0"/>
    </xf>
    <xf numFmtId="0" fontId="14" fillId="0" borderId="0" xfId="0" applyNumberFormat="1" applyFont="1" applyAlignment="1" applyProtection="1">
      <alignment horizontal="left" vertical="top" wrapText="1"/>
      <protection locked="0"/>
    </xf>
    <xf numFmtId="49" fontId="4" fillId="0" borderId="0" xfId="0" applyNumberFormat="1" applyFont="1" applyBorder="1" applyAlignment="1" applyProtection="1">
      <protection locked="0"/>
    </xf>
    <xf numFmtId="49" fontId="4" fillId="0" borderId="0" xfId="0" applyNumberFormat="1" applyFont="1" applyBorder="1" applyAlignment="1" applyProtection="1">
      <alignment horizontal="left"/>
      <protection locked="0"/>
    </xf>
    <xf numFmtId="0" fontId="10" fillId="0" borderId="0" xfId="0" applyFont="1" applyBorder="1" applyAlignment="1">
      <alignment horizontal="left" shrinkToFit="1"/>
    </xf>
    <xf numFmtId="0" fontId="6" fillId="0" borderId="19" xfId="0" applyFont="1" applyBorder="1" applyAlignment="1">
      <alignment horizontal="center" vertical="center" wrapText="1"/>
    </xf>
    <xf numFmtId="0" fontId="6" fillId="0" borderId="13" xfId="0" applyFont="1" applyBorder="1" applyAlignment="1">
      <alignment horizontal="center" vertical="center" wrapText="1"/>
    </xf>
    <xf numFmtId="0" fontId="6" fillId="0" borderId="16" xfId="0" applyFont="1" applyBorder="1" applyAlignment="1">
      <alignment horizontal="center" vertical="center" wrapText="1"/>
    </xf>
    <xf numFmtId="0" fontId="6" fillId="0" borderId="12" xfId="0" applyFont="1" applyBorder="1" applyAlignment="1">
      <alignment horizontal="center" vertical="center" wrapText="1"/>
    </xf>
    <xf numFmtId="1" fontId="3" fillId="0" borderId="16" xfId="0" applyNumberFormat="1" applyFont="1" applyBorder="1" applyAlignment="1" applyProtection="1">
      <alignment vertical="center" wrapText="1"/>
    </xf>
    <xf numFmtId="1" fontId="3" fillId="0" borderId="12" xfId="0" applyNumberFormat="1" applyFont="1" applyBorder="1" applyAlignment="1" applyProtection="1">
      <alignment vertical="center" wrapText="1"/>
    </xf>
    <xf numFmtId="0" fontId="6" fillId="0" borderId="29" xfId="0" applyFont="1" applyBorder="1" applyAlignment="1">
      <alignment horizontal="center" vertical="center"/>
    </xf>
    <xf numFmtId="0" fontId="6" fillId="0" borderId="12" xfId="0" applyFont="1" applyBorder="1" applyAlignment="1">
      <alignment horizontal="center" vertical="center"/>
    </xf>
    <xf numFmtId="0" fontId="9" fillId="0" borderId="35" xfId="0" applyFont="1" applyBorder="1" applyAlignment="1">
      <alignment horizontal="center" vertical="center"/>
    </xf>
    <xf numFmtId="0" fontId="9" fillId="0" borderId="44" xfId="0" applyFont="1" applyBorder="1" applyAlignment="1">
      <alignment horizontal="center" vertical="center"/>
    </xf>
    <xf numFmtId="0" fontId="6" fillId="0" borderId="16" xfId="0" applyFont="1" applyBorder="1" applyAlignment="1">
      <alignment horizontal="center" vertical="center"/>
    </xf>
    <xf numFmtId="0" fontId="37" fillId="0" borderId="3" xfId="0" applyFont="1" applyBorder="1" applyAlignment="1">
      <alignment horizontal="center" vertical="center" wrapText="1"/>
    </xf>
    <xf numFmtId="0" fontId="11" fillId="0" borderId="0" xfId="0" applyFont="1" applyBorder="1" applyAlignment="1">
      <alignment vertical="center"/>
    </xf>
    <xf numFmtId="0" fontId="11" fillId="0" borderId="0" xfId="0" applyFont="1" applyBorder="1" applyAlignment="1">
      <alignment vertical="center" wrapText="1"/>
    </xf>
    <xf numFmtId="0" fontId="38" fillId="0" borderId="18" xfId="0" applyFont="1" applyBorder="1" applyAlignment="1" applyProtection="1">
      <alignment horizontal="center" vertical="center"/>
      <protection hidden="1"/>
    </xf>
    <xf numFmtId="0" fontId="38" fillId="0" borderId="75" xfId="0" applyFont="1" applyBorder="1" applyAlignment="1" applyProtection="1">
      <alignment horizontal="center" vertical="center"/>
      <protection hidden="1"/>
    </xf>
    <xf numFmtId="0" fontId="38" fillId="0" borderId="74" xfId="0" applyFont="1" applyBorder="1" applyAlignment="1" applyProtection="1">
      <alignment horizontal="center" vertical="center"/>
      <protection hidden="1"/>
    </xf>
    <xf numFmtId="0" fontId="42" fillId="0" borderId="16" xfId="0" applyFont="1" applyBorder="1" applyAlignment="1" applyProtection="1">
      <alignment horizontal="center" vertical="center"/>
      <protection hidden="1"/>
    </xf>
    <xf numFmtId="0" fontId="42" fillId="0" borderId="42" xfId="0" applyFont="1" applyBorder="1" applyAlignment="1" applyProtection="1">
      <alignment horizontal="center" vertical="center"/>
      <protection hidden="1"/>
    </xf>
    <xf numFmtId="0" fontId="42" fillId="0" borderId="12" xfId="0" applyFont="1" applyBorder="1" applyAlignment="1" applyProtection="1">
      <alignment horizontal="center" vertical="center"/>
      <protection hidden="1"/>
    </xf>
    <xf numFmtId="49" fontId="38" fillId="0" borderId="72" xfId="0" applyNumberFormat="1" applyFont="1" applyFill="1" applyBorder="1" applyAlignment="1" applyProtection="1">
      <alignment horizontal="center"/>
      <protection locked="0"/>
    </xf>
    <xf numFmtId="49" fontId="38" fillId="0" borderId="66" xfId="0" applyNumberFormat="1" applyFont="1" applyFill="1" applyBorder="1" applyAlignment="1" applyProtection="1">
      <alignment horizontal="center"/>
      <protection locked="0"/>
    </xf>
    <xf numFmtId="0" fontId="38" fillId="8" borderId="72" xfId="0" applyFont="1" applyFill="1" applyBorder="1" applyAlignment="1" applyProtection="1">
      <alignment horizontal="right"/>
      <protection locked="0"/>
    </xf>
    <xf numFmtId="0" fontId="38" fillId="8" borderId="66" xfId="0" applyFont="1" applyFill="1" applyBorder="1" applyAlignment="1" applyProtection="1">
      <alignment horizontal="right"/>
      <protection locked="0"/>
    </xf>
    <xf numFmtId="0" fontId="38" fillId="8" borderId="67" xfId="0" applyFont="1" applyFill="1" applyBorder="1" applyAlignment="1" applyProtection="1">
      <alignment horizontal="right"/>
      <protection locked="0"/>
    </xf>
    <xf numFmtId="0" fontId="38" fillId="6" borderId="21" xfId="0" applyFont="1" applyFill="1" applyBorder="1" applyAlignment="1" applyProtection="1">
      <alignment vertical="center"/>
      <protection hidden="1"/>
    </xf>
    <xf numFmtId="0" fontId="0" fillId="6" borderId="32" xfId="0" applyFill="1" applyBorder="1" applyAlignment="1" applyProtection="1">
      <alignment vertical="center"/>
      <protection hidden="1"/>
    </xf>
    <xf numFmtId="0" fontId="0" fillId="6" borderId="33" xfId="0" applyFill="1" applyBorder="1" applyAlignment="1" applyProtection="1">
      <alignment vertical="center"/>
      <protection hidden="1"/>
    </xf>
    <xf numFmtId="0" fontId="42" fillId="0" borderId="75" xfId="0" applyFont="1" applyBorder="1" applyAlignment="1" applyProtection="1">
      <alignment horizontal="center" vertical="center"/>
      <protection hidden="1"/>
    </xf>
    <xf numFmtId="0" fontId="31" fillId="0" borderId="76" xfId="0" applyFont="1" applyBorder="1" applyAlignment="1" applyProtection="1">
      <alignment horizontal="center" vertical="center"/>
      <protection hidden="1"/>
    </xf>
    <xf numFmtId="0" fontId="31" fillId="0" borderId="77" xfId="0" applyFont="1" applyBorder="1" applyAlignment="1" applyProtection="1">
      <alignment horizontal="center" vertical="center"/>
      <protection hidden="1"/>
    </xf>
    <xf numFmtId="0" fontId="38" fillId="8" borderId="69" xfId="0" applyFont="1" applyFill="1" applyBorder="1" applyAlignment="1" applyProtection="1">
      <alignment horizontal="right"/>
      <protection locked="0"/>
    </xf>
    <xf numFmtId="0" fontId="38" fillId="8" borderId="64" xfId="0" applyFont="1" applyFill="1" applyBorder="1" applyAlignment="1" applyProtection="1">
      <alignment horizontal="right"/>
      <protection locked="0"/>
    </xf>
    <xf numFmtId="0" fontId="38" fillId="8" borderId="65" xfId="0" applyFont="1" applyFill="1" applyBorder="1" applyAlignment="1" applyProtection="1">
      <alignment horizontal="right"/>
      <protection locked="0"/>
    </xf>
    <xf numFmtId="0" fontId="38" fillId="7" borderId="69" xfId="0" applyFont="1" applyFill="1" applyBorder="1" applyAlignment="1" applyProtection="1">
      <alignment horizontal="right"/>
      <protection locked="0"/>
    </xf>
    <xf numFmtId="0" fontId="38" fillId="7" borderId="64" xfId="0" applyFont="1" applyFill="1" applyBorder="1" applyAlignment="1" applyProtection="1">
      <alignment horizontal="right"/>
      <protection locked="0"/>
    </xf>
    <xf numFmtId="0" fontId="38" fillId="7" borderId="65" xfId="0" applyFont="1" applyFill="1" applyBorder="1" applyAlignment="1" applyProtection="1">
      <alignment horizontal="right"/>
      <protection locked="0"/>
    </xf>
    <xf numFmtId="9" fontId="38" fillId="8" borderId="69" xfId="0" applyNumberFormat="1" applyFont="1" applyFill="1" applyBorder="1" applyAlignment="1" applyProtection="1">
      <alignment horizontal="right"/>
      <protection locked="0"/>
    </xf>
    <xf numFmtId="9" fontId="38" fillId="8" borderId="64" xfId="0" applyNumberFormat="1" applyFont="1" applyFill="1" applyBorder="1" applyAlignment="1" applyProtection="1">
      <alignment horizontal="right"/>
      <protection locked="0"/>
    </xf>
    <xf numFmtId="9" fontId="38" fillId="8" borderId="65" xfId="0" applyNumberFormat="1" applyFont="1" applyFill="1" applyBorder="1" applyAlignment="1" applyProtection="1">
      <alignment horizontal="right"/>
      <protection locked="0"/>
    </xf>
    <xf numFmtId="0" fontId="38" fillId="7" borderId="58" xfId="0" applyFont="1" applyFill="1" applyBorder="1" applyAlignment="1" applyProtection="1">
      <alignment horizontal="right"/>
      <protection locked="0"/>
    </xf>
    <xf numFmtId="0" fontId="38" fillId="7" borderId="68" xfId="0" applyFont="1" applyFill="1" applyBorder="1" applyAlignment="1" applyProtection="1">
      <alignment horizontal="right"/>
      <protection locked="0"/>
    </xf>
    <xf numFmtId="0" fontId="38" fillId="7" borderId="57" xfId="0" applyFont="1" applyFill="1" applyBorder="1" applyAlignment="1" applyProtection="1">
      <alignment horizontal="right"/>
      <protection locked="0"/>
    </xf>
    <xf numFmtId="14" fontId="38" fillId="7" borderId="69" xfId="0" applyNumberFormat="1" applyFont="1" applyFill="1" applyBorder="1" applyAlignment="1" applyProtection="1">
      <alignment horizontal="right"/>
      <protection locked="0"/>
    </xf>
    <xf numFmtId="14" fontId="38" fillId="7" borderId="64" xfId="0" applyNumberFormat="1" applyFont="1" applyFill="1" applyBorder="1" applyAlignment="1" applyProtection="1">
      <alignment horizontal="right"/>
      <protection locked="0"/>
    </xf>
    <xf numFmtId="14" fontId="38" fillId="7" borderId="65" xfId="0" applyNumberFormat="1" applyFont="1" applyFill="1" applyBorder="1" applyAlignment="1" applyProtection="1">
      <alignment horizontal="right"/>
      <protection locked="0"/>
    </xf>
    <xf numFmtId="0" fontId="38" fillId="7" borderId="69" xfId="0" applyFont="1" applyFill="1" applyBorder="1" applyAlignment="1" applyProtection="1">
      <alignment horizontal="right"/>
    </xf>
    <xf numFmtId="0" fontId="38" fillId="7" borderId="64" xfId="0" applyFont="1" applyFill="1" applyBorder="1" applyAlignment="1" applyProtection="1">
      <alignment horizontal="right"/>
    </xf>
    <xf numFmtId="0" fontId="38" fillId="7" borderId="65" xfId="0" applyFont="1" applyFill="1" applyBorder="1" applyAlignment="1" applyProtection="1">
      <alignment horizontal="right"/>
    </xf>
    <xf numFmtId="0" fontId="0" fillId="7" borderId="64" xfId="0" applyFill="1" applyBorder="1" applyAlignment="1" applyProtection="1">
      <alignment horizontal="right"/>
      <protection locked="0"/>
    </xf>
    <xf numFmtId="0" fontId="0" fillId="7" borderId="65" xfId="0" applyFill="1" applyBorder="1" applyAlignment="1" applyProtection="1">
      <alignment horizontal="right"/>
      <protection locked="0"/>
    </xf>
    <xf numFmtId="0" fontId="12" fillId="0" borderId="0" xfId="0" applyFont="1" applyBorder="1" applyAlignment="1">
      <alignment horizontal="left"/>
    </xf>
    <xf numFmtId="0" fontId="0" fillId="0" borderId="0" xfId="0" applyAlignment="1"/>
    <xf numFmtId="0" fontId="3" fillId="0" borderId="0" xfId="0" applyFont="1" applyBorder="1" applyAlignment="1"/>
    <xf numFmtId="0" fontId="3" fillId="4" borderId="47" xfId="0" applyNumberFormat="1" applyFont="1" applyFill="1" applyBorder="1" applyAlignment="1">
      <alignment horizontal="center"/>
    </xf>
    <xf numFmtId="0" fontId="3" fillId="4" borderId="7" xfId="0" applyNumberFormat="1" applyFont="1" applyFill="1" applyBorder="1" applyAlignment="1">
      <alignment horizontal="center"/>
    </xf>
    <xf numFmtId="0" fontId="3" fillId="4" borderId="5" xfId="0" applyNumberFormat="1" applyFont="1" applyFill="1" applyBorder="1" applyAlignment="1">
      <alignment horizontal="center"/>
    </xf>
    <xf numFmtId="0" fontId="3" fillId="4" borderId="100" xfId="0" applyNumberFormat="1" applyFont="1" applyFill="1" applyBorder="1" applyAlignment="1">
      <alignment horizontal="center"/>
    </xf>
  </cellXfs>
  <cellStyles count="3">
    <cellStyle name="Comma" xfId="1" builtinId="3"/>
    <cellStyle name="Hyperlink" xfId="2" builtinId="8"/>
    <cellStyle name="Normal" xfId="0" builtinId="0"/>
  </cellStyles>
  <dxfs count="19">
    <dxf>
      <font>
        <b/>
        <i val="0"/>
        <strike val="0"/>
        <condense val="0"/>
        <extend val="0"/>
        <outline val="0"/>
        <shadow val="0"/>
        <u val="none"/>
        <vertAlign val="baseline"/>
        <sz val="18"/>
        <color auto="1"/>
        <name val="Calibri"/>
        <scheme val="none"/>
      </font>
      <numFmt numFmtId="0" formatCode="General"/>
      <fill>
        <patternFill patternType="solid">
          <fgColor indexed="64"/>
          <bgColor indexed="9"/>
        </patternFill>
      </fill>
      <alignment horizontal="center" vertical="center" textRotation="0" wrapText="1" indent="0" justifyLastLine="0" shrinkToFit="0" readingOrder="0"/>
      <border diagonalUp="0" diagonalDown="0">
        <left/>
        <right/>
        <top style="medium">
          <color auto="1"/>
        </top>
        <bottom style="medium">
          <color auto="1"/>
        </bottom>
        <vertical/>
        <horizontal style="medium">
          <color auto="1"/>
        </horizontal>
      </border>
    </dxf>
    <dxf>
      <font>
        <b/>
        <i val="0"/>
        <strike val="0"/>
        <condense val="0"/>
        <extend val="0"/>
        <outline val="0"/>
        <shadow val="0"/>
        <u val="none"/>
        <vertAlign val="baseline"/>
        <sz val="18"/>
        <color auto="1"/>
        <name val="Calibri"/>
        <scheme val="none"/>
      </font>
      <numFmt numFmtId="0" formatCode="General"/>
      <fill>
        <patternFill patternType="solid">
          <fgColor indexed="64"/>
          <bgColor indexed="9"/>
        </patternFill>
      </fill>
      <alignment horizontal="center" vertical="center" textRotation="0" wrapText="0" indent="0" justifyLastLine="0" shrinkToFit="0" readingOrder="0"/>
      <border diagonalUp="0" diagonalDown="0">
        <left style="medium">
          <color indexed="64"/>
        </left>
        <right style="medium">
          <color indexed="64"/>
        </right>
        <top style="medium">
          <color auto="1"/>
        </top>
        <bottom style="medium">
          <color auto="1"/>
        </bottom>
        <vertical/>
        <horizontal style="medium">
          <color auto="1"/>
        </horizontal>
      </border>
    </dxf>
    <dxf>
      <font>
        <b val="0"/>
        <i val="0"/>
        <strike val="0"/>
        <condense val="0"/>
        <extend val="0"/>
        <outline val="0"/>
        <shadow val="0"/>
        <u val="none"/>
        <vertAlign val="baseline"/>
        <sz val="16"/>
        <color auto="1"/>
        <name val="Calibri"/>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medium">
          <color auto="1"/>
        </top>
        <bottom style="medium">
          <color auto="1"/>
        </bottom>
        <vertical/>
        <horizontal style="medium">
          <color auto="1"/>
        </horizontal>
      </border>
    </dxf>
    <dxf>
      <font>
        <b val="0"/>
        <i val="0"/>
        <strike val="0"/>
        <condense val="0"/>
        <extend val="0"/>
        <outline val="0"/>
        <shadow val="0"/>
        <u val="none"/>
        <vertAlign val="baseline"/>
        <sz val="16"/>
        <color auto="1"/>
        <name val="Calibri"/>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medium">
          <color auto="1"/>
        </top>
        <bottom style="medium">
          <color auto="1"/>
        </bottom>
        <vertical/>
        <horizontal style="medium">
          <color auto="1"/>
        </horizontal>
      </border>
    </dxf>
    <dxf>
      <font>
        <b val="0"/>
        <i val="0"/>
        <strike val="0"/>
        <condense val="0"/>
        <extend val="0"/>
        <outline val="0"/>
        <shadow val="0"/>
        <u val="none"/>
        <vertAlign val="baseline"/>
        <sz val="16"/>
        <color auto="1"/>
        <name val="Calibri"/>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medium">
          <color auto="1"/>
        </top>
        <bottom style="medium">
          <color auto="1"/>
        </bottom>
        <vertical/>
        <horizontal style="medium">
          <color auto="1"/>
        </horizontal>
      </border>
    </dxf>
    <dxf>
      <font>
        <b val="0"/>
        <i val="0"/>
        <strike val="0"/>
        <condense val="0"/>
        <extend val="0"/>
        <outline val="0"/>
        <shadow val="0"/>
        <u val="none"/>
        <vertAlign val="baseline"/>
        <sz val="14"/>
        <color auto="1"/>
        <name val="Calibri"/>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medium">
          <color auto="1"/>
        </top>
        <bottom style="medium">
          <color auto="1"/>
        </bottom>
        <vertical/>
        <horizontal style="medium">
          <color auto="1"/>
        </horizontal>
      </border>
    </dxf>
    <dxf>
      <font>
        <b val="0"/>
        <i val="0"/>
        <strike val="0"/>
        <condense val="0"/>
        <extend val="0"/>
        <outline val="0"/>
        <shadow val="0"/>
        <u val="none"/>
        <vertAlign val="baseline"/>
        <sz val="14"/>
        <color auto="1"/>
        <name val="Calibri"/>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vertical/>
        <horizontal/>
      </border>
    </dxf>
    <dxf>
      <font>
        <b val="0"/>
        <i val="0"/>
        <strike val="0"/>
        <condense val="0"/>
        <extend val="0"/>
        <outline val="0"/>
        <shadow val="0"/>
        <u val="none"/>
        <vertAlign val="baseline"/>
        <sz val="14"/>
        <color auto="1"/>
        <name val="Calibri"/>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right/>
        <top style="medium">
          <color auto="1"/>
        </top>
        <bottom style="medium">
          <color auto="1"/>
        </bottom>
        <vertical/>
        <horizontal style="medium">
          <color auto="1"/>
        </horizontal>
      </border>
    </dxf>
    <dxf>
      <font>
        <b val="0"/>
        <i val="0"/>
        <strike val="0"/>
        <condense val="0"/>
        <extend val="0"/>
        <outline val="0"/>
        <shadow val="0"/>
        <u val="none"/>
        <vertAlign val="baseline"/>
        <sz val="14"/>
        <color auto="1"/>
        <name val="Calibri"/>
        <scheme val="none"/>
      </font>
      <numFmt numFmtId="164" formatCode="0.0"/>
      <fill>
        <patternFill patternType="none">
          <fgColor indexed="64"/>
          <bgColor indexed="65"/>
        </patternFill>
      </fill>
      <alignment horizontal="center" vertical="center" textRotation="0" wrapText="0" indent="0" justifyLastLine="0" shrinkToFit="0" readingOrder="0"/>
      <border diagonalUp="0" diagonalDown="0">
        <left/>
        <right/>
        <top style="medium">
          <color auto="1"/>
        </top>
        <bottom style="medium">
          <color auto="1"/>
        </bottom>
        <vertical/>
        <horizontal style="medium">
          <color auto="1"/>
        </horizontal>
      </border>
    </dxf>
    <dxf>
      <font>
        <b val="0"/>
        <i val="0"/>
        <strike val="0"/>
        <condense val="0"/>
        <extend val="0"/>
        <outline val="0"/>
        <shadow val="0"/>
        <u val="none"/>
        <vertAlign val="baseline"/>
        <sz val="14"/>
        <color auto="1"/>
        <name val="Calibri"/>
        <scheme val="none"/>
      </font>
      <numFmt numFmtId="164" formatCode="0.0"/>
      <fill>
        <patternFill patternType="none">
          <fgColor indexed="64"/>
          <bgColor indexed="65"/>
        </patternFill>
      </fill>
      <alignment horizontal="center" vertical="center" textRotation="0" wrapText="0" indent="0" justifyLastLine="0" shrinkToFit="0" readingOrder="0"/>
      <border diagonalUp="0" diagonalDown="0">
        <left/>
        <right/>
        <top style="medium">
          <color auto="1"/>
        </top>
        <bottom style="medium">
          <color auto="1"/>
        </bottom>
        <vertical/>
        <horizontal style="medium">
          <color auto="1"/>
        </horizontal>
      </border>
    </dxf>
    <dxf>
      <font>
        <b val="0"/>
        <i val="0"/>
        <strike val="0"/>
        <condense val="0"/>
        <extend val="0"/>
        <outline val="0"/>
        <shadow val="0"/>
        <u val="none"/>
        <vertAlign val="baseline"/>
        <sz val="14"/>
        <color auto="1"/>
        <name val="Calibri"/>
        <scheme val="none"/>
      </font>
      <numFmt numFmtId="164" formatCode="0.0"/>
      <fill>
        <patternFill patternType="none">
          <fgColor indexed="64"/>
          <bgColor indexed="65"/>
        </patternFill>
      </fill>
      <alignment horizontal="center" vertical="center" textRotation="0" wrapText="0" indent="0" justifyLastLine="0" shrinkToFit="0" readingOrder="0"/>
      <border diagonalUp="0" diagonalDown="0">
        <left/>
        <right/>
        <top style="medium">
          <color auto="1"/>
        </top>
        <bottom style="medium">
          <color auto="1"/>
        </bottom>
        <vertical/>
        <horizontal style="medium">
          <color auto="1"/>
        </horizontal>
      </border>
    </dxf>
    <dxf>
      <font>
        <b val="0"/>
        <i val="0"/>
        <strike val="0"/>
        <condense val="0"/>
        <extend val="0"/>
        <outline val="0"/>
        <shadow val="0"/>
        <u val="none"/>
        <vertAlign val="baseline"/>
        <sz val="14"/>
        <color auto="1"/>
        <name val="Calibri"/>
        <scheme val="none"/>
      </font>
      <numFmt numFmtId="164" formatCode="0.0"/>
      <fill>
        <patternFill patternType="none">
          <fgColor indexed="64"/>
          <bgColor indexed="65"/>
        </patternFill>
      </fill>
      <alignment horizontal="center" vertical="center" textRotation="0" wrapText="0" indent="0" justifyLastLine="0" shrinkToFit="0" readingOrder="0"/>
      <border diagonalUp="0" diagonalDown="0">
        <left/>
        <right/>
        <top style="medium">
          <color auto="1"/>
        </top>
        <bottom style="medium">
          <color auto="1"/>
        </bottom>
        <vertical/>
        <horizontal style="medium">
          <color auto="1"/>
        </horizontal>
      </border>
    </dxf>
    <dxf>
      <font>
        <b val="0"/>
        <i val="0"/>
        <strike val="0"/>
        <condense val="0"/>
        <extend val="0"/>
        <outline val="0"/>
        <shadow val="0"/>
        <u val="none"/>
        <vertAlign val="baseline"/>
        <sz val="14"/>
        <color auto="1"/>
        <name val="Calibri"/>
        <scheme val="none"/>
      </font>
      <numFmt numFmtId="164" formatCode="0.0"/>
      <fill>
        <patternFill patternType="none">
          <fgColor indexed="64"/>
          <bgColor indexed="65"/>
        </patternFill>
      </fill>
      <alignment horizontal="center" vertical="center" textRotation="0" wrapText="0" indent="0" justifyLastLine="0" shrinkToFit="0" readingOrder="0"/>
      <border diagonalUp="0" diagonalDown="0">
        <left/>
        <right/>
        <top style="medium">
          <color auto="1"/>
        </top>
        <bottom style="medium">
          <color auto="1"/>
        </bottom>
        <vertical/>
        <horizontal style="medium">
          <color auto="1"/>
        </horizontal>
      </border>
    </dxf>
    <dxf>
      <font>
        <b val="0"/>
        <i val="0"/>
        <strike val="0"/>
        <condense val="0"/>
        <extend val="0"/>
        <outline val="0"/>
        <shadow val="0"/>
        <u val="none"/>
        <vertAlign val="baseline"/>
        <sz val="14"/>
        <color auto="1"/>
        <name val="Calibri"/>
        <scheme val="none"/>
      </font>
      <numFmt numFmtId="164" formatCode="0.0"/>
      <fill>
        <patternFill patternType="none">
          <fgColor indexed="64"/>
          <bgColor indexed="65"/>
        </patternFill>
      </fill>
      <alignment horizontal="center" vertical="center" textRotation="0" wrapText="0" indent="0" justifyLastLine="0" shrinkToFit="0" readingOrder="0"/>
      <border diagonalUp="0" diagonalDown="0">
        <left/>
        <right/>
        <top style="medium">
          <color auto="1"/>
        </top>
        <bottom style="medium">
          <color auto="1"/>
        </bottom>
        <vertical/>
        <horizontal style="medium">
          <color auto="1"/>
        </horizontal>
      </border>
    </dxf>
    <dxf>
      <font>
        <b val="0"/>
        <i val="0"/>
        <strike val="0"/>
        <condense val="0"/>
        <extend val="0"/>
        <outline val="0"/>
        <shadow val="0"/>
        <u val="none"/>
        <vertAlign val="baseline"/>
        <sz val="12"/>
        <color auto="1"/>
        <name val="Calibri"/>
        <scheme val="none"/>
      </font>
      <numFmt numFmtId="30" formatCode="@"/>
      <alignment horizontal="general" vertical="center" textRotation="0" wrapText="1" indent="0" justifyLastLine="0" shrinkToFit="0" readingOrder="0"/>
      <border diagonalUp="0" diagonalDown="0">
        <left style="medium">
          <color indexed="64"/>
        </left>
        <right style="medium">
          <color indexed="64"/>
        </right>
        <top style="hair">
          <color indexed="64"/>
        </top>
        <bottom style="hair">
          <color indexed="64"/>
        </bottom>
        <vertical/>
        <horizontal/>
      </border>
    </dxf>
    <dxf>
      <font>
        <b val="0"/>
        <i val="0"/>
        <strike val="0"/>
        <condense val="0"/>
        <extend val="0"/>
        <outline val="0"/>
        <shadow val="0"/>
        <u val="none"/>
        <vertAlign val="baseline"/>
        <sz val="12"/>
        <color auto="1"/>
        <name val="Calibri"/>
        <scheme val="none"/>
      </font>
      <numFmt numFmtId="30" formatCode="@"/>
      <fill>
        <patternFill patternType="none">
          <fgColor indexed="64"/>
          <bgColor indexed="65"/>
        </patternFill>
      </fill>
      <alignment horizontal="general" vertical="center" textRotation="0" wrapText="1" indent="0" justifyLastLine="0" shrinkToFit="0" readingOrder="0"/>
      <border diagonalUp="0" diagonalDown="0">
        <left style="medium">
          <color indexed="64"/>
        </left>
        <right style="medium">
          <color indexed="64"/>
        </right>
        <top style="hair">
          <color indexed="64"/>
        </top>
        <bottom style="hair">
          <color indexed="64"/>
        </bottom>
        <vertical/>
        <horizontal/>
      </border>
    </dxf>
    <dxf>
      <font>
        <b val="0"/>
        <i val="0"/>
        <strike val="0"/>
        <condense val="0"/>
        <extend val="0"/>
        <outline val="0"/>
        <shadow val="0"/>
        <u val="none"/>
        <vertAlign val="baseline"/>
        <sz val="12"/>
        <color auto="1"/>
        <name val="Calibri"/>
        <scheme val="none"/>
      </font>
      <numFmt numFmtId="30" formatCode="@"/>
      <fill>
        <patternFill patternType="none">
          <fgColor indexed="64"/>
          <bgColor indexed="65"/>
        </patternFill>
      </fill>
      <alignment horizontal="general" vertical="center" textRotation="0" wrapText="1" indent="0" justifyLastLine="0" shrinkToFit="0" readingOrder="0"/>
      <border diagonalUp="0" diagonalDown="0">
        <left style="medium">
          <color indexed="64"/>
        </left>
        <right style="medium">
          <color indexed="64"/>
        </right>
        <top style="hair">
          <color indexed="64"/>
        </top>
        <bottom style="hair">
          <color indexed="64"/>
        </bottom>
        <vertical/>
        <horizontal/>
      </border>
    </dxf>
    <dxf>
      <font>
        <b val="0"/>
        <i val="0"/>
        <strike val="0"/>
        <condense val="0"/>
        <extend val="0"/>
        <outline val="0"/>
        <shadow val="0"/>
        <u val="none"/>
        <vertAlign val="baseline"/>
        <sz val="16"/>
        <color auto="1"/>
        <name val="Calibri"/>
        <scheme val="none"/>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indexed="8"/>
        <name val="Calibri"/>
        <scheme val="none"/>
      </font>
      <numFmt numFmtId="0" formatCode="Genera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2='http://freestyledisc.org/FPAScoresheets.xsd'">
  <Schema ID="Schema4" Namespace="http://freestyledisc.org/FPAScoresheets.xsd">
    <xs:schema xmlns="http://freestyledisc.org/FPAScoresheets.xsd" xmlns:mstns="http://freestyledisc.org/FPAScoresheets.xsd" xmlns:xs="http://www.w3.org/2001/XMLSchema" id="FPAScoresheets" targetNamespace="http://freestyledisc.org/FPAScoresheets.xsd" elementFormDefault="qualified">
      <xs:element name="ScoreSheet" type="ScoreSheet"/>
      <!--<xs:element name="ResultSet">
        <xs:complexType>
            <xs:sequence>
                <xs:element name="Result" type="Result" minOccurs="0" maxOccurs="100"/>
            </xs:sequence>
            <xs:attribute name="totalResultsAvailable" type="xs:integer"/>
            <xs:attribute name="totalResultsReturned" type="xs:integer"/>
            <xs:attribute name="firstResultPosition" type="xs:integer"/>
        </xs:complexType>       
    </xs:element>-->
      <xs:complexType name="ScoreSheet">
        <xs:sequence>
          <xs:element name="RoundSettings" type="RoundSettings"/>
          <xs:element name="Judges" type="Judges"/>
          <xs:element name="Players" type="Players"/>
          <xs:element name="Ex1" type="Ex1"/>
          <xs:element name="Ex2" type="Ex2"/>
          <xs:element name="Ex3" type="Ex3"/>
          <xs:element name="Ai1" type="Ai1"/>
          <xs:element name="Ai2" type="Ai2"/>
          <xs:element name="Ai3" type="Ai3"/>
          <xs:element name="Diff1" type="Diff1"/>
          <xs:element name="Diff2" type="Diff2"/>
          <xs:element name="Diff3" type="Diff3"/>
          <xs:sequence>
            <xs:element name="Result" type="Result" minOccurs="0" maxOccurs="100"/>
          </xs:sequence>
        </xs:sequence>
      </xs:complexType>
      <xs:complexType name="RoundSettings">
        <xs:sequence>
          <xs:element name="EventTitle" type="xs:string"/>
          <xs:element name="EventSubtitle" type="xs:string"/>
          <xs:element name="Division" type="xs:string"/>
          <xs:element name="Round" type="xs:string"/>
          <xs:element name="Pool" type="xs:string"/>
          <xs:element name="Date" type="xs:date"/>
          <xs:element name="Time" type="xs:dateTime"/>
          <xs:element name="Pool" type="xs:string"/>
          <xs:element name="HeadJudge" type="xs:string"/>
          <xs:element name="Minutes" type="xs:double"/>
          <xs:element name="NumberOfJudgesForCategory" type="xs:int"/>
        </xs:sequence>
      </xs:complexType>
      <xs:complexType name="Judges">
        <xs:sequence>
          <xs:element name="Ex1" type="xs:string"/>
          <xs:element name="Ex2" type="xs:string"/>
          <xs:element name="Ex3" type="xs:string"/>
          <xs:element name="Ai1" type="xs:string"/>
          <xs:element name="Ai2" type="xs:string"/>
          <xs:element name="Ai3" type="xs:string"/>
          <xs:element name="Diff1" type="xs:string"/>
          <xs:element name="Diff2" type="xs:string"/>
          <xs:element name="Diff3" type="xs:string"/>
        </xs:sequence>
      </xs:complexType>
      <xs:complexType name="Players">
        <xs:sequence>
          <xs:element name="Team1Player1" type="xs:string"/>
          <xs:element name="Team1Player2" type="xs:string"/>
          <xs:element name="Team1Player3" type="xs:string"/>
          <xs:element name="Team2Player1" type="xs:string"/>
          <xs:element name="Team2Player2" type="xs:string"/>
          <xs:element name="Team2Player3" type="xs:string"/>
          <xs:element name="Team3Player1" type="xs:string"/>
          <xs:element name="Team3Player2" type="xs:string"/>
          <xs:element name="Team3Player3" type="xs:string"/>
          <xs:element name="Team4Player1" type="xs:string"/>
          <xs:element name="Team4Player2" type="xs:string"/>
          <xs:element name="Team4Player3" type="xs:string"/>
          <xs:element name="Team5Player1" type="xs:string"/>
          <xs:element name="Team5Player2" type="xs:string"/>
          <xs:element name="Team5Player3" type="xs:string"/>
          <xs:element name="Team6Player1" type="xs:string"/>
          <xs:element name="Team6Player2" type="xs:string"/>
          <xs:element name="Team6Player3" type="xs:string"/>
          <xs:element name="Team7Player1" type="xs:string"/>
          <xs:element name="Team7Player2" type="xs:string"/>
          <xs:element name="Team7Player3" type="xs:string"/>
          <xs:element name="Team8Player1" type="xs:string"/>
          <xs:element name="Team8Player2" type="xs:string"/>
          <xs:element name="Team8Player3" type="xs:string"/>
          <xs:element name="Team9Player1" type="xs:string"/>
          <xs:element name="Team9Player2" type="xs:string"/>
          <xs:element name="Team9Player3" type="xs:string"/>
          <xs:element name="Team10Player1" type="xs:string"/>
          <xs:element name="Team10Player2" type="xs:string"/>
          <xs:element name="Team10Player3" type="xs:string"/>
        </xs:sequence>
      </xs:complexType>
      <xs:complexType name="Ex1">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Ex2">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Ex3">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Ai1">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Ai2">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Ai3">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Diff1">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Diff2">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Diff3">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Result">
        <xs:sequence>
          <xs:element name="Player1" type="xs:string"/>
          <xs:element name="Player2" type="xs:string"/>
          <xs:element name="Player3" type="xs:string"/>
          <xs:element name="Ex1" type="xs:double"/>
          <xs:element name="Ex2" type="xs:double"/>
          <xs:element name="Ex3" type="xs:double"/>
          <xs:element name="Ai1" type="xs:double"/>
          <xs:element name="Ai2" type="xs:double"/>
          <xs:element name="Ai3" type="xs:double"/>
          <xs:element name="Diff1" type="xs:double"/>
          <xs:element name="Diff2" type="xs:double"/>
          <xs:element name="Diff3" type="xs:double"/>
          <xs:element name="ExTotal" type="xs:double"/>
          <xs:element name="AiTotal" type="xs:double"/>
          <xs:element name="DiffTotal" type="xs:double"/>
          <xs:element name="Total" type="xs:double"/>
          <xs:element name="Rank" type="xs:int"/>
        </xs:sequence>
      </xs:complexType>
    </xs:schema>
  </Schema>
  <Map ID="4" Name="ScoreSheet" RootElement="ScoreSheet" SchemaID="Schema4" ShowImportExportValidationErrors="false" AutoFit="true" Append="false" PreserveSortAFLayout="fals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openxmlformats.org/officeDocument/2006/relationships/xmlMaps" Target="xmlMap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autoTitleDeleted val="0"/>
    <c:plotArea>
      <c:layout/>
      <c:barChart>
        <c:barDir val="bar"/>
        <c:grouping val="stacked"/>
        <c:varyColors val="0"/>
        <c:ser>
          <c:idx val="6"/>
          <c:order val="0"/>
          <c:tx>
            <c:v>Execution</c:v>
          </c:tx>
          <c:spPr>
            <a:solidFill>
              <a:srgbClr val="FFFF99"/>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Results!$S$6:$S$13</c:f>
            </c:numRef>
          </c:val>
          <c:extLst>
            <c:ext xmlns:c16="http://schemas.microsoft.com/office/drawing/2014/chart" uri="{C3380CC4-5D6E-409C-BE32-E72D297353CC}">
              <c16:uniqueId val="{00000000-B352-47F8-B0B8-AC42EDBA5A7D}"/>
            </c:ext>
          </c:extLst>
        </c:ser>
        <c:ser>
          <c:idx val="0"/>
          <c:order val="1"/>
          <c:tx>
            <c:v>Artistic Impression</c:v>
          </c:tx>
          <c:spPr>
            <a:solidFill>
              <a:srgbClr val="92D050"/>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Results!$T$6:$T$13</c:f>
            </c:numRef>
          </c:val>
          <c:extLst>
            <c:ext xmlns:c16="http://schemas.microsoft.com/office/drawing/2014/chart" uri="{C3380CC4-5D6E-409C-BE32-E72D297353CC}">
              <c16:uniqueId val="{00000001-B352-47F8-B0B8-AC42EDBA5A7D}"/>
            </c:ext>
          </c:extLst>
        </c:ser>
        <c:ser>
          <c:idx val="1"/>
          <c:order val="2"/>
          <c:tx>
            <c:v>Difficulty</c:v>
          </c:tx>
          <c:spPr>
            <a:solidFill>
              <a:schemeClr val="accent2"/>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Results!$U$6:$U$13</c:f>
            </c:numRef>
          </c:val>
          <c:extLst>
            <c:ext xmlns:c16="http://schemas.microsoft.com/office/drawing/2014/chart" uri="{C3380CC4-5D6E-409C-BE32-E72D297353CC}">
              <c16:uniqueId val="{00000002-B352-47F8-B0B8-AC42EDBA5A7D}"/>
            </c:ext>
          </c:extLst>
        </c:ser>
        <c:dLbls>
          <c:showLegendKey val="0"/>
          <c:showVal val="0"/>
          <c:showCatName val="0"/>
          <c:showSerName val="0"/>
          <c:showPercent val="0"/>
          <c:showBubbleSize val="0"/>
        </c:dLbls>
        <c:gapWidth val="150"/>
        <c:overlap val="100"/>
        <c:axId val="463984048"/>
        <c:axId val="463978952"/>
      </c:barChart>
      <c:catAx>
        <c:axId val="463984048"/>
        <c:scaling>
          <c:orientation val="minMax"/>
        </c:scaling>
        <c:delete val="0"/>
        <c:axPos val="l"/>
        <c:numFmt formatCode="General" sourceLinked="1"/>
        <c:majorTickMark val="out"/>
        <c:minorTickMark val="none"/>
        <c:tickLblPos val="nextTo"/>
        <c:crossAx val="463978952"/>
        <c:crosses val="autoZero"/>
        <c:auto val="1"/>
        <c:lblAlgn val="ctr"/>
        <c:lblOffset val="100"/>
        <c:noMultiLvlLbl val="0"/>
      </c:catAx>
      <c:valAx>
        <c:axId val="463978952"/>
        <c:scaling>
          <c:orientation val="minMax"/>
        </c:scaling>
        <c:delete val="0"/>
        <c:axPos val="b"/>
        <c:majorGridlines/>
        <c:numFmt formatCode="0.0" sourceLinked="1"/>
        <c:majorTickMark val="out"/>
        <c:minorTickMark val="none"/>
        <c:tickLblPos val="nextTo"/>
        <c:crossAx val="463984048"/>
        <c:crosses val="autoZero"/>
        <c:crossBetween val="between"/>
      </c:valAx>
    </c:plotArea>
    <c:legend>
      <c:legendPos val="r"/>
      <c:layout>
        <c:manualLayout>
          <c:xMode val="edge"/>
          <c:yMode val="edge"/>
          <c:x val="0.87244106258018206"/>
          <c:y val="4.326562953215754E-2"/>
          <c:w val="0.11861327872132577"/>
          <c:h val="0.38212478157211482"/>
        </c:manualLayout>
      </c:layout>
      <c:overlay val="0"/>
    </c:legend>
    <c:plotVisOnly val="1"/>
    <c:dispBlanksAs val="gap"/>
    <c:showDLblsOverMax val="0"/>
  </c:chart>
  <c:printSettings>
    <c:headerFooter/>
    <c:pageMargins b="0.78740157499999996" l="0.7" r="0.7" t="0.78740157499999996" header="0.3" footer="0.3"/>
    <c:pageSetup/>
  </c:printSettings>
</c:chartSpace>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8" Type="http://schemas.openxmlformats.org/officeDocument/2006/relationships/image" Target="../media/image19.png"/><Relationship Id="rId13" Type="http://schemas.openxmlformats.org/officeDocument/2006/relationships/image" Target="../media/image24.png"/><Relationship Id="rId18" Type="http://schemas.openxmlformats.org/officeDocument/2006/relationships/image" Target="../media/image29.png"/><Relationship Id="rId26" Type="http://schemas.openxmlformats.org/officeDocument/2006/relationships/image" Target="../media/image37.png"/><Relationship Id="rId3" Type="http://schemas.openxmlformats.org/officeDocument/2006/relationships/image" Target="../media/image14.png"/><Relationship Id="rId21" Type="http://schemas.openxmlformats.org/officeDocument/2006/relationships/image" Target="../media/image32.png"/><Relationship Id="rId7" Type="http://schemas.openxmlformats.org/officeDocument/2006/relationships/image" Target="../media/image18.png"/><Relationship Id="rId12" Type="http://schemas.openxmlformats.org/officeDocument/2006/relationships/image" Target="../media/image23.png"/><Relationship Id="rId17" Type="http://schemas.openxmlformats.org/officeDocument/2006/relationships/image" Target="../media/image28.png"/><Relationship Id="rId25" Type="http://schemas.openxmlformats.org/officeDocument/2006/relationships/image" Target="../media/image36.png"/><Relationship Id="rId2" Type="http://schemas.openxmlformats.org/officeDocument/2006/relationships/image" Target="../media/image13.png"/><Relationship Id="rId16" Type="http://schemas.openxmlformats.org/officeDocument/2006/relationships/image" Target="../media/image27.png"/><Relationship Id="rId20" Type="http://schemas.openxmlformats.org/officeDocument/2006/relationships/image" Target="../media/image31.png"/><Relationship Id="rId29" Type="http://schemas.openxmlformats.org/officeDocument/2006/relationships/image" Target="../media/image40.png"/><Relationship Id="rId1" Type="http://schemas.openxmlformats.org/officeDocument/2006/relationships/image" Target="../media/image12.png"/><Relationship Id="rId6" Type="http://schemas.openxmlformats.org/officeDocument/2006/relationships/image" Target="../media/image17.png"/><Relationship Id="rId11" Type="http://schemas.openxmlformats.org/officeDocument/2006/relationships/image" Target="../media/image22.png"/><Relationship Id="rId24" Type="http://schemas.openxmlformats.org/officeDocument/2006/relationships/image" Target="../media/image35.png"/><Relationship Id="rId32" Type="http://schemas.openxmlformats.org/officeDocument/2006/relationships/image" Target="../media/image43.png"/><Relationship Id="rId5" Type="http://schemas.openxmlformats.org/officeDocument/2006/relationships/image" Target="../media/image16.png"/><Relationship Id="rId15" Type="http://schemas.openxmlformats.org/officeDocument/2006/relationships/image" Target="../media/image26.png"/><Relationship Id="rId23" Type="http://schemas.openxmlformats.org/officeDocument/2006/relationships/image" Target="../media/image34.png"/><Relationship Id="rId28" Type="http://schemas.openxmlformats.org/officeDocument/2006/relationships/image" Target="../media/image39.png"/><Relationship Id="rId10" Type="http://schemas.openxmlformats.org/officeDocument/2006/relationships/image" Target="../media/image21.png"/><Relationship Id="rId19" Type="http://schemas.openxmlformats.org/officeDocument/2006/relationships/image" Target="../media/image30.png"/><Relationship Id="rId31" Type="http://schemas.openxmlformats.org/officeDocument/2006/relationships/image" Target="../media/image42.png"/><Relationship Id="rId4" Type="http://schemas.openxmlformats.org/officeDocument/2006/relationships/image" Target="../media/image15.png"/><Relationship Id="rId9" Type="http://schemas.openxmlformats.org/officeDocument/2006/relationships/image" Target="../media/image20.png"/><Relationship Id="rId14" Type="http://schemas.openxmlformats.org/officeDocument/2006/relationships/image" Target="../media/image25.png"/><Relationship Id="rId22" Type="http://schemas.openxmlformats.org/officeDocument/2006/relationships/image" Target="../media/image33.png"/><Relationship Id="rId27" Type="http://schemas.openxmlformats.org/officeDocument/2006/relationships/image" Target="../media/image38.png"/><Relationship Id="rId30" Type="http://schemas.openxmlformats.org/officeDocument/2006/relationships/image" Target="../media/image41.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18.vml.rels><?xml version="1.0" encoding="UTF-8" standalone="yes"?>
<Relationships xmlns="http://schemas.openxmlformats.org/package/2006/relationships"><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7</xdr:row>
          <xdr:rowOff>95250</xdr:rowOff>
        </xdr:from>
        <xdr:to>
          <xdr:col>1</xdr:col>
          <xdr:colOff>1238250</xdr:colOff>
          <xdr:row>8</xdr:row>
          <xdr:rowOff>19050</xdr:rowOff>
        </xdr:to>
        <xdr:sp macro="" textlink="">
          <xdr:nvSpPr>
            <xdr:cNvPr id="9221" name="cboJudgesCount" hidden="1">
              <a:extLst>
                <a:ext uri="{63B3BB69-23CF-44E3-9099-C40C66FF867C}">
                  <a14:compatExt spid="_x0000_s9221"/>
                </a:ext>
                <a:ext uri="{FF2B5EF4-FFF2-40B4-BE49-F238E27FC236}">
                  <a16:creationId xmlns:a16="http://schemas.microsoft.com/office/drawing/2014/main" id="{00000000-0008-0000-00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10</xdr:row>
          <xdr:rowOff>28575</xdr:rowOff>
        </xdr:from>
        <xdr:to>
          <xdr:col>1</xdr:col>
          <xdr:colOff>1238250</xdr:colOff>
          <xdr:row>10</xdr:row>
          <xdr:rowOff>333375</xdr:rowOff>
        </xdr:to>
        <xdr:sp macro="" textlink="">
          <xdr:nvSpPr>
            <xdr:cNvPr id="9222" name="PrintSheets"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28575</xdr:rowOff>
        </xdr:from>
        <xdr:to>
          <xdr:col>1</xdr:col>
          <xdr:colOff>1247775</xdr:colOff>
          <xdr:row>12</xdr:row>
          <xdr:rowOff>9525</xdr:rowOff>
        </xdr:to>
        <xdr:sp macro="" textlink="">
          <xdr:nvSpPr>
            <xdr:cNvPr id="9223" name="LockSheets"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8</xdr:row>
          <xdr:rowOff>114300</xdr:rowOff>
        </xdr:from>
        <xdr:to>
          <xdr:col>1</xdr:col>
          <xdr:colOff>1209675</xdr:colOff>
          <xdr:row>9</xdr:row>
          <xdr:rowOff>28575</xdr:rowOff>
        </xdr:to>
        <xdr:sp macro="" textlink="">
          <xdr:nvSpPr>
            <xdr:cNvPr id="9224" name="cboEditMethod"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xdr:row>
          <xdr:rowOff>38100</xdr:rowOff>
        </xdr:from>
        <xdr:to>
          <xdr:col>1</xdr:col>
          <xdr:colOff>1247775</xdr:colOff>
          <xdr:row>6</xdr:row>
          <xdr:rowOff>323850</xdr:rowOff>
        </xdr:to>
        <xdr:sp macro="" textlink="">
          <xdr:nvSpPr>
            <xdr:cNvPr id="9228" name="cboTeamsCount"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12</xdr:row>
          <xdr:rowOff>57150</xdr:rowOff>
        </xdr:from>
        <xdr:to>
          <xdr:col>1</xdr:col>
          <xdr:colOff>1238250</xdr:colOff>
          <xdr:row>12</xdr:row>
          <xdr:rowOff>323850</xdr:rowOff>
        </xdr:to>
        <xdr:sp macro="" textlink="">
          <xdr:nvSpPr>
            <xdr:cNvPr id="9248" name="btnExportTextResults" hidden="1">
              <a:extLst>
                <a:ext uri="{63B3BB69-23CF-44E3-9099-C40C66FF867C}">
                  <a14:compatExt spid="_x0000_s9248"/>
                </a:ext>
                <a:ext uri="{FF2B5EF4-FFF2-40B4-BE49-F238E27FC236}">
                  <a16:creationId xmlns:a16="http://schemas.microsoft.com/office/drawing/2014/main" id="{00000000-0008-0000-0000-000020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19050</xdr:rowOff>
        </xdr:from>
        <xdr:to>
          <xdr:col>1</xdr:col>
          <xdr:colOff>1238250</xdr:colOff>
          <xdr:row>13</xdr:row>
          <xdr:rowOff>314325</xdr:rowOff>
        </xdr:to>
        <xdr:sp macro="" textlink="">
          <xdr:nvSpPr>
            <xdr:cNvPr id="9249" name="CommandButton1" hidden="1">
              <a:extLst>
                <a:ext uri="{63B3BB69-23CF-44E3-9099-C40C66FF867C}">
                  <a14:compatExt spid="_x0000_s9249"/>
                </a:ext>
                <a:ext uri="{FF2B5EF4-FFF2-40B4-BE49-F238E27FC236}">
                  <a16:creationId xmlns:a16="http://schemas.microsoft.com/office/drawing/2014/main" id="{00000000-0008-0000-0000-00002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0</xdr:row>
          <xdr:rowOff>342900</xdr:rowOff>
        </xdr:to>
        <xdr:sp macro="" textlink="">
          <xdr:nvSpPr>
            <xdr:cNvPr id="13315" name="TempCombo" hidden="1">
              <a:extLst>
                <a:ext uri="{63B3BB69-23CF-44E3-9099-C40C66FF867C}">
                  <a14:compatExt spid="_x0000_s13315"/>
                </a:ext>
                <a:ext uri="{FF2B5EF4-FFF2-40B4-BE49-F238E27FC236}">
                  <a16:creationId xmlns:a16="http://schemas.microsoft.com/office/drawing/2014/main" id="{00000000-0008-0000-01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666750</xdr:colOff>
          <xdr:row>11</xdr:row>
          <xdr:rowOff>104775</xdr:rowOff>
        </xdr:from>
        <xdr:to>
          <xdr:col>17</xdr:col>
          <xdr:colOff>800100</xdr:colOff>
          <xdr:row>13</xdr:row>
          <xdr:rowOff>19050</xdr:rowOff>
        </xdr:to>
        <xdr:sp macro="" textlink="">
          <xdr:nvSpPr>
            <xdr:cNvPr id="4117" name="btnExport" hidden="1">
              <a:extLst>
                <a:ext uri="{63B3BB69-23CF-44E3-9099-C40C66FF867C}">
                  <a14:compatExt spid="_x0000_s4117"/>
                </a:ext>
                <a:ext uri="{FF2B5EF4-FFF2-40B4-BE49-F238E27FC236}">
                  <a16:creationId xmlns:a16="http://schemas.microsoft.com/office/drawing/2014/main" id="{00000000-0008-0000-1000-00001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19050</xdr:colOff>
      <xdr:row>30</xdr:row>
      <xdr:rowOff>104775</xdr:rowOff>
    </xdr:from>
    <xdr:to>
      <xdr:col>22</xdr:col>
      <xdr:colOff>466725</xdr:colOff>
      <xdr:row>47</xdr:row>
      <xdr:rowOff>57150</xdr:rowOff>
    </xdr:to>
    <xdr:graphicFrame macro="">
      <xdr:nvGraphicFramePr>
        <xdr:cNvPr id="2099" name="Diagramm 1">
          <a:extLst>
            <a:ext uri="{FF2B5EF4-FFF2-40B4-BE49-F238E27FC236}">
              <a16:creationId xmlns:a16="http://schemas.microsoft.com/office/drawing/2014/main" id="{00000000-0008-0000-1200-000033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PrintsWithSheet="0"/>
  </xdr:twoCellAnchor>
</xdr:wsDr>
</file>

<file path=xl/drawings/drawing5.xml><?xml version="1.0" encoding="utf-8"?>
<xdr:wsDr xmlns:xdr="http://schemas.openxmlformats.org/drawingml/2006/spreadsheetDrawing" xmlns:a="http://schemas.openxmlformats.org/drawingml/2006/main">
  <xdr:twoCellAnchor editAs="oneCell">
    <xdr:from>
      <xdr:col>2</xdr:col>
      <xdr:colOff>100012</xdr:colOff>
      <xdr:row>0</xdr:row>
      <xdr:rowOff>66675</xdr:rowOff>
    </xdr:from>
    <xdr:to>
      <xdr:col>2</xdr:col>
      <xdr:colOff>532012</xdr:colOff>
      <xdr:row>0</xdr:row>
      <xdr:rowOff>354675</xdr:rowOff>
    </xdr:to>
    <xdr:pic>
      <xdr:nvPicPr>
        <xdr:cNvPr id="2" name="GER" descr="http://img.fifa.com/images/flags/3/ger.png">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43062" y="6972300"/>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1</xdr:row>
      <xdr:rowOff>66675</xdr:rowOff>
    </xdr:from>
    <xdr:to>
      <xdr:col>2</xdr:col>
      <xdr:colOff>532012</xdr:colOff>
      <xdr:row>1</xdr:row>
      <xdr:rowOff>354675</xdr:rowOff>
    </xdr:to>
    <xdr:pic>
      <xdr:nvPicPr>
        <xdr:cNvPr id="3" name="COL" descr="http://img.fifa.com/images/flags/3/col.png">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43062" y="7362825"/>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2</xdr:row>
      <xdr:rowOff>66675</xdr:rowOff>
    </xdr:from>
    <xdr:to>
      <xdr:col>2</xdr:col>
      <xdr:colOff>532012</xdr:colOff>
      <xdr:row>2</xdr:row>
      <xdr:rowOff>354675</xdr:rowOff>
    </xdr:to>
    <xdr:pic>
      <xdr:nvPicPr>
        <xdr:cNvPr id="4" name="NED" descr="http://img.fifa.com/images/flags/3/ned.png">
          <a:extLst>
            <a:ext uri="{FF2B5EF4-FFF2-40B4-BE49-F238E27FC236}">
              <a16:creationId xmlns:a16="http://schemas.microsoft.com/office/drawing/2014/main" id="{00000000-0008-0000-15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643062" y="7753350"/>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3</xdr:row>
      <xdr:rowOff>66675</xdr:rowOff>
    </xdr:from>
    <xdr:to>
      <xdr:col>2</xdr:col>
      <xdr:colOff>532012</xdr:colOff>
      <xdr:row>3</xdr:row>
      <xdr:rowOff>354675</xdr:rowOff>
    </xdr:to>
    <xdr:pic>
      <xdr:nvPicPr>
        <xdr:cNvPr id="5" name="BRA" descr="http://img.fifa.com/images/flags/3/bra.png">
          <a:extLst>
            <a:ext uri="{FF2B5EF4-FFF2-40B4-BE49-F238E27FC236}">
              <a16:creationId xmlns:a16="http://schemas.microsoft.com/office/drawing/2014/main" id="{00000000-0008-0000-15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643062" y="8143875"/>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4</xdr:row>
      <xdr:rowOff>66675</xdr:rowOff>
    </xdr:from>
    <xdr:to>
      <xdr:col>2</xdr:col>
      <xdr:colOff>532012</xdr:colOff>
      <xdr:row>4</xdr:row>
      <xdr:rowOff>354675</xdr:rowOff>
    </xdr:to>
    <xdr:pic>
      <xdr:nvPicPr>
        <xdr:cNvPr id="6" name="FRA" descr="http://img.fifa.com/images/flags/3/fra.png">
          <a:extLst>
            <a:ext uri="{FF2B5EF4-FFF2-40B4-BE49-F238E27FC236}">
              <a16:creationId xmlns:a16="http://schemas.microsoft.com/office/drawing/2014/main" id="{00000000-0008-0000-15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643062" y="8534400"/>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5</xdr:row>
      <xdr:rowOff>66675</xdr:rowOff>
    </xdr:from>
    <xdr:to>
      <xdr:col>2</xdr:col>
      <xdr:colOff>532012</xdr:colOff>
      <xdr:row>5</xdr:row>
      <xdr:rowOff>354675</xdr:rowOff>
    </xdr:to>
    <xdr:pic>
      <xdr:nvPicPr>
        <xdr:cNvPr id="7" name="ARG" descr="http://img.fifa.com/images/flags/3/arg.png">
          <a:extLst>
            <a:ext uri="{FF2B5EF4-FFF2-40B4-BE49-F238E27FC236}">
              <a16:creationId xmlns:a16="http://schemas.microsoft.com/office/drawing/2014/main" id="{00000000-0008-0000-15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643062" y="8924925"/>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6</xdr:row>
      <xdr:rowOff>66675</xdr:rowOff>
    </xdr:from>
    <xdr:to>
      <xdr:col>2</xdr:col>
      <xdr:colOff>532012</xdr:colOff>
      <xdr:row>6</xdr:row>
      <xdr:rowOff>354675</xdr:rowOff>
    </xdr:to>
    <xdr:pic>
      <xdr:nvPicPr>
        <xdr:cNvPr id="8" name="SUI" descr="http://img.fifa.com/images/flags/3/sui.png">
          <a:extLst>
            <a:ext uri="{FF2B5EF4-FFF2-40B4-BE49-F238E27FC236}">
              <a16:creationId xmlns:a16="http://schemas.microsoft.com/office/drawing/2014/main" id="{00000000-0008-0000-15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643062" y="9315450"/>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7</xdr:row>
      <xdr:rowOff>66675</xdr:rowOff>
    </xdr:from>
    <xdr:to>
      <xdr:col>2</xdr:col>
      <xdr:colOff>532012</xdr:colOff>
      <xdr:row>7</xdr:row>
      <xdr:rowOff>354675</xdr:rowOff>
    </xdr:to>
    <xdr:pic>
      <xdr:nvPicPr>
        <xdr:cNvPr id="9" name="ALG" descr="http://img.fifa.com/images/flags/3/alg.png">
          <a:extLst>
            <a:ext uri="{FF2B5EF4-FFF2-40B4-BE49-F238E27FC236}">
              <a16:creationId xmlns:a16="http://schemas.microsoft.com/office/drawing/2014/main" id="{00000000-0008-0000-15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643062" y="9705975"/>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8</xdr:row>
      <xdr:rowOff>66675</xdr:rowOff>
    </xdr:from>
    <xdr:to>
      <xdr:col>2</xdr:col>
      <xdr:colOff>532012</xdr:colOff>
      <xdr:row>8</xdr:row>
      <xdr:rowOff>354675</xdr:rowOff>
    </xdr:to>
    <xdr:pic>
      <xdr:nvPicPr>
        <xdr:cNvPr id="10" name="CHI" descr="http://img.fifa.com/images/flags/3/chi.png">
          <a:extLst>
            <a:ext uri="{FF2B5EF4-FFF2-40B4-BE49-F238E27FC236}">
              <a16:creationId xmlns:a16="http://schemas.microsoft.com/office/drawing/2014/main" id="{00000000-0008-0000-15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643062" y="10096500"/>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9</xdr:row>
      <xdr:rowOff>66675</xdr:rowOff>
    </xdr:from>
    <xdr:to>
      <xdr:col>2</xdr:col>
      <xdr:colOff>532012</xdr:colOff>
      <xdr:row>9</xdr:row>
      <xdr:rowOff>354675</xdr:rowOff>
    </xdr:to>
    <xdr:pic>
      <xdr:nvPicPr>
        <xdr:cNvPr id="11" name="BEL" descr="http://img.fifa.com/images/flags/3/bel.png">
          <a:extLst>
            <a:ext uri="{FF2B5EF4-FFF2-40B4-BE49-F238E27FC236}">
              <a16:creationId xmlns:a16="http://schemas.microsoft.com/office/drawing/2014/main" id="{00000000-0008-0000-15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643062" y="10487025"/>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10</xdr:row>
      <xdr:rowOff>66675</xdr:rowOff>
    </xdr:from>
    <xdr:to>
      <xdr:col>2</xdr:col>
      <xdr:colOff>532012</xdr:colOff>
      <xdr:row>10</xdr:row>
      <xdr:rowOff>354675</xdr:rowOff>
    </xdr:to>
    <xdr:pic>
      <xdr:nvPicPr>
        <xdr:cNvPr id="12" name="CRO" descr="http://img.fifa.com/images/flags/3/cro.png">
          <a:extLst>
            <a:ext uri="{FF2B5EF4-FFF2-40B4-BE49-F238E27FC236}">
              <a16:creationId xmlns:a16="http://schemas.microsoft.com/office/drawing/2014/main" id="{00000000-0008-0000-15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643062" y="10877550"/>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11</xdr:row>
      <xdr:rowOff>66675</xdr:rowOff>
    </xdr:from>
    <xdr:to>
      <xdr:col>2</xdr:col>
      <xdr:colOff>532012</xdr:colOff>
      <xdr:row>11</xdr:row>
      <xdr:rowOff>354675</xdr:rowOff>
    </xdr:to>
    <xdr:pic>
      <xdr:nvPicPr>
        <xdr:cNvPr id="13" name="MEX" descr="http://img.fifa.com/images/flags/3/mex.png">
          <a:extLst>
            <a:ext uri="{FF2B5EF4-FFF2-40B4-BE49-F238E27FC236}">
              <a16:creationId xmlns:a16="http://schemas.microsoft.com/office/drawing/2014/main" id="{00000000-0008-0000-15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643062" y="11268075"/>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12</xdr:row>
      <xdr:rowOff>66675</xdr:rowOff>
    </xdr:from>
    <xdr:to>
      <xdr:col>2</xdr:col>
      <xdr:colOff>532012</xdr:colOff>
      <xdr:row>12</xdr:row>
      <xdr:rowOff>354675</xdr:rowOff>
    </xdr:to>
    <xdr:pic>
      <xdr:nvPicPr>
        <xdr:cNvPr id="14" name="CRC" descr="http://img.fifa.com/images/flags/3/crc.png">
          <a:extLst>
            <a:ext uri="{FF2B5EF4-FFF2-40B4-BE49-F238E27FC236}">
              <a16:creationId xmlns:a16="http://schemas.microsoft.com/office/drawing/2014/main" id="{00000000-0008-0000-1500-00000E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1643062" y="11658600"/>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13</xdr:row>
      <xdr:rowOff>66675</xdr:rowOff>
    </xdr:from>
    <xdr:to>
      <xdr:col>2</xdr:col>
      <xdr:colOff>532012</xdr:colOff>
      <xdr:row>13</xdr:row>
      <xdr:rowOff>354675</xdr:rowOff>
    </xdr:to>
    <xdr:pic>
      <xdr:nvPicPr>
        <xdr:cNvPr id="15" name="USA" descr="http://img.fifa.com/images/flags/3/usa.png">
          <a:extLst>
            <a:ext uri="{FF2B5EF4-FFF2-40B4-BE49-F238E27FC236}">
              <a16:creationId xmlns:a16="http://schemas.microsoft.com/office/drawing/2014/main" id="{00000000-0008-0000-1500-00000F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1643062" y="12049125"/>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14</xdr:row>
      <xdr:rowOff>66675</xdr:rowOff>
    </xdr:from>
    <xdr:to>
      <xdr:col>2</xdr:col>
      <xdr:colOff>532012</xdr:colOff>
      <xdr:row>14</xdr:row>
      <xdr:rowOff>354675</xdr:rowOff>
    </xdr:to>
    <xdr:pic>
      <xdr:nvPicPr>
        <xdr:cNvPr id="16" name="POR" descr="http://img.fifa.com/images/flags/3/por.png">
          <a:extLst>
            <a:ext uri="{FF2B5EF4-FFF2-40B4-BE49-F238E27FC236}">
              <a16:creationId xmlns:a16="http://schemas.microsoft.com/office/drawing/2014/main" id="{00000000-0008-0000-1500-000010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643062" y="12439650"/>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15</xdr:row>
      <xdr:rowOff>66675</xdr:rowOff>
    </xdr:from>
    <xdr:to>
      <xdr:col>2</xdr:col>
      <xdr:colOff>532012</xdr:colOff>
      <xdr:row>15</xdr:row>
      <xdr:rowOff>354675</xdr:rowOff>
    </xdr:to>
    <xdr:pic>
      <xdr:nvPicPr>
        <xdr:cNvPr id="17" name="CIV" descr="http://img.fifa.com/images/flags/3/civ.png">
          <a:extLst>
            <a:ext uri="{FF2B5EF4-FFF2-40B4-BE49-F238E27FC236}">
              <a16:creationId xmlns:a16="http://schemas.microsoft.com/office/drawing/2014/main" id="{00000000-0008-0000-1500-000011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1643062" y="12830175"/>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16</xdr:row>
      <xdr:rowOff>66675</xdr:rowOff>
    </xdr:from>
    <xdr:to>
      <xdr:col>2</xdr:col>
      <xdr:colOff>532012</xdr:colOff>
      <xdr:row>16</xdr:row>
      <xdr:rowOff>354675</xdr:rowOff>
    </xdr:to>
    <xdr:pic>
      <xdr:nvPicPr>
        <xdr:cNvPr id="18" name="ESP" descr="http://img.fifa.com/images/flags/3/esp.png">
          <a:extLst>
            <a:ext uri="{FF2B5EF4-FFF2-40B4-BE49-F238E27FC236}">
              <a16:creationId xmlns:a16="http://schemas.microsoft.com/office/drawing/2014/main" id="{00000000-0008-0000-1500-000012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1643062" y="13220700"/>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17</xdr:row>
      <xdr:rowOff>66675</xdr:rowOff>
    </xdr:from>
    <xdr:to>
      <xdr:col>2</xdr:col>
      <xdr:colOff>532012</xdr:colOff>
      <xdr:row>17</xdr:row>
      <xdr:rowOff>354675</xdr:rowOff>
    </xdr:to>
    <xdr:pic>
      <xdr:nvPicPr>
        <xdr:cNvPr id="19" name="URU" descr="http://img.fifa.com/images/flags/3/uru.png">
          <a:extLst>
            <a:ext uri="{FF2B5EF4-FFF2-40B4-BE49-F238E27FC236}">
              <a16:creationId xmlns:a16="http://schemas.microsoft.com/office/drawing/2014/main" id="{00000000-0008-0000-1500-000013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643062" y="13611225"/>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18</xdr:row>
      <xdr:rowOff>66675</xdr:rowOff>
    </xdr:from>
    <xdr:to>
      <xdr:col>2</xdr:col>
      <xdr:colOff>532012</xdr:colOff>
      <xdr:row>18</xdr:row>
      <xdr:rowOff>354675</xdr:rowOff>
    </xdr:to>
    <xdr:pic>
      <xdr:nvPicPr>
        <xdr:cNvPr id="20" name="BIH" descr="http://img.fifa.com/images/flags/3/bih.png">
          <a:extLst>
            <a:ext uri="{FF2B5EF4-FFF2-40B4-BE49-F238E27FC236}">
              <a16:creationId xmlns:a16="http://schemas.microsoft.com/office/drawing/2014/main" id="{00000000-0008-0000-1500-000014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1643062" y="14001750"/>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19</xdr:row>
      <xdr:rowOff>66675</xdr:rowOff>
    </xdr:from>
    <xdr:to>
      <xdr:col>2</xdr:col>
      <xdr:colOff>532012</xdr:colOff>
      <xdr:row>19</xdr:row>
      <xdr:rowOff>354675</xdr:rowOff>
    </xdr:to>
    <xdr:pic>
      <xdr:nvPicPr>
        <xdr:cNvPr id="21" name="GHA" descr="http://img.fifa.com/images/flags/3/gha.png">
          <a:extLst>
            <a:ext uri="{FF2B5EF4-FFF2-40B4-BE49-F238E27FC236}">
              <a16:creationId xmlns:a16="http://schemas.microsoft.com/office/drawing/2014/main" id="{00000000-0008-0000-1500-000015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1643062" y="14392275"/>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20</xdr:row>
      <xdr:rowOff>66675</xdr:rowOff>
    </xdr:from>
    <xdr:to>
      <xdr:col>2</xdr:col>
      <xdr:colOff>532012</xdr:colOff>
      <xdr:row>20</xdr:row>
      <xdr:rowOff>354675</xdr:rowOff>
    </xdr:to>
    <xdr:pic>
      <xdr:nvPicPr>
        <xdr:cNvPr id="22" name="AUS" descr="http://img.fifa.com/images/flags/3/aus.png">
          <a:extLst>
            <a:ext uri="{FF2B5EF4-FFF2-40B4-BE49-F238E27FC236}">
              <a16:creationId xmlns:a16="http://schemas.microsoft.com/office/drawing/2014/main" id="{00000000-0008-0000-1500-000016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1643062" y="14782800"/>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21</xdr:row>
      <xdr:rowOff>66675</xdr:rowOff>
    </xdr:from>
    <xdr:to>
      <xdr:col>2</xdr:col>
      <xdr:colOff>532012</xdr:colOff>
      <xdr:row>21</xdr:row>
      <xdr:rowOff>354675</xdr:rowOff>
    </xdr:to>
    <xdr:pic>
      <xdr:nvPicPr>
        <xdr:cNvPr id="23" name="KOR" descr="http://img.fifa.com/images/flags/3/kor.png">
          <a:extLst>
            <a:ext uri="{FF2B5EF4-FFF2-40B4-BE49-F238E27FC236}">
              <a16:creationId xmlns:a16="http://schemas.microsoft.com/office/drawing/2014/main" id="{00000000-0008-0000-1500-000017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643062" y="15173325"/>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22</xdr:row>
      <xdr:rowOff>66675</xdr:rowOff>
    </xdr:from>
    <xdr:to>
      <xdr:col>2</xdr:col>
      <xdr:colOff>532012</xdr:colOff>
      <xdr:row>22</xdr:row>
      <xdr:rowOff>354675</xdr:rowOff>
    </xdr:to>
    <xdr:pic>
      <xdr:nvPicPr>
        <xdr:cNvPr id="24" name="NGA" descr="http://img.fifa.com/images/flags/3/nga.png">
          <a:extLst>
            <a:ext uri="{FF2B5EF4-FFF2-40B4-BE49-F238E27FC236}">
              <a16:creationId xmlns:a16="http://schemas.microsoft.com/office/drawing/2014/main" id="{00000000-0008-0000-1500-000018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1643062" y="15563850"/>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23</xdr:row>
      <xdr:rowOff>66675</xdr:rowOff>
    </xdr:from>
    <xdr:to>
      <xdr:col>2</xdr:col>
      <xdr:colOff>532012</xdr:colOff>
      <xdr:row>23</xdr:row>
      <xdr:rowOff>354675</xdr:rowOff>
    </xdr:to>
    <xdr:pic>
      <xdr:nvPicPr>
        <xdr:cNvPr id="25" name="GRE" descr="http://img.fifa.com/images/flags/3/gre.png">
          <a:extLst>
            <a:ext uri="{FF2B5EF4-FFF2-40B4-BE49-F238E27FC236}">
              <a16:creationId xmlns:a16="http://schemas.microsoft.com/office/drawing/2014/main" id="{00000000-0008-0000-1500-000019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1643062" y="15954375"/>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24</xdr:row>
      <xdr:rowOff>66675</xdr:rowOff>
    </xdr:from>
    <xdr:to>
      <xdr:col>2</xdr:col>
      <xdr:colOff>532012</xdr:colOff>
      <xdr:row>24</xdr:row>
      <xdr:rowOff>354675</xdr:rowOff>
    </xdr:to>
    <xdr:pic>
      <xdr:nvPicPr>
        <xdr:cNvPr id="26" name="ECU" descr="http://img.fifa.com/images/flags/3/ecu.png">
          <a:extLst>
            <a:ext uri="{FF2B5EF4-FFF2-40B4-BE49-F238E27FC236}">
              <a16:creationId xmlns:a16="http://schemas.microsoft.com/office/drawing/2014/main" id="{00000000-0008-0000-1500-00001A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1643062" y="16344900"/>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25</xdr:row>
      <xdr:rowOff>66675</xdr:rowOff>
    </xdr:from>
    <xdr:to>
      <xdr:col>2</xdr:col>
      <xdr:colOff>532012</xdr:colOff>
      <xdr:row>25</xdr:row>
      <xdr:rowOff>354675</xdr:rowOff>
    </xdr:to>
    <xdr:pic>
      <xdr:nvPicPr>
        <xdr:cNvPr id="27" name="ITA" descr="http://img.fifa.com/images/flags/3/ita.png">
          <a:extLst>
            <a:ext uri="{FF2B5EF4-FFF2-40B4-BE49-F238E27FC236}">
              <a16:creationId xmlns:a16="http://schemas.microsoft.com/office/drawing/2014/main" id="{00000000-0008-0000-1500-00001B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1643062" y="16735425"/>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26</xdr:row>
      <xdr:rowOff>66675</xdr:rowOff>
    </xdr:from>
    <xdr:to>
      <xdr:col>2</xdr:col>
      <xdr:colOff>532012</xdr:colOff>
      <xdr:row>26</xdr:row>
      <xdr:rowOff>354675</xdr:rowOff>
    </xdr:to>
    <xdr:pic>
      <xdr:nvPicPr>
        <xdr:cNvPr id="28" name="ENG" descr="http://img.fifa.com/images/flags/3/eng.png">
          <a:extLst>
            <a:ext uri="{FF2B5EF4-FFF2-40B4-BE49-F238E27FC236}">
              <a16:creationId xmlns:a16="http://schemas.microsoft.com/office/drawing/2014/main" id="{00000000-0008-0000-1500-00001C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1643062" y="17125950"/>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27</xdr:row>
      <xdr:rowOff>66675</xdr:rowOff>
    </xdr:from>
    <xdr:to>
      <xdr:col>2</xdr:col>
      <xdr:colOff>532012</xdr:colOff>
      <xdr:row>27</xdr:row>
      <xdr:rowOff>354675</xdr:rowOff>
    </xdr:to>
    <xdr:pic>
      <xdr:nvPicPr>
        <xdr:cNvPr id="29" name="RUS" descr="http://img.fifa.com/images/flags/3/rus.png">
          <a:extLst>
            <a:ext uri="{FF2B5EF4-FFF2-40B4-BE49-F238E27FC236}">
              <a16:creationId xmlns:a16="http://schemas.microsoft.com/office/drawing/2014/main" id="{00000000-0008-0000-1500-00001D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643062" y="17516475"/>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28</xdr:row>
      <xdr:rowOff>66675</xdr:rowOff>
    </xdr:from>
    <xdr:to>
      <xdr:col>2</xdr:col>
      <xdr:colOff>532012</xdr:colOff>
      <xdr:row>28</xdr:row>
      <xdr:rowOff>354675</xdr:rowOff>
    </xdr:to>
    <xdr:pic>
      <xdr:nvPicPr>
        <xdr:cNvPr id="30" name="JPN" descr="http://img.fifa.com/images/flags/3/jpn.png">
          <a:extLst>
            <a:ext uri="{FF2B5EF4-FFF2-40B4-BE49-F238E27FC236}">
              <a16:creationId xmlns:a16="http://schemas.microsoft.com/office/drawing/2014/main" id="{00000000-0008-0000-1500-00001E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1643062" y="17907000"/>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29</xdr:row>
      <xdr:rowOff>66675</xdr:rowOff>
    </xdr:from>
    <xdr:to>
      <xdr:col>2</xdr:col>
      <xdr:colOff>532012</xdr:colOff>
      <xdr:row>29</xdr:row>
      <xdr:rowOff>354675</xdr:rowOff>
    </xdr:to>
    <xdr:pic>
      <xdr:nvPicPr>
        <xdr:cNvPr id="31" name="HON" descr="http://img.fifa.com/images/flags/3/hon.png">
          <a:extLst>
            <a:ext uri="{FF2B5EF4-FFF2-40B4-BE49-F238E27FC236}">
              <a16:creationId xmlns:a16="http://schemas.microsoft.com/office/drawing/2014/main" id="{00000000-0008-0000-1500-00001F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1643062" y="18297525"/>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30</xdr:row>
      <xdr:rowOff>66675</xdr:rowOff>
    </xdr:from>
    <xdr:to>
      <xdr:col>2</xdr:col>
      <xdr:colOff>532012</xdr:colOff>
      <xdr:row>30</xdr:row>
      <xdr:rowOff>354675</xdr:rowOff>
    </xdr:to>
    <xdr:pic>
      <xdr:nvPicPr>
        <xdr:cNvPr id="32" name="IRN" descr="http://img.fifa.com/images/flags/3/irn.png">
          <a:extLst>
            <a:ext uri="{FF2B5EF4-FFF2-40B4-BE49-F238E27FC236}">
              <a16:creationId xmlns:a16="http://schemas.microsoft.com/office/drawing/2014/main" id="{00000000-0008-0000-1500-000020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1643062" y="18688050"/>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31</xdr:row>
      <xdr:rowOff>66675</xdr:rowOff>
    </xdr:from>
    <xdr:to>
      <xdr:col>2</xdr:col>
      <xdr:colOff>532012</xdr:colOff>
      <xdr:row>31</xdr:row>
      <xdr:rowOff>354675</xdr:rowOff>
    </xdr:to>
    <xdr:pic>
      <xdr:nvPicPr>
        <xdr:cNvPr id="33" name="CMR" descr="http://img.fifa.com/images/flags/3/cmr.png">
          <a:extLst>
            <a:ext uri="{FF2B5EF4-FFF2-40B4-BE49-F238E27FC236}">
              <a16:creationId xmlns:a16="http://schemas.microsoft.com/office/drawing/2014/main" id="{00000000-0008-0000-1500-000021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643062" y="19078575"/>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pointscales_1" connectionId="1" xr16:uid="{00000000-0016-0000-0E00-000000000000}"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rankopen" preserveFormatting="0" connectionId="2" xr16:uid="{00000000-0016-0000-1400-000001000000}" autoFormatId="16" applyNumberFormats="0" applyBorderFormats="0" applyFontFormats="1" applyPatternFormats="1" applyAlignmentFormats="0" applyWidthHeightFormats="0"/>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0D060000}" name="Liste1" displayName="Liste1" ref="B1:R11" totalsRowShown="0" headerRowDxfId="18" dataDxfId="17">
  <autoFilter ref="B1:R11" xr:uid="{00000000-0009-0000-0100-000041000000}"/>
  <tableColumns count="17">
    <tableColumn id="1" xr3:uid="{00000000-0010-0000-0D06-000001000000}" name="Player 1" dataDxfId="16">
      <calculatedColumnFormula>Starterlist!B13</calculatedColumnFormula>
    </tableColumn>
    <tableColumn id="2" xr3:uid="{00000000-0010-0000-0D06-000002000000}" name="Player 2" dataDxfId="15">
      <calculatedColumnFormula>Starterlist!D13</calculatedColumnFormula>
    </tableColumn>
    <tableColumn id="3" xr3:uid="{00000000-0010-0000-0D06-000003000000}" name="Player 3" dataDxfId="14">
      <calculatedColumnFormula>Starterlist!F13</calculatedColumnFormula>
    </tableColumn>
    <tableColumn id="4" xr3:uid="{00000000-0010-0000-0D06-000004000000}" name="EX 1" dataDxfId="13">
      <calculatedColumnFormula>Results!C6</calculatedColumnFormula>
    </tableColumn>
    <tableColumn id="5" xr3:uid="{00000000-0010-0000-0D06-000005000000}" name="EX 2" dataDxfId="12">
      <calculatedColumnFormula>Results!D6</calculatedColumnFormula>
    </tableColumn>
    <tableColumn id="6" xr3:uid="{00000000-0010-0000-0D06-000006000000}" name="EX 3" dataDxfId="11">
      <calculatedColumnFormula>Results!E6</calculatedColumnFormula>
    </tableColumn>
    <tableColumn id="7" xr3:uid="{00000000-0010-0000-0D06-000007000000}" name="AI 1" dataDxfId="10">
      <calculatedColumnFormula>SUM('AI 1'!C6:'AI 1'!H6)/6</calculatedColumnFormula>
    </tableColumn>
    <tableColumn id="8" xr3:uid="{00000000-0010-0000-0D06-000008000000}" name="AI 2" dataDxfId="9">
      <calculatedColumnFormula>SUM('AI 2'!C6:'AI 2'!H6)/6</calculatedColumnFormula>
    </tableColumn>
    <tableColumn id="9" xr3:uid="{00000000-0010-0000-0D06-000009000000}" name="AI 3" dataDxfId="8">
      <calculatedColumnFormula>SUM('AI 3'!C6:'AI 3'!H6)/6</calculatedColumnFormula>
    </tableColumn>
    <tableColumn id="10" xr3:uid="{00000000-0010-0000-0D06-00000A000000}" name="DIF 1" dataDxfId="7">
      <calculatedColumnFormula>'DIF 1'!AA8</calculatedColumnFormula>
    </tableColumn>
    <tableColumn id="11" xr3:uid="{00000000-0010-0000-0D06-00000B000000}" name="DIF 2" dataDxfId="6"/>
    <tableColumn id="12" xr3:uid="{00000000-0010-0000-0D06-00000C000000}" name="DIF 3" dataDxfId="5"/>
    <tableColumn id="13" xr3:uid="{00000000-0010-0000-0D06-00000D000000}" name="Execution" dataDxfId="4">
      <calculatedColumnFormula>SUM(E2:G2)</calculatedColumnFormula>
    </tableColumn>
    <tableColumn id="14" xr3:uid="{00000000-0010-0000-0D06-00000E000000}" name="Artistic Impression" dataDxfId="3">
      <calculatedColumnFormula>SUM(H2:J2)</calculatedColumnFormula>
    </tableColumn>
    <tableColumn id="15" xr3:uid="{00000000-0010-0000-0D06-00000F000000}" name="Difficulty" dataDxfId="2">
      <calculatedColumnFormula>SUM(K2:M2)</calculatedColumnFormula>
    </tableColumn>
    <tableColumn id="16" xr3:uid="{00000000-0010-0000-0D06-000010000000}" name="Total" dataDxfId="1">
      <calculatedColumnFormula>SUM(N2:P2)</calculatedColumnFormula>
    </tableColumn>
    <tableColumn id="17" xr3:uid="{00000000-0010-0000-0D06-000011000000}" name="Rank" dataDxfId="0">
      <calculatedColumnFormula>Results!W6</calculatedColumnFormula>
    </tableColumn>
  </tableColumns>
  <tableStyleInfo showFirstColumn="0" showLastColumn="0" showRowStripes="1" showColumnStripes="0"/>
</table>
</file>

<file path=xl/tables/tableSingleCells1.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66" xr6:uid="{00000000-000C-0000-FFFF-FFFF00000000}" r="J13" connectionId="0">
    <xmlCellPr id="1" xr6:uid="{00000000-0010-0000-0000-000001000000}" uniqueName="ns2:Ex1">
      <xmlPr mapId="4" xpath="/ns2:ScoreSheet/ns2:Judges/ns2:Ex1" xmlDataType="string"/>
    </xmlCellPr>
  </singleXmlCell>
  <singleXmlCell id="69" xr6:uid="{00000000-000C-0000-FFFF-FFFF01000000}" r="J14" connectionId="0">
    <xmlCellPr id="1" xr6:uid="{00000000-0010-0000-0100-000001000000}" uniqueName="ns2:Ex2">
      <xmlPr mapId="4" xpath="/ns2:ScoreSheet/ns2:Judges/ns2:Ex2" xmlDataType="string"/>
    </xmlCellPr>
  </singleXmlCell>
  <singleXmlCell id="70" xr6:uid="{00000000-000C-0000-FFFF-FFFF02000000}" r="J15" connectionId="0">
    <xmlCellPr id="1" xr6:uid="{00000000-0010-0000-0200-000001000000}" uniqueName="ns2:Ex3">
      <xmlPr mapId="4" xpath="/ns2:ScoreSheet/ns2:Judges/ns2:Ex3" xmlDataType="string"/>
    </xmlCellPr>
  </singleXmlCell>
  <singleXmlCell id="71" xr6:uid="{00000000-000C-0000-FFFF-FFFF03000000}" r="J16" connectionId="0">
    <xmlCellPr id="1" xr6:uid="{00000000-0010-0000-0300-000001000000}" uniqueName="ns2:Ai1">
      <xmlPr mapId="4" xpath="/ns2:ScoreSheet/ns2:Judges/ns2:Ai1" xmlDataType="string"/>
    </xmlCellPr>
  </singleXmlCell>
  <singleXmlCell id="72" xr6:uid="{00000000-000C-0000-FFFF-FFFF04000000}" r="J17" connectionId="0">
    <xmlCellPr id="1" xr6:uid="{00000000-0010-0000-0400-000001000000}" uniqueName="ns2:Ai2">
      <xmlPr mapId="4" xpath="/ns2:ScoreSheet/ns2:Judges/ns2:Ai2" xmlDataType="string"/>
    </xmlCellPr>
  </singleXmlCell>
  <singleXmlCell id="73" xr6:uid="{00000000-000C-0000-FFFF-FFFF05000000}" r="J18" connectionId="0">
    <xmlCellPr id="1" xr6:uid="{00000000-0010-0000-0500-000001000000}" uniqueName="ns2:Ai3">
      <xmlPr mapId="4" xpath="/ns2:ScoreSheet/ns2:Judges/ns2:Ai3" xmlDataType="string"/>
    </xmlCellPr>
  </singleXmlCell>
  <singleXmlCell id="74" xr6:uid="{00000000-000C-0000-FFFF-FFFF06000000}" r="J19" connectionId="0">
    <xmlCellPr id="1" xr6:uid="{00000000-0010-0000-0600-000001000000}" uniqueName="ns2:Diff1">
      <xmlPr mapId="4" xpath="/ns2:ScoreSheet/ns2:Judges/ns2:Diff1" xmlDataType="string"/>
    </xmlCellPr>
  </singleXmlCell>
  <singleXmlCell id="75" xr6:uid="{00000000-000C-0000-FFFF-FFFF07000000}" r="J20" connectionId="0">
    <xmlCellPr id="1" xr6:uid="{00000000-0010-0000-0700-000001000000}" uniqueName="ns2:Diff2">
      <xmlPr mapId="4" xpath="/ns2:ScoreSheet/ns2:Judges/ns2:Diff2" xmlDataType="string"/>
    </xmlCellPr>
  </singleXmlCell>
  <singleXmlCell id="76" xr6:uid="{00000000-000C-0000-FFFF-FFFF08000000}" r="J21" connectionId="0">
    <xmlCellPr id="1" xr6:uid="{00000000-0010-0000-0800-000001000000}" uniqueName="ns2:Diff3">
      <xmlPr mapId="4" xpath="/ns2:ScoreSheet/ns2:Judges/ns2:Diff3" xmlDataType="string"/>
    </xmlCellPr>
  </singleXmlCell>
  <singleXmlCell id="77" xr6:uid="{00000000-000C-0000-FFFF-FFFF09000000}" r="A1" connectionId="0">
    <xmlCellPr id="1" xr6:uid="{00000000-0010-0000-0900-000001000000}" uniqueName="ns2:EventTitle">
      <xmlPr mapId="4" xpath="/ns2:ScoreSheet/ns2:RoundSettings/ns2:EventTitle" xmlDataType="string"/>
    </xmlCellPr>
  </singleXmlCell>
  <singleXmlCell id="78" xr6:uid="{00000000-000C-0000-FFFF-FFFF0A000000}" r="A2" connectionId="0">
    <xmlCellPr id="1" xr6:uid="{00000000-0010-0000-0A00-000001000000}" uniqueName="ns2:EventSubtitle">
      <xmlPr mapId="4" xpath="/ns2:ScoreSheet/ns2:RoundSettings/ns2:EventSubtitle" xmlDataType="string"/>
    </xmlCellPr>
  </singleXmlCell>
  <singleXmlCell id="79" xr6:uid="{00000000-000C-0000-FFFF-FFFF0B000000}" r="B4" connectionId="0">
    <xmlCellPr id="1" xr6:uid="{00000000-0010-0000-0B00-000001000000}" uniqueName="ns2:Division">
      <xmlPr mapId="4" xpath="/ns2:ScoreSheet/ns2:RoundSettings/ns2:Division" xmlDataType="string"/>
    </xmlCellPr>
  </singleXmlCell>
  <singleXmlCell id="80" xr6:uid="{00000000-000C-0000-FFFF-FFFF0C000000}" r="D4" connectionId="0">
    <xmlCellPr id="1" xr6:uid="{00000000-0010-0000-0C00-000001000000}" uniqueName="ns2:Round">
      <xmlPr mapId="4" xpath="/ns2:ScoreSheet/ns2:RoundSettings/ns2:Round" xmlDataType="string"/>
    </xmlCellPr>
  </singleXmlCell>
  <singleXmlCell id="81" xr6:uid="{00000000-000C-0000-FFFF-FFFF0D000000}" r="F4" connectionId="0">
    <xmlCellPr id="1" xr6:uid="{00000000-0010-0000-0D00-000001000000}" uniqueName="ns2:Pool">
      <xmlPr mapId="4" xpath="/ns2:ScoreSheet/ns2:RoundSettings/ns2:Pool" xmlDataType="string"/>
    </xmlCellPr>
  </singleXmlCell>
  <singleXmlCell id="82" xr6:uid="{00000000-000C-0000-FFFF-FFFF0E000000}" r="J3" connectionId="0">
    <xmlCellPr id="1" xr6:uid="{00000000-0010-0000-0E00-000001000000}" uniqueName="ns2:Date">
      <xmlPr mapId="4" xpath="/ns2:ScoreSheet/ns2:RoundSettings/ns2:Date" xmlDataType="date"/>
    </xmlCellPr>
  </singleXmlCell>
  <singleXmlCell id="83" xr6:uid="{00000000-000C-0000-FFFF-FFFF0F000000}" r="J4" connectionId="0">
    <xmlCellPr id="1" xr6:uid="{00000000-0010-0000-0F00-000001000000}" uniqueName="ns2:Time">
      <xmlPr mapId="4" xpath="/ns2:ScoreSheet/ns2:RoundSettings/ns2:Time" xmlDataType="dateTime"/>
    </xmlCellPr>
  </singleXmlCell>
  <singleXmlCell id="84" xr6:uid="{00000000-000C-0000-FFFF-FFFF10000000}" r="J6" connectionId="0">
    <xmlCellPr id="1" xr6:uid="{00000000-0010-0000-1000-000001000000}" uniqueName="ns2:HeadJudge">
      <xmlPr mapId="4" xpath="/ns2:ScoreSheet/ns2:RoundSettings/ns2:HeadJudge" xmlDataType="string"/>
    </xmlCellPr>
  </singleXmlCell>
  <singleXmlCell id="85" xr6:uid="{00000000-000C-0000-FFFF-FFFF11000000}" r="J5" connectionId="0">
    <xmlCellPr id="1" xr6:uid="{00000000-0010-0000-1100-000001000000}" uniqueName="ns2:Minutes">
      <xmlPr mapId="4" xpath="/ns2:ScoreSheet/ns2:RoundSettings/ns2:Minutes" xmlDataType="double"/>
    </xmlCellPr>
  </singleXmlCell>
  <singleXmlCell id="86" xr6:uid="{00000000-000C-0000-FFFF-FFFF12000000}" r="J7" connectionId="0">
    <xmlCellPr id="1" xr6:uid="{00000000-0010-0000-1200-000001000000}" uniqueName="ns2:NumberOfJudgesForCategory">
      <xmlPr mapId="4" xpath="/ns2:ScoreSheet/ns2:RoundSettings/ns2:NumberOfJudgesForCategory" xmlDataType="int"/>
    </xmlCellPr>
  </singleXmlCell>
  <singleXmlCell id="1" xr6:uid="{00000000-000C-0000-FFFF-FFFF13000000}" r="B13" connectionId="0">
    <xmlCellPr id="1" xr6:uid="{00000000-0010-0000-1300-000001000000}" uniqueName="ns2:Team1Player1">
      <xmlPr mapId="4" xpath="/ns2:ScoreSheet/ns2:Players/ns2:Team1Player1" xmlDataType="string"/>
    </xmlCellPr>
  </singleXmlCell>
  <singleXmlCell id="2" xr6:uid="{00000000-000C-0000-FFFF-FFFF14000000}" r="D13" connectionId="0">
    <xmlCellPr id="1" xr6:uid="{00000000-0010-0000-1400-000001000000}" uniqueName="ns2:Team1Player2">
      <xmlPr mapId="4" xpath="/ns2:ScoreSheet/ns2:Players/ns2:Team1Player2" xmlDataType="string"/>
    </xmlCellPr>
  </singleXmlCell>
  <singleXmlCell id="3" xr6:uid="{00000000-000C-0000-FFFF-FFFF15000000}" r="F13" connectionId="0">
    <xmlCellPr id="1" xr6:uid="{00000000-0010-0000-1500-000001000000}" uniqueName="ns2:Team1Player3">
      <xmlPr mapId="4" xpath="/ns2:ScoreSheet/ns2:Players/ns2:Team1Player3" xmlDataType="string"/>
    </xmlCellPr>
  </singleXmlCell>
  <singleXmlCell id="4" xr6:uid="{00000000-000C-0000-FFFF-FFFF16000000}" r="B14" connectionId="0">
    <xmlCellPr id="1" xr6:uid="{00000000-0010-0000-1600-000001000000}" uniqueName="ns2:Team2Player1">
      <xmlPr mapId="4" xpath="/ns2:ScoreSheet/ns2:Players/ns2:Team2Player1" xmlDataType="string"/>
    </xmlCellPr>
  </singleXmlCell>
  <singleXmlCell id="5" xr6:uid="{00000000-000C-0000-FFFF-FFFF17000000}" r="D14" connectionId="0">
    <xmlCellPr id="1" xr6:uid="{00000000-0010-0000-1700-000001000000}" uniqueName="ns2:Team2Player2">
      <xmlPr mapId="4" xpath="/ns2:ScoreSheet/ns2:Players/ns2:Team2Player2" xmlDataType="string"/>
    </xmlCellPr>
  </singleXmlCell>
  <singleXmlCell id="6" xr6:uid="{00000000-000C-0000-FFFF-FFFF18000000}" r="F14" connectionId="0">
    <xmlCellPr id="1" xr6:uid="{00000000-0010-0000-1800-000001000000}" uniqueName="ns2:Team2Player3">
      <xmlPr mapId="4" xpath="/ns2:ScoreSheet/ns2:Players/ns2:Team2Player3" xmlDataType="string"/>
    </xmlCellPr>
  </singleXmlCell>
  <singleXmlCell id="7" xr6:uid="{00000000-000C-0000-FFFF-FFFF19000000}" r="B15" connectionId="0">
    <xmlCellPr id="1" xr6:uid="{00000000-0010-0000-1900-000001000000}" uniqueName="ns2:Team3Player1">
      <xmlPr mapId="4" xpath="/ns2:ScoreSheet/ns2:Players/ns2:Team3Player1" xmlDataType="string"/>
    </xmlCellPr>
  </singleXmlCell>
  <singleXmlCell id="8" xr6:uid="{00000000-000C-0000-FFFF-FFFF1A000000}" r="D15" connectionId="0">
    <xmlCellPr id="1" xr6:uid="{00000000-0010-0000-1A00-000001000000}" uniqueName="ns2:Team3Player2">
      <xmlPr mapId="4" xpath="/ns2:ScoreSheet/ns2:Players/ns2:Team3Player2" xmlDataType="string"/>
    </xmlCellPr>
  </singleXmlCell>
  <singleXmlCell id="9" xr6:uid="{00000000-000C-0000-FFFF-FFFF1B000000}" r="F15" connectionId="0">
    <xmlCellPr id="1" xr6:uid="{00000000-0010-0000-1B00-000001000000}" uniqueName="ns2:Team3Player3">
      <xmlPr mapId="4" xpath="/ns2:ScoreSheet/ns2:Players/ns2:Team3Player3" xmlDataType="string"/>
    </xmlCellPr>
  </singleXmlCell>
  <singleXmlCell id="10" xr6:uid="{00000000-000C-0000-FFFF-FFFF1C000000}" r="B16" connectionId="0">
    <xmlCellPr id="1" xr6:uid="{00000000-0010-0000-1C00-000001000000}" uniqueName="ns2:Team4Player1">
      <xmlPr mapId="4" xpath="/ns2:ScoreSheet/ns2:Players/ns2:Team4Player1" xmlDataType="string"/>
    </xmlCellPr>
  </singleXmlCell>
  <singleXmlCell id="11" xr6:uid="{00000000-000C-0000-FFFF-FFFF1D000000}" r="D16" connectionId="0">
    <xmlCellPr id="1" xr6:uid="{00000000-0010-0000-1D00-000001000000}" uniqueName="ns2:Team4Player2">
      <xmlPr mapId="4" xpath="/ns2:ScoreSheet/ns2:Players/ns2:Team4Player2" xmlDataType="string"/>
    </xmlCellPr>
  </singleXmlCell>
  <singleXmlCell id="12" xr6:uid="{00000000-000C-0000-FFFF-FFFF1E000000}" r="F16" connectionId="0">
    <xmlCellPr id="1" xr6:uid="{00000000-0010-0000-1E00-000001000000}" uniqueName="ns2:Team4Player3">
      <xmlPr mapId="4" xpath="/ns2:ScoreSheet/ns2:Players/ns2:Team4Player3" xmlDataType="string"/>
    </xmlCellPr>
  </singleXmlCell>
  <singleXmlCell id="13" xr6:uid="{00000000-000C-0000-FFFF-FFFF1F000000}" r="B17" connectionId="0">
    <xmlCellPr id="1" xr6:uid="{00000000-0010-0000-1F00-000001000000}" uniqueName="ns2:Team5Player1">
      <xmlPr mapId="4" xpath="/ns2:ScoreSheet/ns2:Players/ns2:Team5Player1" xmlDataType="string"/>
    </xmlCellPr>
  </singleXmlCell>
  <singleXmlCell id="14" xr6:uid="{00000000-000C-0000-FFFF-FFFF20000000}" r="D17" connectionId="0">
    <xmlCellPr id="1" xr6:uid="{00000000-0010-0000-2000-000001000000}" uniqueName="ns2:Team5Player2">
      <xmlPr mapId="4" xpath="/ns2:ScoreSheet/ns2:Players/ns2:Team5Player2" xmlDataType="string"/>
    </xmlCellPr>
  </singleXmlCell>
  <singleXmlCell id="15" xr6:uid="{00000000-000C-0000-FFFF-FFFF21000000}" r="F17" connectionId="0">
    <xmlCellPr id="1" xr6:uid="{00000000-0010-0000-2100-000001000000}" uniqueName="ns2:Team5Player3">
      <xmlPr mapId="4" xpath="/ns2:ScoreSheet/ns2:Players/ns2:Team5Player3" xmlDataType="string"/>
    </xmlCellPr>
  </singleXmlCell>
  <singleXmlCell id="16" xr6:uid="{00000000-000C-0000-FFFF-FFFF22000000}" r="B18" connectionId="0">
    <xmlCellPr id="1" xr6:uid="{00000000-0010-0000-2200-000001000000}" uniqueName="ns2:Team6Player1">
      <xmlPr mapId="4" xpath="/ns2:ScoreSheet/ns2:Players/ns2:Team6Player1" xmlDataType="string"/>
    </xmlCellPr>
  </singleXmlCell>
  <singleXmlCell id="17" xr6:uid="{00000000-000C-0000-FFFF-FFFF23000000}" r="D18" connectionId="0">
    <xmlCellPr id="1" xr6:uid="{00000000-0010-0000-2300-000001000000}" uniqueName="ns2:Team6Player2">
      <xmlPr mapId="4" xpath="/ns2:ScoreSheet/ns2:Players/ns2:Team6Player2" xmlDataType="string"/>
    </xmlCellPr>
  </singleXmlCell>
  <singleXmlCell id="18" xr6:uid="{00000000-000C-0000-FFFF-FFFF24000000}" r="F18" connectionId="0">
    <xmlCellPr id="1" xr6:uid="{00000000-0010-0000-2400-000001000000}" uniqueName="ns2:Team6Player3">
      <xmlPr mapId="4" xpath="/ns2:ScoreSheet/ns2:Players/ns2:Team6Player3" xmlDataType="string"/>
    </xmlCellPr>
  </singleXmlCell>
  <singleXmlCell id="19" xr6:uid="{00000000-000C-0000-FFFF-FFFF25000000}" r="B19" connectionId="0">
    <xmlCellPr id="1" xr6:uid="{00000000-0010-0000-2500-000001000000}" uniqueName="ns2:Team7Player1">
      <xmlPr mapId="4" xpath="/ns2:ScoreSheet/ns2:Players/ns2:Team7Player1" xmlDataType="string"/>
    </xmlCellPr>
  </singleXmlCell>
  <singleXmlCell id="20" xr6:uid="{00000000-000C-0000-FFFF-FFFF26000000}" r="D19" connectionId="0">
    <xmlCellPr id="1" xr6:uid="{00000000-0010-0000-2600-000001000000}" uniqueName="ns2:Team7Player2">
      <xmlPr mapId="4" xpath="/ns2:ScoreSheet/ns2:Players/ns2:Team7Player2" xmlDataType="string"/>
    </xmlCellPr>
  </singleXmlCell>
  <singleXmlCell id="21" xr6:uid="{00000000-000C-0000-FFFF-FFFF27000000}" r="F19" connectionId="0">
    <xmlCellPr id="1" xr6:uid="{00000000-0010-0000-2700-000001000000}" uniqueName="ns2:Team7Player3">
      <xmlPr mapId="4" xpath="/ns2:ScoreSheet/ns2:Players/ns2:Team7Player3" xmlDataType="string"/>
    </xmlCellPr>
  </singleXmlCell>
  <singleXmlCell id="22" xr6:uid="{00000000-000C-0000-FFFF-FFFF28000000}" r="B20" connectionId="0">
    <xmlCellPr id="1" xr6:uid="{00000000-0010-0000-2800-000001000000}" uniqueName="ns2:Team8Player1">
      <xmlPr mapId="4" xpath="/ns2:ScoreSheet/ns2:Players/ns2:Team8Player1" xmlDataType="string"/>
    </xmlCellPr>
  </singleXmlCell>
  <singleXmlCell id="23" xr6:uid="{00000000-000C-0000-FFFF-FFFF29000000}" r="D20" connectionId="0">
    <xmlCellPr id="1" xr6:uid="{00000000-0010-0000-2900-000001000000}" uniqueName="ns2:Team8Player2">
      <xmlPr mapId="4" xpath="/ns2:ScoreSheet/ns2:Players/ns2:Team8Player2" xmlDataType="string"/>
    </xmlCellPr>
  </singleXmlCell>
  <singleXmlCell id="24" xr6:uid="{00000000-000C-0000-FFFF-FFFF2A000000}" r="F20" connectionId="0">
    <xmlCellPr id="1" xr6:uid="{00000000-0010-0000-2A00-000001000000}" uniqueName="ns2:Team8Player3">
      <xmlPr mapId="4" xpath="/ns2:ScoreSheet/ns2:Players/ns2:Team8Player3" xmlDataType="string"/>
    </xmlCellPr>
  </singleXmlCell>
  <singleXmlCell id="25" xr6:uid="{00000000-000C-0000-FFFF-FFFF2B000000}" r="B21" connectionId="0">
    <xmlCellPr id="1" xr6:uid="{00000000-0010-0000-2B00-000001000000}" uniqueName="ns2:Team9Player1">
      <xmlPr mapId="4" xpath="/ns2:ScoreSheet/ns2:Players/ns2:Team9Player1" xmlDataType="string"/>
    </xmlCellPr>
  </singleXmlCell>
  <singleXmlCell id="26" xr6:uid="{00000000-000C-0000-FFFF-FFFF2C000000}" r="D21" connectionId="0">
    <xmlCellPr id="1" xr6:uid="{00000000-0010-0000-2C00-000001000000}" uniqueName="ns2:Team9Player2">
      <xmlPr mapId="4" xpath="/ns2:ScoreSheet/ns2:Players/ns2:Team9Player2" xmlDataType="string"/>
    </xmlCellPr>
  </singleXmlCell>
  <singleXmlCell id="27" xr6:uid="{00000000-000C-0000-FFFF-FFFF2D000000}" r="F21" connectionId="0">
    <xmlCellPr id="1" xr6:uid="{00000000-0010-0000-2D00-000001000000}" uniqueName="ns2:Team9Player3">
      <xmlPr mapId="4" xpath="/ns2:ScoreSheet/ns2:Players/ns2:Team9Player3" xmlDataType="string"/>
    </xmlCellPr>
  </singleXmlCell>
  <singleXmlCell id="28" xr6:uid="{00000000-000C-0000-FFFF-FFFF2E000000}" r="B22" connectionId="0">
    <xmlCellPr id="1" xr6:uid="{00000000-0010-0000-2E00-000001000000}" uniqueName="ns2:Team10Player1">
      <xmlPr mapId="4" xpath="/ns2:ScoreSheet/ns2:Players/ns2:Team10Player1" xmlDataType="string"/>
    </xmlCellPr>
  </singleXmlCell>
  <singleXmlCell id="29" xr6:uid="{00000000-000C-0000-FFFF-FFFF2F000000}" r="D22" connectionId="0">
    <xmlCellPr id="1" xr6:uid="{00000000-0010-0000-2F00-000001000000}" uniqueName="ns2:Team10Player2">
      <xmlPr mapId="4" xpath="/ns2:ScoreSheet/ns2:Players/ns2:Team10Player2" xmlDataType="string"/>
    </xmlCellPr>
  </singleXmlCell>
  <singleXmlCell id="30" xr6:uid="{00000000-000C-0000-FFFF-FFFF30000000}" r="F22" connectionId="0">
    <xmlCellPr id="1" xr6:uid="{00000000-0010-0000-3000-000001000000}" uniqueName="ns2:Team10Player3">
      <xmlPr mapId="4" xpath="/ns2:ScoreSheet/ns2:Players/ns2:Team10Player3" xmlDataType="string"/>
    </xmlCellPr>
  </singleXmlCell>
</singleXmlCells>
</file>

<file path=xl/tables/tableSingleCells2.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31" xr6:uid="{00000000-000C-0000-FFFF-FFFF31000000}" r="C6" connectionId="0">
    <xmlCellPr id="1" xr6:uid="{00000000-0010-0000-3100-000001000000}" uniqueName="ns2:Team1Point1">
      <xmlPr mapId="4" xpath="/ns2:ScoreSheet/ns2:Ex1/ns2:Team1Point1" xmlDataType="decimal"/>
    </xmlCellPr>
  </singleXmlCell>
  <singleXmlCell id="32" xr6:uid="{00000000-000C-0000-FFFF-FFFF32000000}" r="D6" connectionId="0">
    <xmlCellPr id="1" xr6:uid="{00000000-0010-0000-3200-000001000000}" uniqueName="ns2:Team1Point2">
      <xmlPr mapId="4" xpath="/ns2:ScoreSheet/ns2:Ex1/ns2:Team1Point2" xmlDataType="decimal"/>
    </xmlCellPr>
  </singleXmlCell>
  <singleXmlCell id="33" xr6:uid="{00000000-000C-0000-FFFF-FFFF33000000}" r="E6" connectionId="0">
    <xmlCellPr id="1" xr6:uid="{00000000-0010-0000-3300-000001000000}" uniqueName="ns2:Team1Point3">
      <xmlPr mapId="4" xpath="/ns2:ScoreSheet/ns2:Ex1/ns2:Team1Point3" xmlDataType="decimal"/>
    </xmlCellPr>
  </singleXmlCell>
  <singleXmlCell id="34" xr6:uid="{00000000-000C-0000-FFFF-FFFF34000000}" r="F6" connectionId="0">
    <xmlCellPr id="1" xr6:uid="{00000000-0010-0000-3400-000001000000}" uniqueName="ns2:Team1Point5">
      <xmlPr mapId="4" xpath="/ns2:ScoreSheet/ns2:Ex1/ns2:Team1Point5" xmlDataType="decimal"/>
    </xmlCellPr>
  </singleXmlCell>
  <singleXmlCell id="35" xr6:uid="{00000000-000C-0000-FFFF-FFFF35000000}" r="C7" connectionId="0">
    <xmlCellPr id="1" xr6:uid="{00000000-0010-0000-3500-000001000000}" uniqueName="ns2:Team2Point1">
      <xmlPr mapId="4" xpath="/ns2:ScoreSheet/ns2:Ex1/ns2:Team2Point1" xmlDataType="decimal"/>
    </xmlCellPr>
  </singleXmlCell>
  <singleXmlCell id="36" xr6:uid="{00000000-000C-0000-FFFF-FFFF36000000}" r="D7" connectionId="0">
    <xmlCellPr id="1" xr6:uid="{00000000-0010-0000-3600-000001000000}" uniqueName="ns2:Team2Point2">
      <xmlPr mapId="4" xpath="/ns2:ScoreSheet/ns2:Ex1/ns2:Team2Point2" xmlDataType="decimal"/>
    </xmlCellPr>
  </singleXmlCell>
  <singleXmlCell id="37" xr6:uid="{00000000-000C-0000-FFFF-FFFF37000000}" r="E7" connectionId="0">
    <xmlCellPr id="1" xr6:uid="{00000000-0010-0000-3700-000001000000}" uniqueName="ns2:Team2Point3">
      <xmlPr mapId="4" xpath="/ns2:ScoreSheet/ns2:Ex1/ns2:Team2Point3" xmlDataType="decimal"/>
    </xmlCellPr>
  </singleXmlCell>
  <singleXmlCell id="38" xr6:uid="{00000000-000C-0000-FFFF-FFFF38000000}" r="F7" connectionId="0">
    <xmlCellPr id="1" xr6:uid="{00000000-0010-0000-3800-000001000000}" uniqueName="ns2:Team2Point5">
      <xmlPr mapId="4" xpath="/ns2:ScoreSheet/ns2:Ex1/ns2:Team2Point5" xmlDataType="decimal"/>
    </xmlCellPr>
  </singleXmlCell>
  <singleXmlCell id="39" xr6:uid="{00000000-000C-0000-FFFF-FFFF39000000}" r="C8" connectionId="0">
    <xmlCellPr id="1" xr6:uid="{00000000-0010-0000-3900-000001000000}" uniqueName="ns2:Team3Point1">
      <xmlPr mapId="4" xpath="/ns2:ScoreSheet/ns2:Ex1/ns2:Team3Point1" xmlDataType="decimal"/>
    </xmlCellPr>
  </singleXmlCell>
  <singleXmlCell id="40" xr6:uid="{00000000-000C-0000-FFFF-FFFF3A000000}" r="D8" connectionId="0">
    <xmlCellPr id="1" xr6:uid="{00000000-0010-0000-3A00-000001000000}" uniqueName="ns2:Team3Point2">
      <xmlPr mapId="4" xpath="/ns2:ScoreSheet/ns2:Ex1/ns2:Team3Point2" xmlDataType="decimal"/>
    </xmlCellPr>
  </singleXmlCell>
  <singleXmlCell id="41" xr6:uid="{00000000-000C-0000-FFFF-FFFF3B000000}" r="E8" connectionId="0">
    <xmlCellPr id="1" xr6:uid="{00000000-0010-0000-3B00-000001000000}" uniqueName="ns2:Team3Point3">
      <xmlPr mapId="4" xpath="/ns2:ScoreSheet/ns2:Ex1/ns2:Team3Point3" xmlDataType="decimal"/>
    </xmlCellPr>
  </singleXmlCell>
  <singleXmlCell id="42" xr6:uid="{00000000-000C-0000-FFFF-FFFF3C000000}" r="F8" connectionId="0">
    <xmlCellPr id="1" xr6:uid="{00000000-0010-0000-3C00-000001000000}" uniqueName="ns2:Team3Point5">
      <xmlPr mapId="4" xpath="/ns2:ScoreSheet/ns2:Ex1/ns2:Team3Point5" xmlDataType="decimal"/>
    </xmlCellPr>
  </singleXmlCell>
  <singleXmlCell id="43" xr6:uid="{00000000-000C-0000-FFFF-FFFF3D000000}" r="C9" connectionId="0">
    <xmlCellPr id="1" xr6:uid="{00000000-0010-0000-3D00-000001000000}" uniqueName="ns2:Team4Point1">
      <xmlPr mapId="4" xpath="/ns2:ScoreSheet/ns2:Ex1/ns2:Team4Point1" xmlDataType="decimal"/>
    </xmlCellPr>
  </singleXmlCell>
  <singleXmlCell id="44" xr6:uid="{00000000-000C-0000-FFFF-FFFF3E000000}" r="D9" connectionId="0">
    <xmlCellPr id="1" xr6:uid="{00000000-0010-0000-3E00-000001000000}" uniqueName="ns2:Team4Point2">
      <xmlPr mapId="4" xpath="/ns2:ScoreSheet/ns2:Ex1/ns2:Team4Point2" xmlDataType="decimal"/>
    </xmlCellPr>
  </singleXmlCell>
  <singleXmlCell id="45" xr6:uid="{00000000-000C-0000-FFFF-FFFF3F000000}" r="E9" connectionId="0">
    <xmlCellPr id="1" xr6:uid="{00000000-0010-0000-3F00-000001000000}" uniqueName="ns2:Team4Point3">
      <xmlPr mapId="4" xpath="/ns2:ScoreSheet/ns2:Ex1/ns2:Team4Point3" xmlDataType="decimal"/>
    </xmlCellPr>
  </singleXmlCell>
  <singleXmlCell id="46" xr6:uid="{00000000-000C-0000-FFFF-FFFF40000000}" r="F9" connectionId="0">
    <xmlCellPr id="1" xr6:uid="{00000000-0010-0000-4000-000001000000}" uniqueName="ns2:Team4Point5">
      <xmlPr mapId="4" xpath="/ns2:ScoreSheet/ns2:Ex1/ns2:Team4Point5" xmlDataType="decimal"/>
    </xmlCellPr>
  </singleXmlCell>
  <singleXmlCell id="47" xr6:uid="{00000000-000C-0000-FFFF-FFFF41000000}" r="C10" connectionId="0">
    <xmlCellPr id="1" xr6:uid="{00000000-0010-0000-4100-000001000000}" uniqueName="ns2:Team5Point1">
      <xmlPr mapId="4" xpath="/ns2:ScoreSheet/ns2:Ex1/ns2:Team5Point1" xmlDataType="decimal"/>
    </xmlCellPr>
  </singleXmlCell>
  <singleXmlCell id="48" xr6:uid="{00000000-000C-0000-FFFF-FFFF42000000}" r="D10" connectionId="0">
    <xmlCellPr id="1" xr6:uid="{00000000-0010-0000-4200-000001000000}" uniqueName="ns2:Team5Point2">
      <xmlPr mapId="4" xpath="/ns2:ScoreSheet/ns2:Ex1/ns2:Team5Point2" xmlDataType="decimal"/>
    </xmlCellPr>
  </singleXmlCell>
  <singleXmlCell id="49" xr6:uid="{00000000-000C-0000-FFFF-FFFF43000000}" r="E10" connectionId="0">
    <xmlCellPr id="1" xr6:uid="{00000000-0010-0000-4300-000001000000}" uniqueName="ns2:Team5Point3">
      <xmlPr mapId="4" xpath="/ns2:ScoreSheet/ns2:Ex1/ns2:Team5Point3" xmlDataType="decimal"/>
    </xmlCellPr>
  </singleXmlCell>
  <singleXmlCell id="50" xr6:uid="{00000000-000C-0000-FFFF-FFFF44000000}" r="F10" connectionId="0">
    <xmlCellPr id="1" xr6:uid="{00000000-0010-0000-4400-000001000000}" uniqueName="ns2:Team5Point5">
      <xmlPr mapId="4" xpath="/ns2:ScoreSheet/ns2:Ex1/ns2:Team5Point5" xmlDataType="decimal"/>
    </xmlCellPr>
  </singleXmlCell>
  <singleXmlCell id="51" xr6:uid="{00000000-000C-0000-FFFF-FFFF45000000}" r="C11" connectionId="0">
    <xmlCellPr id="1" xr6:uid="{00000000-0010-0000-4500-000001000000}" uniqueName="ns2:Team6Point1">
      <xmlPr mapId="4" xpath="/ns2:ScoreSheet/ns2:Ex1/ns2:Team6Point1" xmlDataType="decimal"/>
    </xmlCellPr>
  </singleXmlCell>
  <singleXmlCell id="52" xr6:uid="{00000000-000C-0000-FFFF-FFFF46000000}" r="D11" connectionId="0">
    <xmlCellPr id="1" xr6:uid="{00000000-0010-0000-4600-000001000000}" uniqueName="ns2:Team6Point2">
      <xmlPr mapId="4" xpath="/ns2:ScoreSheet/ns2:Ex1/ns2:Team6Point2" xmlDataType="decimal"/>
    </xmlCellPr>
  </singleXmlCell>
  <singleXmlCell id="53" xr6:uid="{00000000-000C-0000-FFFF-FFFF47000000}" r="E11" connectionId="0">
    <xmlCellPr id="1" xr6:uid="{00000000-0010-0000-4700-000001000000}" uniqueName="ns2:Team6Point3">
      <xmlPr mapId="4" xpath="/ns2:ScoreSheet/ns2:Ex1/ns2:Team6Point3" xmlDataType="decimal"/>
    </xmlCellPr>
  </singleXmlCell>
  <singleXmlCell id="54" xr6:uid="{00000000-000C-0000-FFFF-FFFF48000000}" r="F11" connectionId="0">
    <xmlCellPr id="1" xr6:uid="{00000000-0010-0000-4800-000001000000}" uniqueName="ns2:Team6Point5">
      <xmlPr mapId="4" xpath="/ns2:ScoreSheet/ns2:Ex1/ns2:Team6Point5" xmlDataType="decimal"/>
    </xmlCellPr>
  </singleXmlCell>
  <singleXmlCell id="55" xr6:uid="{00000000-000C-0000-FFFF-FFFF49000000}" r="C12" connectionId="0">
    <xmlCellPr id="1" xr6:uid="{00000000-0010-0000-4900-000001000000}" uniqueName="ns2:Team7Point1">
      <xmlPr mapId="4" xpath="/ns2:ScoreSheet/ns2:Ex1/ns2:Team7Point1" xmlDataType="decimal"/>
    </xmlCellPr>
  </singleXmlCell>
  <singleXmlCell id="56" xr6:uid="{00000000-000C-0000-FFFF-FFFF4A000000}" r="D12" connectionId="0">
    <xmlCellPr id="1" xr6:uid="{00000000-0010-0000-4A00-000001000000}" uniqueName="ns2:Team7Point2">
      <xmlPr mapId="4" xpath="/ns2:ScoreSheet/ns2:Ex1/ns2:Team7Point2" xmlDataType="decimal"/>
    </xmlCellPr>
  </singleXmlCell>
  <singleXmlCell id="57" xr6:uid="{00000000-000C-0000-FFFF-FFFF4B000000}" r="E12" connectionId="0">
    <xmlCellPr id="1" xr6:uid="{00000000-0010-0000-4B00-000001000000}" uniqueName="ns2:Team7Point3">
      <xmlPr mapId="4" xpath="/ns2:ScoreSheet/ns2:Ex1/ns2:Team7Point3" xmlDataType="decimal"/>
    </xmlCellPr>
  </singleXmlCell>
  <singleXmlCell id="58" xr6:uid="{00000000-000C-0000-FFFF-FFFF4C000000}" r="F12" connectionId="0">
    <xmlCellPr id="1" xr6:uid="{00000000-0010-0000-4C00-000001000000}" uniqueName="ns2:Team7Point5">
      <xmlPr mapId="4" xpath="/ns2:ScoreSheet/ns2:Ex1/ns2:Team7Point5" xmlDataType="decimal"/>
    </xmlCellPr>
  </singleXmlCell>
  <singleXmlCell id="59" xr6:uid="{00000000-000C-0000-FFFF-FFFF4D000000}" r="C13" connectionId="0">
    <xmlCellPr id="1" xr6:uid="{00000000-0010-0000-4D00-000001000000}" uniqueName="ns2:Team8Point1">
      <xmlPr mapId="4" xpath="/ns2:ScoreSheet/ns2:Ex1/ns2:Team8Point1" xmlDataType="decimal"/>
    </xmlCellPr>
  </singleXmlCell>
  <singleXmlCell id="60" xr6:uid="{00000000-000C-0000-FFFF-FFFF4E000000}" r="D13" connectionId="0">
    <xmlCellPr id="1" xr6:uid="{00000000-0010-0000-4E00-000001000000}" uniqueName="ns2:Team8Point2">
      <xmlPr mapId="4" xpath="/ns2:ScoreSheet/ns2:Ex1/ns2:Team8Point2" xmlDataType="decimal"/>
    </xmlCellPr>
  </singleXmlCell>
  <singleXmlCell id="61" xr6:uid="{00000000-000C-0000-FFFF-FFFF4F000000}" r="E13" connectionId="0">
    <xmlCellPr id="1" xr6:uid="{00000000-0010-0000-4F00-000001000000}" uniqueName="ns2:Team8Point3">
      <xmlPr mapId="4" xpath="/ns2:ScoreSheet/ns2:Ex1/ns2:Team8Point3" xmlDataType="decimal"/>
    </xmlCellPr>
  </singleXmlCell>
  <singleXmlCell id="62" xr6:uid="{00000000-000C-0000-FFFF-FFFF50000000}" r="F13" connectionId="0">
    <xmlCellPr id="1" xr6:uid="{00000000-0010-0000-5000-000001000000}" uniqueName="ns2:Team8Point5">
      <xmlPr mapId="4" xpath="/ns2:ScoreSheet/ns2:Ex1/ns2:Team8Point5" xmlDataType="decimal"/>
    </xmlCellPr>
  </singleXmlCell>
  <singleXmlCell id="63" xr6:uid="{00000000-000C-0000-FFFF-FFFF51000000}" r="C14" connectionId="0">
    <xmlCellPr id="1" xr6:uid="{00000000-0010-0000-5100-000001000000}" uniqueName="ns2:Team9Point1">
      <xmlPr mapId="4" xpath="/ns2:ScoreSheet/ns2:Ex1/ns2:Team9Point1" xmlDataType="decimal"/>
    </xmlCellPr>
  </singleXmlCell>
  <singleXmlCell id="64" xr6:uid="{00000000-000C-0000-FFFF-FFFF52000000}" r="D14" connectionId="0">
    <xmlCellPr id="1" xr6:uid="{00000000-0010-0000-5200-000001000000}" uniqueName="ns2:Team9Point2">
      <xmlPr mapId="4" xpath="/ns2:ScoreSheet/ns2:Ex1/ns2:Team9Point2" xmlDataType="decimal"/>
    </xmlCellPr>
  </singleXmlCell>
  <singleXmlCell id="67" xr6:uid="{00000000-000C-0000-FFFF-FFFF53000000}" r="E14" connectionId="0">
    <xmlCellPr id="1" xr6:uid="{00000000-0010-0000-5300-000001000000}" uniqueName="ns2:Team9Point3">
      <xmlPr mapId="4" xpath="/ns2:ScoreSheet/ns2:Ex1/ns2:Team9Point3" xmlDataType="decimal"/>
    </xmlCellPr>
  </singleXmlCell>
  <singleXmlCell id="68" xr6:uid="{00000000-000C-0000-FFFF-FFFF54000000}" r="F14" connectionId="0">
    <xmlCellPr id="1" xr6:uid="{00000000-0010-0000-5400-000001000000}" uniqueName="ns2:Team9Point5">
      <xmlPr mapId="4" xpath="/ns2:ScoreSheet/ns2:Ex1/ns2:Team9Point5" xmlDataType="decimal"/>
    </xmlCellPr>
  </singleXmlCell>
  <singleXmlCell id="87" xr6:uid="{00000000-000C-0000-FFFF-FFFF55000000}" r="C15" connectionId="0">
    <xmlCellPr id="1" xr6:uid="{00000000-0010-0000-5500-000001000000}" uniqueName="ns2:Team10Point1">
      <xmlPr mapId="4" xpath="/ns2:ScoreSheet/ns2:Ex1/ns2:Team10Point1" xmlDataType="decimal"/>
    </xmlCellPr>
  </singleXmlCell>
  <singleXmlCell id="88" xr6:uid="{00000000-000C-0000-FFFF-FFFF56000000}" r="D15" connectionId="0">
    <xmlCellPr id="1" xr6:uid="{00000000-0010-0000-5600-000001000000}" uniqueName="ns2:Team10Point2">
      <xmlPr mapId="4" xpath="/ns2:ScoreSheet/ns2:Ex1/ns2:Team10Point2" xmlDataType="decimal"/>
    </xmlCellPr>
  </singleXmlCell>
  <singleXmlCell id="89" xr6:uid="{00000000-000C-0000-FFFF-FFFF57000000}" r="E15" connectionId="0">
    <xmlCellPr id="1" xr6:uid="{00000000-0010-0000-5700-000001000000}" uniqueName="ns2:Team10Point3">
      <xmlPr mapId="4" xpath="/ns2:ScoreSheet/ns2:Ex1/ns2:Team10Point3" xmlDataType="decimal"/>
    </xmlCellPr>
  </singleXmlCell>
  <singleXmlCell id="90" xr6:uid="{00000000-000C-0000-FFFF-FFFF58000000}" r="F15" connectionId="0">
    <xmlCellPr id="1" xr6:uid="{00000000-0010-0000-5800-000001000000}" uniqueName="ns2:Team10Point5">
      <xmlPr mapId="4" xpath="/ns2:ScoreSheet/ns2:Ex1/ns2:Team10Point5" xmlDataType="decimal"/>
    </xmlCellPr>
  </singleXmlCell>
</singleXmlCells>
</file>

<file path=xl/tables/tableSingleCells3.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91" xr6:uid="{00000000-000C-0000-FFFF-FFFF59000000}" r="C6" connectionId="0">
    <xmlCellPr id="1" xr6:uid="{00000000-0010-0000-5900-000001000000}" uniqueName="ns2:Team1Point1">
      <xmlPr mapId="4" xpath="/ns2:ScoreSheet/ns2:Ex2/ns2:Team1Point1" xmlDataType="decimal"/>
    </xmlCellPr>
  </singleXmlCell>
  <singleXmlCell id="92" xr6:uid="{00000000-000C-0000-FFFF-FFFF5A000000}" r="D6" connectionId="0">
    <xmlCellPr id="1" xr6:uid="{00000000-0010-0000-5A00-000001000000}" uniqueName="ns2:Team1Point2">
      <xmlPr mapId="4" xpath="/ns2:ScoreSheet/ns2:Ex2/ns2:Team1Point2" xmlDataType="decimal"/>
    </xmlCellPr>
  </singleXmlCell>
  <singleXmlCell id="93" xr6:uid="{00000000-000C-0000-FFFF-FFFF5B000000}" r="E6" connectionId="0">
    <xmlCellPr id="1" xr6:uid="{00000000-0010-0000-5B00-000001000000}" uniqueName="ns2:Team1Point3">
      <xmlPr mapId="4" xpath="/ns2:ScoreSheet/ns2:Ex2/ns2:Team1Point3" xmlDataType="decimal"/>
    </xmlCellPr>
  </singleXmlCell>
  <singleXmlCell id="94" xr6:uid="{00000000-000C-0000-FFFF-FFFF5C000000}" r="F6" connectionId="0">
    <xmlCellPr id="1" xr6:uid="{00000000-0010-0000-5C00-000001000000}" uniqueName="ns2:Team1Point5">
      <xmlPr mapId="4" xpath="/ns2:ScoreSheet/ns2:Ex2/ns2:Team1Point5" xmlDataType="decimal"/>
    </xmlCellPr>
  </singleXmlCell>
  <singleXmlCell id="95" xr6:uid="{00000000-000C-0000-FFFF-FFFF5D000000}" r="C7" connectionId="0">
    <xmlCellPr id="1" xr6:uid="{00000000-0010-0000-5D00-000001000000}" uniqueName="ns2:Team2Point1">
      <xmlPr mapId="4" xpath="/ns2:ScoreSheet/ns2:Ex2/ns2:Team2Point1" xmlDataType="decimal"/>
    </xmlCellPr>
  </singleXmlCell>
  <singleXmlCell id="96" xr6:uid="{00000000-000C-0000-FFFF-FFFF5E000000}" r="D7" connectionId="0">
    <xmlCellPr id="1" xr6:uid="{00000000-0010-0000-5E00-000001000000}" uniqueName="ns2:Team2Point2">
      <xmlPr mapId="4" xpath="/ns2:ScoreSheet/ns2:Ex2/ns2:Team2Point2" xmlDataType="decimal"/>
    </xmlCellPr>
  </singleXmlCell>
  <singleXmlCell id="97" xr6:uid="{00000000-000C-0000-FFFF-FFFF5F000000}" r="E7" connectionId="0">
    <xmlCellPr id="1" xr6:uid="{00000000-0010-0000-5F00-000001000000}" uniqueName="ns2:Team2Point3">
      <xmlPr mapId="4" xpath="/ns2:ScoreSheet/ns2:Ex2/ns2:Team2Point3" xmlDataType="decimal"/>
    </xmlCellPr>
  </singleXmlCell>
  <singleXmlCell id="98" xr6:uid="{00000000-000C-0000-FFFF-FFFF60000000}" r="F7" connectionId="0">
    <xmlCellPr id="1" xr6:uid="{00000000-0010-0000-6000-000001000000}" uniqueName="ns2:Team2Point5">
      <xmlPr mapId="4" xpath="/ns2:ScoreSheet/ns2:Ex2/ns2:Team2Point5" xmlDataType="decimal"/>
    </xmlCellPr>
  </singleXmlCell>
  <singleXmlCell id="99" xr6:uid="{00000000-000C-0000-FFFF-FFFF61000000}" r="C8" connectionId="0">
    <xmlCellPr id="1" xr6:uid="{00000000-0010-0000-6100-000001000000}" uniqueName="ns2:Team3Point1">
      <xmlPr mapId="4" xpath="/ns2:ScoreSheet/ns2:Ex2/ns2:Team3Point1" xmlDataType="decimal"/>
    </xmlCellPr>
  </singleXmlCell>
  <singleXmlCell id="100" xr6:uid="{00000000-000C-0000-FFFF-FFFF62000000}" r="D8" connectionId="0">
    <xmlCellPr id="1" xr6:uid="{00000000-0010-0000-6200-000001000000}" uniqueName="ns2:Team3Point2">
      <xmlPr mapId="4" xpath="/ns2:ScoreSheet/ns2:Ex2/ns2:Team3Point2" xmlDataType="decimal"/>
    </xmlCellPr>
  </singleXmlCell>
  <singleXmlCell id="101" xr6:uid="{00000000-000C-0000-FFFF-FFFF63000000}" r="E8" connectionId="0">
    <xmlCellPr id="1" xr6:uid="{00000000-0010-0000-6300-000001000000}" uniqueName="ns2:Team3Point3">
      <xmlPr mapId="4" xpath="/ns2:ScoreSheet/ns2:Ex2/ns2:Team3Point3" xmlDataType="decimal"/>
    </xmlCellPr>
  </singleXmlCell>
  <singleXmlCell id="102" xr6:uid="{00000000-000C-0000-FFFF-FFFF64000000}" r="F8" connectionId="0">
    <xmlCellPr id="1" xr6:uid="{00000000-0010-0000-6400-000001000000}" uniqueName="ns2:Team3Point5">
      <xmlPr mapId="4" xpath="/ns2:ScoreSheet/ns2:Ex2/ns2:Team3Point5" xmlDataType="decimal"/>
    </xmlCellPr>
  </singleXmlCell>
  <singleXmlCell id="103" xr6:uid="{00000000-000C-0000-FFFF-FFFF65000000}" r="C9" connectionId="0">
    <xmlCellPr id="1" xr6:uid="{00000000-0010-0000-6500-000001000000}" uniqueName="ns2:Team4Point1">
      <xmlPr mapId="4" xpath="/ns2:ScoreSheet/ns2:Ex2/ns2:Team4Point1" xmlDataType="decimal"/>
    </xmlCellPr>
  </singleXmlCell>
  <singleXmlCell id="104" xr6:uid="{00000000-000C-0000-FFFF-FFFF66000000}" r="D9" connectionId="0">
    <xmlCellPr id="1" xr6:uid="{00000000-0010-0000-6600-000001000000}" uniqueName="ns2:Team4Point2">
      <xmlPr mapId="4" xpath="/ns2:ScoreSheet/ns2:Ex2/ns2:Team4Point2" xmlDataType="decimal"/>
    </xmlCellPr>
  </singleXmlCell>
  <singleXmlCell id="105" xr6:uid="{00000000-000C-0000-FFFF-FFFF67000000}" r="E9" connectionId="0">
    <xmlCellPr id="1" xr6:uid="{00000000-0010-0000-6700-000001000000}" uniqueName="ns2:Team4Point3">
      <xmlPr mapId="4" xpath="/ns2:ScoreSheet/ns2:Ex2/ns2:Team4Point3" xmlDataType="decimal"/>
    </xmlCellPr>
  </singleXmlCell>
  <singleXmlCell id="106" xr6:uid="{00000000-000C-0000-FFFF-FFFF68000000}" r="F9" connectionId="0">
    <xmlCellPr id="1" xr6:uid="{00000000-0010-0000-6800-000001000000}" uniqueName="ns2:Team4Point5">
      <xmlPr mapId="4" xpath="/ns2:ScoreSheet/ns2:Ex2/ns2:Team4Point5" xmlDataType="decimal"/>
    </xmlCellPr>
  </singleXmlCell>
  <singleXmlCell id="107" xr6:uid="{00000000-000C-0000-FFFF-FFFF69000000}" r="C10" connectionId="0">
    <xmlCellPr id="1" xr6:uid="{00000000-0010-0000-6900-000001000000}" uniqueName="ns2:Team5Point1">
      <xmlPr mapId="4" xpath="/ns2:ScoreSheet/ns2:Ex2/ns2:Team5Point1" xmlDataType="decimal"/>
    </xmlCellPr>
  </singleXmlCell>
  <singleXmlCell id="108" xr6:uid="{00000000-000C-0000-FFFF-FFFF6A000000}" r="D10" connectionId="0">
    <xmlCellPr id="1" xr6:uid="{00000000-0010-0000-6A00-000001000000}" uniqueName="ns2:Team5Point2">
      <xmlPr mapId="4" xpath="/ns2:ScoreSheet/ns2:Ex2/ns2:Team5Point2" xmlDataType="decimal"/>
    </xmlCellPr>
  </singleXmlCell>
  <singleXmlCell id="109" xr6:uid="{00000000-000C-0000-FFFF-FFFF6B000000}" r="E10" connectionId="0">
    <xmlCellPr id="1" xr6:uid="{00000000-0010-0000-6B00-000001000000}" uniqueName="ns2:Team5Point3">
      <xmlPr mapId="4" xpath="/ns2:ScoreSheet/ns2:Ex2/ns2:Team5Point3" xmlDataType="decimal"/>
    </xmlCellPr>
  </singleXmlCell>
  <singleXmlCell id="110" xr6:uid="{00000000-000C-0000-FFFF-FFFF6C000000}" r="F10" connectionId="0">
    <xmlCellPr id="1" xr6:uid="{00000000-0010-0000-6C00-000001000000}" uniqueName="ns2:Team5Point5">
      <xmlPr mapId="4" xpath="/ns2:ScoreSheet/ns2:Ex2/ns2:Team5Point5" xmlDataType="decimal"/>
    </xmlCellPr>
  </singleXmlCell>
  <singleXmlCell id="111" xr6:uid="{00000000-000C-0000-FFFF-FFFF6D000000}" r="C11" connectionId="0">
    <xmlCellPr id="1" xr6:uid="{00000000-0010-0000-6D00-000001000000}" uniqueName="ns2:Team6Point1">
      <xmlPr mapId="4" xpath="/ns2:ScoreSheet/ns2:Ex2/ns2:Team6Point1" xmlDataType="decimal"/>
    </xmlCellPr>
  </singleXmlCell>
  <singleXmlCell id="112" xr6:uid="{00000000-000C-0000-FFFF-FFFF6E000000}" r="D11" connectionId="0">
    <xmlCellPr id="1" xr6:uid="{00000000-0010-0000-6E00-000001000000}" uniqueName="ns2:Team6Point2">
      <xmlPr mapId="4" xpath="/ns2:ScoreSheet/ns2:Ex2/ns2:Team6Point2" xmlDataType="decimal"/>
    </xmlCellPr>
  </singleXmlCell>
  <singleXmlCell id="113" xr6:uid="{00000000-000C-0000-FFFF-FFFF6F000000}" r="E11" connectionId="0">
    <xmlCellPr id="1" xr6:uid="{00000000-0010-0000-6F00-000001000000}" uniqueName="ns2:Team6Point3">
      <xmlPr mapId="4" xpath="/ns2:ScoreSheet/ns2:Ex2/ns2:Team6Point3" xmlDataType="decimal"/>
    </xmlCellPr>
  </singleXmlCell>
  <singleXmlCell id="114" xr6:uid="{00000000-000C-0000-FFFF-FFFF70000000}" r="F11" connectionId="0">
    <xmlCellPr id="1" xr6:uid="{00000000-0010-0000-7000-000001000000}" uniqueName="ns2:Team6Point5">
      <xmlPr mapId="4" xpath="/ns2:ScoreSheet/ns2:Ex2/ns2:Team6Point5" xmlDataType="decimal"/>
    </xmlCellPr>
  </singleXmlCell>
  <singleXmlCell id="115" xr6:uid="{00000000-000C-0000-FFFF-FFFF71000000}" r="C12" connectionId="0">
    <xmlCellPr id="1" xr6:uid="{00000000-0010-0000-7100-000001000000}" uniqueName="ns2:Team7Point1">
      <xmlPr mapId="4" xpath="/ns2:ScoreSheet/ns2:Ex2/ns2:Team7Point1" xmlDataType="decimal"/>
    </xmlCellPr>
  </singleXmlCell>
  <singleXmlCell id="116" xr6:uid="{00000000-000C-0000-FFFF-FFFF72000000}" r="D12" connectionId="0">
    <xmlCellPr id="1" xr6:uid="{00000000-0010-0000-7200-000001000000}" uniqueName="ns2:Team7Point2">
      <xmlPr mapId="4" xpath="/ns2:ScoreSheet/ns2:Ex2/ns2:Team7Point2" xmlDataType="decimal"/>
    </xmlCellPr>
  </singleXmlCell>
  <singleXmlCell id="117" xr6:uid="{00000000-000C-0000-FFFF-FFFF73000000}" r="E12" connectionId="0">
    <xmlCellPr id="1" xr6:uid="{00000000-0010-0000-7300-000001000000}" uniqueName="ns2:Team7Point3">
      <xmlPr mapId="4" xpath="/ns2:ScoreSheet/ns2:Ex2/ns2:Team7Point3" xmlDataType="decimal"/>
    </xmlCellPr>
  </singleXmlCell>
  <singleXmlCell id="118" xr6:uid="{00000000-000C-0000-FFFF-FFFF74000000}" r="F12" connectionId="0">
    <xmlCellPr id="1" xr6:uid="{00000000-0010-0000-7400-000001000000}" uniqueName="ns2:Team7Point5">
      <xmlPr mapId="4" xpath="/ns2:ScoreSheet/ns2:Ex2/ns2:Team7Point5" xmlDataType="decimal"/>
    </xmlCellPr>
  </singleXmlCell>
  <singleXmlCell id="119" xr6:uid="{00000000-000C-0000-FFFF-FFFF75000000}" r="C13" connectionId="0">
    <xmlCellPr id="1" xr6:uid="{00000000-0010-0000-7500-000001000000}" uniqueName="ns2:Team8Point1">
      <xmlPr mapId="4" xpath="/ns2:ScoreSheet/ns2:Ex2/ns2:Team8Point1" xmlDataType="decimal"/>
    </xmlCellPr>
  </singleXmlCell>
  <singleXmlCell id="120" xr6:uid="{00000000-000C-0000-FFFF-FFFF76000000}" r="D13" connectionId="0">
    <xmlCellPr id="1" xr6:uid="{00000000-0010-0000-7600-000001000000}" uniqueName="ns2:Team8Point2">
      <xmlPr mapId="4" xpath="/ns2:ScoreSheet/ns2:Ex2/ns2:Team8Point2" xmlDataType="decimal"/>
    </xmlCellPr>
  </singleXmlCell>
  <singleXmlCell id="121" xr6:uid="{00000000-000C-0000-FFFF-FFFF77000000}" r="E13" connectionId="0">
    <xmlCellPr id="1" xr6:uid="{00000000-0010-0000-7700-000001000000}" uniqueName="ns2:Team8Point3">
      <xmlPr mapId="4" xpath="/ns2:ScoreSheet/ns2:Ex2/ns2:Team8Point3" xmlDataType="decimal"/>
    </xmlCellPr>
  </singleXmlCell>
  <singleXmlCell id="122" xr6:uid="{00000000-000C-0000-FFFF-FFFF78000000}" r="F13" connectionId="0">
    <xmlCellPr id="1" xr6:uid="{00000000-0010-0000-7800-000001000000}" uniqueName="ns2:Team8Point5">
      <xmlPr mapId="4" xpath="/ns2:ScoreSheet/ns2:Ex2/ns2:Team8Point5" xmlDataType="decimal"/>
    </xmlCellPr>
  </singleXmlCell>
  <singleXmlCell id="123" xr6:uid="{00000000-000C-0000-FFFF-FFFF79000000}" r="C14" connectionId="0">
    <xmlCellPr id="1" xr6:uid="{00000000-0010-0000-7900-000001000000}" uniqueName="ns2:Team9Point1">
      <xmlPr mapId="4" xpath="/ns2:ScoreSheet/ns2:Ex2/ns2:Team9Point1" xmlDataType="decimal"/>
    </xmlCellPr>
  </singleXmlCell>
  <singleXmlCell id="124" xr6:uid="{00000000-000C-0000-FFFF-FFFF7A000000}" r="D14" connectionId="0">
    <xmlCellPr id="1" xr6:uid="{00000000-0010-0000-7A00-000001000000}" uniqueName="ns2:Team9Point2">
      <xmlPr mapId="4" xpath="/ns2:ScoreSheet/ns2:Ex2/ns2:Team9Point2" xmlDataType="decimal"/>
    </xmlCellPr>
  </singleXmlCell>
  <singleXmlCell id="125" xr6:uid="{00000000-000C-0000-FFFF-FFFF7B000000}" r="E14" connectionId="0">
    <xmlCellPr id="1" xr6:uid="{00000000-0010-0000-7B00-000001000000}" uniqueName="ns2:Team9Point3">
      <xmlPr mapId="4" xpath="/ns2:ScoreSheet/ns2:Ex2/ns2:Team9Point3" xmlDataType="decimal"/>
    </xmlCellPr>
  </singleXmlCell>
  <singleXmlCell id="126" xr6:uid="{00000000-000C-0000-FFFF-FFFF7C000000}" r="F14" connectionId="0">
    <xmlCellPr id="1" xr6:uid="{00000000-0010-0000-7C00-000001000000}" uniqueName="ns2:Team9Point5">
      <xmlPr mapId="4" xpath="/ns2:ScoreSheet/ns2:Ex2/ns2:Team9Point5" xmlDataType="decimal"/>
    </xmlCellPr>
  </singleXmlCell>
  <singleXmlCell id="127" xr6:uid="{00000000-000C-0000-FFFF-FFFF7D000000}" r="C15" connectionId="0">
    <xmlCellPr id="1" xr6:uid="{00000000-0010-0000-7D00-000001000000}" uniqueName="ns2:Team10Point1">
      <xmlPr mapId="4" xpath="/ns2:ScoreSheet/ns2:Ex2/ns2:Team10Point1" xmlDataType="decimal"/>
    </xmlCellPr>
  </singleXmlCell>
  <singleXmlCell id="128" xr6:uid="{00000000-000C-0000-FFFF-FFFF7E000000}" r="D15" connectionId="0">
    <xmlCellPr id="1" xr6:uid="{00000000-0010-0000-7E00-000001000000}" uniqueName="ns2:Team10Point2">
      <xmlPr mapId="4" xpath="/ns2:ScoreSheet/ns2:Ex2/ns2:Team10Point2" xmlDataType="decimal"/>
    </xmlCellPr>
  </singleXmlCell>
  <singleXmlCell id="129" xr6:uid="{00000000-000C-0000-FFFF-FFFF7F000000}" r="E15" connectionId="0">
    <xmlCellPr id="1" xr6:uid="{00000000-0010-0000-7F00-000001000000}" uniqueName="ns2:Team10Point3">
      <xmlPr mapId="4" xpath="/ns2:ScoreSheet/ns2:Ex2/ns2:Team10Point3" xmlDataType="decimal"/>
    </xmlCellPr>
  </singleXmlCell>
  <singleXmlCell id="130" xr6:uid="{00000000-000C-0000-FFFF-FFFF80000000}" r="F15" connectionId="0">
    <xmlCellPr id="1" xr6:uid="{00000000-0010-0000-8000-000001000000}" uniqueName="ns2:Team10Point5">
      <xmlPr mapId="4" xpath="/ns2:ScoreSheet/ns2:Ex2/ns2:Team10Point5" xmlDataType="decimal"/>
    </xmlCellPr>
  </singleXmlCell>
</singleXmlCells>
</file>

<file path=xl/tables/tableSingleCells4.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131" xr6:uid="{00000000-000C-0000-FFFF-FFFF81000000}" r="C6" connectionId="0">
    <xmlCellPr id="1" xr6:uid="{00000000-0010-0000-8100-000001000000}" uniqueName="ns2:Team1Point1">
      <xmlPr mapId="4" xpath="/ns2:ScoreSheet/ns2:Ex3/ns2:Team1Point1" xmlDataType="decimal"/>
    </xmlCellPr>
  </singleXmlCell>
  <singleXmlCell id="132" xr6:uid="{00000000-000C-0000-FFFF-FFFF82000000}" r="D6" connectionId="0">
    <xmlCellPr id="1" xr6:uid="{00000000-0010-0000-8200-000001000000}" uniqueName="ns2:Team1Point2">
      <xmlPr mapId="4" xpath="/ns2:ScoreSheet/ns2:Ex3/ns2:Team1Point2" xmlDataType="decimal"/>
    </xmlCellPr>
  </singleXmlCell>
  <singleXmlCell id="133" xr6:uid="{00000000-000C-0000-FFFF-FFFF83000000}" r="E6" connectionId="0">
    <xmlCellPr id="1" xr6:uid="{00000000-0010-0000-8300-000001000000}" uniqueName="ns2:Team1Point3">
      <xmlPr mapId="4" xpath="/ns2:ScoreSheet/ns2:Ex3/ns2:Team1Point3" xmlDataType="decimal"/>
    </xmlCellPr>
  </singleXmlCell>
  <singleXmlCell id="134" xr6:uid="{00000000-000C-0000-FFFF-FFFF84000000}" r="F6" connectionId="0">
    <xmlCellPr id="1" xr6:uid="{00000000-0010-0000-8400-000001000000}" uniqueName="ns2:Team1Point5">
      <xmlPr mapId="4" xpath="/ns2:ScoreSheet/ns2:Ex3/ns2:Team1Point5" xmlDataType="decimal"/>
    </xmlCellPr>
  </singleXmlCell>
  <singleXmlCell id="135" xr6:uid="{00000000-000C-0000-FFFF-FFFF85000000}" r="C7" connectionId="0">
    <xmlCellPr id="1" xr6:uid="{00000000-0010-0000-8500-000001000000}" uniqueName="ns2:Team2Point1">
      <xmlPr mapId="4" xpath="/ns2:ScoreSheet/ns2:Ex3/ns2:Team2Point1" xmlDataType="decimal"/>
    </xmlCellPr>
  </singleXmlCell>
  <singleXmlCell id="136" xr6:uid="{00000000-000C-0000-FFFF-FFFF86000000}" r="D7" connectionId="0">
    <xmlCellPr id="1" xr6:uid="{00000000-0010-0000-8600-000001000000}" uniqueName="ns2:Team2Point2">
      <xmlPr mapId="4" xpath="/ns2:ScoreSheet/ns2:Ex3/ns2:Team2Point2" xmlDataType="decimal"/>
    </xmlCellPr>
  </singleXmlCell>
  <singleXmlCell id="137" xr6:uid="{00000000-000C-0000-FFFF-FFFF87000000}" r="E7" connectionId="0">
    <xmlCellPr id="1" xr6:uid="{00000000-0010-0000-8700-000001000000}" uniqueName="ns2:Team2Point3">
      <xmlPr mapId="4" xpath="/ns2:ScoreSheet/ns2:Ex3/ns2:Team2Point3" xmlDataType="decimal"/>
    </xmlCellPr>
  </singleXmlCell>
  <singleXmlCell id="138" xr6:uid="{00000000-000C-0000-FFFF-FFFF88000000}" r="F7" connectionId="0">
    <xmlCellPr id="1" xr6:uid="{00000000-0010-0000-8800-000001000000}" uniqueName="ns2:Team2Point5">
      <xmlPr mapId="4" xpath="/ns2:ScoreSheet/ns2:Ex3/ns2:Team2Point5" xmlDataType="decimal"/>
    </xmlCellPr>
  </singleXmlCell>
  <singleXmlCell id="139" xr6:uid="{00000000-000C-0000-FFFF-FFFF89000000}" r="C8" connectionId="0">
    <xmlCellPr id="1" xr6:uid="{00000000-0010-0000-8900-000001000000}" uniqueName="ns2:Team3Point1">
      <xmlPr mapId="4" xpath="/ns2:ScoreSheet/ns2:Ex3/ns2:Team3Point1" xmlDataType="decimal"/>
    </xmlCellPr>
  </singleXmlCell>
  <singleXmlCell id="140" xr6:uid="{00000000-000C-0000-FFFF-FFFF8A000000}" r="D8" connectionId="0">
    <xmlCellPr id="1" xr6:uid="{00000000-0010-0000-8A00-000001000000}" uniqueName="ns2:Team3Point2">
      <xmlPr mapId="4" xpath="/ns2:ScoreSheet/ns2:Ex3/ns2:Team3Point2" xmlDataType="decimal"/>
    </xmlCellPr>
  </singleXmlCell>
  <singleXmlCell id="141" xr6:uid="{00000000-000C-0000-FFFF-FFFF8B000000}" r="E8" connectionId="0">
    <xmlCellPr id="1" xr6:uid="{00000000-0010-0000-8B00-000001000000}" uniqueName="ns2:Team3Point3">
      <xmlPr mapId="4" xpath="/ns2:ScoreSheet/ns2:Ex3/ns2:Team3Point3" xmlDataType="decimal"/>
    </xmlCellPr>
  </singleXmlCell>
  <singleXmlCell id="142" xr6:uid="{00000000-000C-0000-FFFF-FFFF8C000000}" r="F8" connectionId="0">
    <xmlCellPr id="1" xr6:uid="{00000000-0010-0000-8C00-000001000000}" uniqueName="ns2:Team3Point5">
      <xmlPr mapId="4" xpath="/ns2:ScoreSheet/ns2:Ex3/ns2:Team3Point5" xmlDataType="decimal"/>
    </xmlCellPr>
  </singleXmlCell>
  <singleXmlCell id="143" xr6:uid="{00000000-000C-0000-FFFF-FFFF8D000000}" r="C9" connectionId="0">
    <xmlCellPr id="1" xr6:uid="{00000000-0010-0000-8D00-000001000000}" uniqueName="ns2:Team4Point1">
      <xmlPr mapId="4" xpath="/ns2:ScoreSheet/ns2:Ex3/ns2:Team4Point1" xmlDataType="decimal"/>
    </xmlCellPr>
  </singleXmlCell>
  <singleXmlCell id="144" xr6:uid="{00000000-000C-0000-FFFF-FFFF8E000000}" r="D9" connectionId="0">
    <xmlCellPr id="1" xr6:uid="{00000000-0010-0000-8E00-000001000000}" uniqueName="ns2:Team4Point2">
      <xmlPr mapId="4" xpath="/ns2:ScoreSheet/ns2:Ex3/ns2:Team4Point2" xmlDataType="decimal"/>
    </xmlCellPr>
  </singleXmlCell>
  <singleXmlCell id="145" xr6:uid="{00000000-000C-0000-FFFF-FFFF8F000000}" r="E9" connectionId="0">
    <xmlCellPr id="1" xr6:uid="{00000000-0010-0000-8F00-000001000000}" uniqueName="ns2:Team4Point3">
      <xmlPr mapId="4" xpath="/ns2:ScoreSheet/ns2:Ex3/ns2:Team4Point3" xmlDataType="decimal"/>
    </xmlCellPr>
  </singleXmlCell>
  <singleXmlCell id="146" xr6:uid="{00000000-000C-0000-FFFF-FFFF90000000}" r="F9" connectionId="0">
    <xmlCellPr id="1" xr6:uid="{00000000-0010-0000-9000-000001000000}" uniqueName="ns2:Team4Point5">
      <xmlPr mapId="4" xpath="/ns2:ScoreSheet/ns2:Ex3/ns2:Team4Point5" xmlDataType="decimal"/>
    </xmlCellPr>
  </singleXmlCell>
  <singleXmlCell id="147" xr6:uid="{00000000-000C-0000-FFFF-FFFF91000000}" r="C10" connectionId="0">
    <xmlCellPr id="1" xr6:uid="{00000000-0010-0000-9100-000001000000}" uniqueName="ns2:Team5Point1">
      <xmlPr mapId="4" xpath="/ns2:ScoreSheet/ns2:Ex3/ns2:Team5Point1" xmlDataType="decimal"/>
    </xmlCellPr>
  </singleXmlCell>
  <singleXmlCell id="148" xr6:uid="{00000000-000C-0000-FFFF-FFFF92000000}" r="D10" connectionId="0">
    <xmlCellPr id="1" xr6:uid="{00000000-0010-0000-9200-000001000000}" uniqueName="ns2:Team5Point2">
      <xmlPr mapId="4" xpath="/ns2:ScoreSheet/ns2:Ex3/ns2:Team5Point2" xmlDataType="decimal"/>
    </xmlCellPr>
  </singleXmlCell>
  <singleXmlCell id="149" xr6:uid="{00000000-000C-0000-FFFF-FFFF93000000}" r="E10" connectionId="0">
    <xmlCellPr id="1" xr6:uid="{00000000-0010-0000-9300-000001000000}" uniqueName="ns2:Team5Point3">
      <xmlPr mapId="4" xpath="/ns2:ScoreSheet/ns2:Ex3/ns2:Team5Point3" xmlDataType="decimal"/>
    </xmlCellPr>
  </singleXmlCell>
  <singleXmlCell id="150" xr6:uid="{00000000-000C-0000-FFFF-FFFF94000000}" r="F10" connectionId="0">
    <xmlCellPr id="1" xr6:uid="{00000000-0010-0000-9400-000001000000}" uniqueName="ns2:Team5Point5">
      <xmlPr mapId="4" xpath="/ns2:ScoreSheet/ns2:Ex3/ns2:Team5Point5" xmlDataType="decimal"/>
    </xmlCellPr>
  </singleXmlCell>
  <singleXmlCell id="151" xr6:uid="{00000000-000C-0000-FFFF-FFFF95000000}" r="C11" connectionId="0">
    <xmlCellPr id="1" xr6:uid="{00000000-0010-0000-9500-000001000000}" uniqueName="ns2:Team6Point1">
      <xmlPr mapId="4" xpath="/ns2:ScoreSheet/ns2:Ex3/ns2:Team6Point1" xmlDataType="decimal"/>
    </xmlCellPr>
  </singleXmlCell>
  <singleXmlCell id="152" xr6:uid="{00000000-000C-0000-FFFF-FFFF96000000}" r="D11" connectionId="0">
    <xmlCellPr id="1" xr6:uid="{00000000-0010-0000-9600-000001000000}" uniqueName="ns2:Team6Point2">
      <xmlPr mapId="4" xpath="/ns2:ScoreSheet/ns2:Ex3/ns2:Team6Point2" xmlDataType="decimal"/>
    </xmlCellPr>
  </singleXmlCell>
  <singleXmlCell id="153" xr6:uid="{00000000-000C-0000-FFFF-FFFF97000000}" r="E11" connectionId="0">
    <xmlCellPr id="1" xr6:uid="{00000000-0010-0000-9700-000001000000}" uniqueName="ns2:Team6Point3">
      <xmlPr mapId="4" xpath="/ns2:ScoreSheet/ns2:Ex3/ns2:Team6Point3" xmlDataType="decimal"/>
    </xmlCellPr>
  </singleXmlCell>
  <singleXmlCell id="154" xr6:uid="{00000000-000C-0000-FFFF-FFFF98000000}" r="F11" connectionId="0">
    <xmlCellPr id="1" xr6:uid="{00000000-0010-0000-9800-000001000000}" uniqueName="ns2:Team6Point5">
      <xmlPr mapId="4" xpath="/ns2:ScoreSheet/ns2:Ex3/ns2:Team6Point5" xmlDataType="decimal"/>
    </xmlCellPr>
  </singleXmlCell>
  <singleXmlCell id="155" xr6:uid="{00000000-000C-0000-FFFF-FFFF99000000}" r="C12" connectionId="0">
    <xmlCellPr id="1" xr6:uid="{00000000-0010-0000-9900-000001000000}" uniqueName="ns2:Team7Point1">
      <xmlPr mapId="4" xpath="/ns2:ScoreSheet/ns2:Ex3/ns2:Team7Point1" xmlDataType="decimal"/>
    </xmlCellPr>
  </singleXmlCell>
  <singleXmlCell id="156" xr6:uid="{00000000-000C-0000-FFFF-FFFF9A000000}" r="D12" connectionId="0">
    <xmlCellPr id="1" xr6:uid="{00000000-0010-0000-9A00-000001000000}" uniqueName="ns2:Team7Point2">
      <xmlPr mapId="4" xpath="/ns2:ScoreSheet/ns2:Ex3/ns2:Team7Point2" xmlDataType="decimal"/>
    </xmlCellPr>
  </singleXmlCell>
  <singleXmlCell id="157" xr6:uid="{00000000-000C-0000-FFFF-FFFF9B000000}" r="E12" connectionId="0">
    <xmlCellPr id="1" xr6:uid="{00000000-0010-0000-9B00-000001000000}" uniqueName="ns2:Team7Point3">
      <xmlPr mapId="4" xpath="/ns2:ScoreSheet/ns2:Ex3/ns2:Team7Point3" xmlDataType="decimal"/>
    </xmlCellPr>
  </singleXmlCell>
  <singleXmlCell id="158" xr6:uid="{00000000-000C-0000-FFFF-FFFF9C000000}" r="F12" connectionId="0">
    <xmlCellPr id="1" xr6:uid="{00000000-0010-0000-9C00-000001000000}" uniqueName="ns2:Team7Point5">
      <xmlPr mapId="4" xpath="/ns2:ScoreSheet/ns2:Ex3/ns2:Team7Point5" xmlDataType="decimal"/>
    </xmlCellPr>
  </singleXmlCell>
  <singleXmlCell id="159" xr6:uid="{00000000-000C-0000-FFFF-FFFF9D000000}" r="C13" connectionId="0">
    <xmlCellPr id="1" xr6:uid="{00000000-0010-0000-9D00-000001000000}" uniqueName="ns2:Team8Point1">
      <xmlPr mapId="4" xpath="/ns2:ScoreSheet/ns2:Ex3/ns2:Team8Point1" xmlDataType="decimal"/>
    </xmlCellPr>
  </singleXmlCell>
  <singleXmlCell id="160" xr6:uid="{00000000-000C-0000-FFFF-FFFF9E000000}" r="D13" connectionId="0">
    <xmlCellPr id="1" xr6:uid="{00000000-0010-0000-9E00-000001000000}" uniqueName="ns2:Team8Point2">
      <xmlPr mapId="4" xpath="/ns2:ScoreSheet/ns2:Ex3/ns2:Team8Point2" xmlDataType="decimal"/>
    </xmlCellPr>
  </singleXmlCell>
  <singleXmlCell id="161" xr6:uid="{00000000-000C-0000-FFFF-FFFF9F000000}" r="E13" connectionId="0">
    <xmlCellPr id="1" xr6:uid="{00000000-0010-0000-9F00-000001000000}" uniqueName="ns2:Team8Point3">
      <xmlPr mapId="4" xpath="/ns2:ScoreSheet/ns2:Ex3/ns2:Team8Point3" xmlDataType="decimal"/>
    </xmlCellPr>
  </singleXmlCell>
  <singleXmlCell id="162" xr6:uid="{00000000-000C-0000-FFFF-FFFFA0000000}" r="F13" connectionId="0">
    <xmlCellPr id="1" xr6:uid="{00000000-0010-0000-A000-000001000000}" uniqueName="ns2:Team8Point5">
      <xmlPr mapId="4" xpath="/ns2:ScoreSheet/ns2:Ex3/ns2:Team8Point5" xmlDataType="decimal"/>
    </xmlCellPr>
  </singleXmlCell>
  <singleXmlCell id="163" xr6:uid="{00000000-000C-0000-FFFF-FFFFA1000000}" r="C14" connectionId="0">
    <xmlCellPr id="1" xr6:uid="{00000000-0010-0000-A100-000001000000}" uniqueName="ns2:Team9Point1">
      <xmlPr mapId="4" xpath="/ns2:ScoreSheet/ns2:Ex3/ns2:Team9Point1" xmlDataType="decimal"/>
    </xmlCellPr>
  </singleXmlCell>
  <singleXmlCell id="164" xr6:uid="{00000000-000C-0000-FFFF-FFFFA2000000}" r="D14" connectionId="0">
    <xmlCellPr id="1" xr6:uid="{00000000-0010-0000-A200-000001000000}" uniqueName="ns2:Team9Point2">
      <xmlPr mapId="4" xpath="/ns2:ScoreSheet/ns2:Ex3/ns2:Team9Point2" xmlDataType="decimal"/>
    </xmlCellPr>
  </singleXmlCell>
  <singleXmlCell id="165" xr6:uid="{00000000-000C-0000-FFFF-FFFFA3000000}" r="E14" connectionId="0">
    <xmlCellPr id="1" xr6:uid="{00000000-0010-0000-A300-000001000000}" uniqueName="ns2:Team9Point3">
      <xmlPr mapId="4" xpath="/ns2:ScoreSheet/ns2:Ex3/ns2:Team9Point3" xmlDataType="decimal"/>
    </xmlCellPr>
  </singleXmlCell>
  <singleXmlCell id="166" xr6:uid="{00000000-000C-0000-FFFF-FFFFA4000000}" r="F14" connectionId="0">
    <xmlCellPr id="1" xr6:uid="{00000000-0010-0000-A400-000001000000}" uniqueName="ns2:Team9Point5">
      <xmlPr mapId="4" xpath="/ns2:ScoreSheet/ns2:Ex3/ns2:Team9Point5" xmlDataType="decimal"/>
    </xmlCellPr>
  </singleXmlCell>
  <singleXmlCell id="167" xr6:uid="{00000000-000C-0000-FFFF-FFFFA5000000}" r="C15" connectionId="0">
    <xmlCellPr id="1" xr6:uid="{00000000-0010-0000-A500-000001000000}" uniqueName="ns2:Team10Point1">
      <xmlPr mapId="4" xpath="/ns2:ScoreSheet/ns2:Ex3/ns2:Team10Point1" xmlDataType="decimal"/>
    </xmlCellPr>
  </singleXmlCell>
  <singleXmlCell id="168" xr6:uid="{00000000-000C-0000-FFFF-FFFFA6000000}" r="D15" connectionId="0">
    <xmlCellPr id="1" xr6:uid="{00000000-0010-0000-A600-000001000000}" uniqueName="ns2:Team10Point2">
      <xmlPr mapId="4" xpath="/ns2:ScoreSheet/ns2:Ex3/ns2:Team10Point2" xmlDataType="decimal"/>
    </xmlCellPr>
  </singleXmlCell>
  <singleXmlCell id="169" xr6:uid="{00000000-000C-0000-FFFF-FFFFA7000000}" r="E15" connectionId="0">
    <xmlCellPr id="1" xr6:uid="{00000000-0010-0000-A700-000001000000}" uniqueName="ns2:Team10Point3">
      <xmlPr mapId="4" xpath="/ns2:ScoreSheet/ns2:Ex3/ns2:Team10Point3" xmlDataType="decimal"/>
    </xmlCellPr>
  </singleXmlCell>
  <singleXmlCell id="170" xr6:uid="{00000000-000C-0000-FFFF-FFFFA8000000}" r="F15" connectionId="0">
    <xmlCellPr id="1" xr6:uid="{00000000-0010-0000-A800-000001000000}" uniqueName="ns2:Team10Point5">
      <xmlPr mapId="4" xpath="/ns2:ScoreSheet/ns2:Ex3/ns2:Team10Point5" xmlDataType="decimal"/>
    </xmlCellPr>
  </singleXmlCell>
</singleXmlCells>
</file>

<file path=xl/tables/tableSingleCells5.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171" xr6:uid="{00000000-000C-0000-FFFF-FFFFA9000000}" r="C6" connectionId="0">
    <xmlCellPr id="1" xr6:uid="{00000000-0010-0000-A900-000001000000}" uniqueName="ns2:Team1Variety">
      <xmlPr mapId="4" xpath="/ns2:ScoreSheet/ns2:Ai1/ns2:Team1Variety" xmlDataType="decimal"/>
    </xmlCellPr>
  </singleXmlCell>
  <singleXmlCell id="172" xr6:uid="{00000000-000C-0000-FFFF-FFFFAA000000}" r="D6" connectionId="0">
    <xmlCellPr id="1" xr6:uid="{00000000-0010-0000-AA00-000001000000}" uniqueName="ns2:Team1Teamwork">
      <xmlPr mapId="4" xpath="/ns2:ScoreSheet/ns2:Ai1/ns2:Team1Teamwork" xmlDataType="decimal"/>
    </xmlCellPr>
  </singleXmlCell>
  <singleXmlCell id="173" xr6:uid="{00000000-000C-0000-FFFF-FFFFAB000000}" r="E6" connectionId="0">
    <xmlCellPr id="1" xr6:uid="{00000000-0010-0000-AB00-000001000000}" uniqueName="ns2:Team1Music">
      <xmlPr mapId="4" xpath="/ns2:ScoreSheet/ns2:Ai1/ns2:Team1Music" xmlDataType="decimal"/>
    </xmlCellPr>
  </singleXmlCell>
  <singleXmlCell id="174" xr6:uid="{00000000-000C-0000-FFFF-FFFFAC000000}" r="F6" connectionId="0">
    <xmlCellPr id="1" xr6:uid="{00000000-0010-0000-AC00-000001000000}" uniqueName="ns2:Team1Flow">
      <xmlPr mapId="4" xpath="/ns2:ScoreSheet/ns2:Ai1/ns2:Team1Flow" xmlDataType="decimal"/>
    </xmlCellPr>
  </singleXmlCell>
  <singleXmlCell id="175" xr6:uid="{00000000-000C-0000-FFFF-FFFFAD000000}" r="G6" connectionId="0">
    <xmlCellPr id="1" xr6:uid="{00000000-0010-0000-AD00-000001000000}" uniqueName="ns2:Team1Form">
      <xmlPr mapId="4" xpath="/ns2:ScoreSheet/ns2:Ai1/ns2:Team1Form" xmlDataType="decimal"/>
    </xmlCellPr>
  </singleXmlCell>
  <singleXmlCell id="176" xr6:uid="{00000000-000C-0000-FFFF-FFFFAE000000}" r="H6" connectionId="0">
    <xmlCellPr id="1" xr6:uid="{00000000-0010-0000-AE00-000001000000}" uniqueName="ns2:Team1General">
      <xmlPr mapId="4" xpath="/ns2:ScoreSheet/ns2:Ai1/ns2:Team1General" xmlDataType="decimal"/>
    </xmlCellPr>
  </singleXmlCell>
  <singleXmlCell id="177" xr6:uid="{00000000-000C-0000-FFFF-FFFFAF000000}" r="C7" connectionId="0">
    <xmlCellPr id="1" xr6:uid="{00000000-0010-0000-AF00-000001000000}" uniqueName="ns2:Team2Variety">
      <xmlPr mapId="4" xpath="/ns2:ScoreSheet/ns2:Ai1/ns2:Team2Variety" xmlDataType="decimal"/>
    </xmlCellPr>
  </singleXmlCell>
  <singleXmlCell id="178" xr6:uid="{00000000-000C-0000-FFFF-FFFFB0000000}" r="D7" connectionId="0">
    <xmlCellPr id="1" xr6:uid="{00000000-0010-0000-B000-000001000000}" uniqueName="ns2:Team2Teamwork">
      <xmlPr mapId="4" xpath="/ns2:ScoreSheet/ns2:Ai1/ns2:Team2Teamwork" xmlDataType="decimal"/>
    </xmlCellPr>
  </singleXmlCell>
  <singleXmlCell id="179" xr6:uid="{00000000-000C-0000-FFFF-FFFFB1000000}" r="E7" connectionId="0">
    <xmlCellPr id="1" xr6:uid="{00000000-0010-0000-B100-000001000000}" uniqueName="ns2:Team2Music">
      <xmlPr mapId="4" xpath="/ns2:ScoreSheet/ns2:Ai1/ns2:Team2Music" xmlDataType="decimal"/>
    </xmlCellPr>
  </singleXmlCell>
  <singleXmlCell id="180" xr6:uid="{00000000-000C-0000-FFFF-FFFFB2000000}" r="F7" connectionId="0">
    <xmlCellPr id="1" xr6:uid="{00000000-0010-0000-B200-000001000000}" uniqueName="ns2:Team2Flow">
      <xmlPr mapId="4" xpath="/ns2:ScoreSheet/ns2:Ai1/ns2:Team2Flow" xmlDataType="decimal"/>
    </xmlCellPr>
  </singleXmlCell>
  <singleXmlCell id="181" xr6:uid="{00000000-000C-0000-FFFF-FFFFB3000000}" r="G7" connectionId="0">
    <xmlCellPr id="1" xr6:uid="{00000000-0010-0000-B300-000001000000}" uniqueName="ns2:Team2Form">
      <xmlPr mapId="4" xpath="/ns2:ScoreSheet/ns2:Ai1/ns2:Team2Form" xmlDataType="decimal"/>
    </xmlCellPr>
  </singleXmlCell>
  <singleXmlCell id="182" xr6:uid="{00000000-000C-0000-FFFF-FFFFB4000000}" r="H7" connectionId="0">
    <xmlCellPr id="1" xr6:uid="{00000000-0010-0000-B400-000001000000}" uniqueName="ns2:Team2General">
      <xmlPr mapId="4" xpath="/ns2:ScoreSheet/ns2:Ai1/ns2:Team2General" xmlDataType="decimal"/>
    </xmlCellPr>
  </singleXmlCell>
  <singleXmlCell id="183" xr6:uid="{00000000-000C-0000-FFFF-FFFFB5000000}" r="C8" connectionId="0">
    <xmlCellPr id="1" xr6:uid="{00000000-0010-0000-B500-000001000000}" uniqueName="ns2:Team3Variety">
      <xmlPr mapId="4" xpath="/ns2:ScoreSheet/ns2:Ai1/ns2:Team3Variety" xmlDataType="decimal"/>
    </xmlCellPr>
  </singleXmlCell>
  <singleXmlCell id="184" xr6:uid="{00000000-000C-0000-FFFF-FFFFB6000000}" r="D8" connectionId="0">
    <xmlCellPr id="1" xr6:uid="{00000000-0010-0000-B600-000001000000}" uniqueName="ns2:Team3Teamwork">
      <xmlPr mapId="4" xpath="/ns2:ScoreSheet/ns2:Ai1/ns2:Team3Teamwork" xmlDataType="decimal"/>
    </xmlCellPr>
  </singleXmlCell>
  <singleXmlCell id="185" xr6:uid="{00000000-000C-0000-FFFF-FFFFB7000000}" r="E8" connectionId="0">
    <xmlCellPr id="1" xr6:uid="{00000000-0010-0000-B700-000001000000}" uniqueName="ns2:Team3Music">
      <xmlPr mapId="4" xpath="/ns2:ScoreSheet/ns2:Ai1/ns2:Team3Music" xmlDataType="decimal"/>
    </xmlCellPr>
  </singleXmlCell>
  <singleXmlCell id="186" xr6:uid="{00000000-000C-0000-FFFF-FFFFB8000000}" r="F8" connectionId="0">
    <xmlCellPr id="1" xr6:uid="{00000000-0010-0000-B800-000001000000}" uniqueName="ns2:Team3Flow">
      <xmlPr mapId="4" xpath="/ns2:ScoreSheet/ns2:Ai1/ns2:Team3Flow" xmlDataType="decimal"/>
    </xmlCellPr>
  </singleXmlCell>
  <singleXmlCell id="187" xr6:uid="{00000000-000C-0000-FFFF-FFFFB9000000}" r="G8" connectionId="0">
    <xmlCellPr id="1" xr6:uid="{00000000-0010-0000-B900-000001000000}" uniqueName="ns2:Team3Form">
      <xmlPr mapId="4" xpath="/ns2:ScoreSheet/ns2:Ai1/ns2:Team3Form" xmlDataType="decimal"/>
    </xmlCellPr>
  </singleXmlCell>
  <singleXmlCell id="188" xr6:uid="{00000000-000C-0000-FFFF-FFFFBA000000}" r="H8" connectionId="0">
    <xmlCellPr id="1" xr6:uid="{00000000-0010-0000-BA00-000001000000}" uniqueName="ns2:Team3General">
      <xmlPr mapId="4" xpath="/ns2:ScoreSheet/ns2:Ai1/ns2:Team3General" xmlDataType="decimal"/>
    </xmlCellPr>
  </singleXmlCell>
  <singleXmlCell id="189" xr6:uid="{00000000-000C-0000-FFFF-FFFFBB000000}" r="C9" connectionId="0">
    <xmlCellPr id="1" xr6:uid="{00000000-0010-0000-BB00-000001000000}" uniqueName="ns2:Team4Variety">
      <xmlPr mapId="4" xpath="/ns2:ScoreSheet/ns2:Ai1/ns2:Team4Variety" xmlDataType="decimal"/>
    </xmlCellPr>
  </singleXmlCell>
  <singleXmlCell id="190" xr6:uid="{00000000-000C-0000-FFFF-FFFFBC000000}" r="D9" connectionId="0">
    <xmlCellPr id="1" xr6:uid="{00000000-0010-0000-BC00-000001000000}" uniqueName="ns2:Team4Teamwork">
      <xmlPr mapId="4" xpath="/ns2:ScoreSheet/ns2:Ai1/ns2:Team4Teamwork" xmlDataType="decimal"/>
    </xmlCellPr>
  </singleXmlCell>
  <singleXmlCell id="191" xr6:uid="{00000000-000C-0000-FFFF-FFFFBD000000}" r="E9" connectionId="0">
    <xmlCellPr id="1" xr6:uid="{00000000-0010-0000-BD00-000001000000}" uniqueName="ns2:Team4Music">
      <xmlPr mapId="4" xpath="/ns2:ScoreSheet/ns2:Ai1/ns2:Team4Music" xmlDataType="decimal"/>
    </xmlCellPr>
  </singleXmlCell>
  <singleXmlCell id="192" xr6:uid="{00000000-000C-0000-FFFF-FFFFBE000000}" r="F9" connectionId="0">
    <xmlCellPr id="1" xr6:uid="{00000000-0010-0000-BE00-000001000000}" uniqueName="ns2:Team4Flow">
      <xmlPr mapId="4" xpath="/ns2:ScoreSheet/ns2:Ai1/ns2:Team4Flow" xmlDataType="decimal"/>
    </xmlCellPr>
  </singleXmlCell>
  <singleXmlCell id="193" xr6:uid="{00000000-000C-0000-FFFF-FFFFBF000000}" r="G9" connectionId="0">
    <xmlCellPr id="1" xr6:uid="{00000000-0010-0000-BF00-000001000000}" uniqueName="ns2:Team4Form">
      <xmlPr mapId="4" xpath="/ns2:ScoreSheet/ns2:Ai1/ns2:Team4Form" xmlDataType="decimal"/>
    </xmlCellPr>
  </singleXmlCell>
  <singleXmlCell id="194" xr6:uid="{00000000-000C-0000-FFFF-FFFFC0000000}" r="H9" connectionId="0">
    <xmlCellPr id="1" xr6:uid="{00000000-0010-0000-C000-000001000000}" uniqueName="ns2:Team4General">
      <xmlPr mapId="4" xpath="/ns2:ScoreSheet/ns2:Ai1/ns2:Team4General" xmlDataType="decimal"/>
    </xmlCellPr>
  </singleXmlCell>
  <singleXmlCell id="195" xr6:uid="{00000000-000C-0000-FFFF-FFFFC1000000}" r="C10" connectionId="0">
    <xmlCellPr id="1" xr6:uid="{00000000-0010-0000-C100-000001000000}" uniqueName="ns2:Team5Variety">
      <xmlPr mapId="4" xpath="/ns2:ScoreSheet/ns2:Ai1/ns2:Team5Variety" xmlDataType="decimal"/>
    </xmlCellPr>
  </singleXmlCell>
  <singleXmlCell id="196" xr6:uid="{00000000-000C-0000-FFFF-FFFFC2000000}" r="D10" connectionId="0">
    <xmlCellPr id="1" xr6:uid="{00000000-0010-0000-C200-000001000000}" uniqueName="ns2:Team5Teamwork">
      <xmlPr mapId="4" xpath="/ns2:ScoreSheet/ns2:Ai1/ns2:Team5Teamwork" xmlDataType="decimal"/>
    </xmlCellPr>
  </singleXmlCell>
  <singleXmlCell id="197" xr6:uid="{00000000-000C-0000-FFFF-FFFFC3000000}" r="E10" connectionId="0">
    <xmlCellPr id="1" xr6:uid="{00000000-0010-0000-C300-000001000000}" uniqueName="ns2:Team5Music">
      <xmlPr mapId="4" xpath="/ns2:ScoreSheet/ns2:Ai1/ns2:Team5Music" xmlDataType="decimal"/>
    </xmlCellPr>
  </singleXmlCell>
  <singleXmlCell id="198" xr6:uid="{00000000-000C-0000-FFFF-FFFFC4000000}" r="F10" connectionId="0">
    <xmlCellPr id="1" xr6:uid="{00000000-0010-0000-C400-000001000000}" uniqueName="ns2:Team5Flow">
      <xmlPr mapId="4" xpath="/ns2:ScoreSheet/ns2:Ai1/ns2:Team5Flow" xmlDataType="decimal"/>
    </xmlCellPr>
  </singleXmlCell>
  <singleXmlCell id="199" xr6:uid="{00000000-000C-0000-FFFF-FFFFC5000000}" r="G10" connectionId="0">
    <xmlCellPr id="1" xr6:uid="{00000000-0010-0000-C500-000001000000}" uniqueName="ns2:Team5Form">
      <xmlPr mapId="4" xpath="/ns2:ScoreSheet/ns2:Ai1/ns2:Team5Form" xmlDataType="decimal"/>
    </xmlCellPr>
  </singleXmlCell>
  <singleXmlCell id="200" xr6:uid="{00000000-000C-0000-FFFF-FFFFC6000000}" r="H10" connectionId="0">
    <xmlCellPr id="1" xr6:uid="{00000000-0010-0000-C600-000001000000}" uniqueName="ns2:Team5General">
      <xmlPr mapId="4" xpath="/ns2:ScoreSheet/ns2:Ai1/ns2:Team5General" xmlDataType="decimal"/>
    </xmlCellPr>
  </singleXmlCell>
  <singleXmlCell id="201" xr6:uid="{00000000-000C-0000-FFFF-FFFFC7000000}" r="C11" connectionId="0">
    <xmlCellPr id="1" xr6:uid="{00000000-0010-0000-C700-000001000000}" uniqueName="ns2:Team6Variety">
      <xmlPr mapId="4" xpath="/ns2:ScoreSheet/ns2:Ai1/ns2:Team6Variety" xmlDataType="decimal"/>
    </xmlCellPr>
  </singleXmlCell>
  <singleXmlCell id="202" xr6:uid="{00000000-000C-0000-FFFF-FFFFC8000000}" r="D11" connectionId="0">
    <xmlCellPr id="1" xr6:uid="{00000000-0010-0000-C800-000001000000}" uniqueName="ns2:Team6Teamwork">
      <xmlPr mapId="4" xpath="/ns2:ScoreSheet/ns2:Ai1/ns2:Team6Teamwork" xmlDataType="decimal"/>
    </xmlCellPr>
  </singleXmlCell>
  <singleXmlCell id="203" xr6:uid="{00000000-000C-0000-FFFF-FFFFC9000000}" r="E11" connectionId="0">
    <xmlCellPr id="1" xr6:uid="{00000000-0010-0000-C900-000001000000}" uniqueName="ns2:Team6Music">
      <xmlPr mapId="4" xpath="/ns2:ScoreSheet/ns2:Ai1/ns2:Team6Music" xmlDataType="decimal"/>
    </xmlCellPr>
  </singleXmlCell>
  <singleXmlCell id="204" xr6:uid="{00000000-000C-0000-FFFF-FFFFCA000000}" r="F11" connectionId="0">
    <xmlCellPr id="1" xr6:uid="{00000000-0010-0000-CA00-000001000000}" uniqueName="ns2:Team6Flow">
      <xmlPr mapId="4" xpath="/ns2:ScoreSheet/ns2:Ai1/ns2:Team6Flow" xmlDataType="decimal"/>
    </xmlCellPr>
  </singleXmlCell>
  <singleXmlCell id="205" xr6:uid="{00000000-000C-0000-FFFF-FFFFCB000000}" r="G11" connectionId="0">
    <xmlCellPr id="1" xr6:uid="{00000000-0010-0000-CB00-000001000000}" uniqueName="ns2:Team6Form">
      <xmlPr mapId="4" xpath="/ns2:ScoreSheet/ns2:Ai1/ns2:Team6Form" xmlDataType="decimal"/>
    </xmlCellPr>
  </singleXmlCell>
  <singleXmlCell id="206" xr6:uid="{00000000-000C-0000-FFFF-FFFFCC000000}" r="H11" connectionId="0">
    <xmlCellPr id="1" xr6:uid="{00000000-0010-0000-CC00-000001000000}" uniqueName="ns2:Team6General">
      <xmlPr mapId="4" xpath="/ns2:ScoreSheet/ns2:Ai1/ns2:Team6General" xmlDataType="decimal"/>
    </xmlCellPr>
  </singleXmlCell>
  <singleXmlCell id="207" xr6:uid="{00000000-000C-0000-FFFF-FFFFCD000000}" r="C12" connectionId="0">
    <xmlCellPr id="1" xr6:uid="{00000000-0010-0000-CD00-000001000000}" uniqueName="ns2:Team7Variety">
      <xmlPr mapId="4" xpath="/ns2:ScoreSheet/ns2:Ai1/ns2:Team7Variety" xmlDataType="decimal"/>
    </xmlCellPr>
  </singleXmlCell>
  <singleXmlCell id="208" xr6:uid="{00000000-000C-0000-FFFF-FFFFCE000000}" r="D12" connectionId="0">
    <xmlCellPr id="1" xr6:uid="{00000000-0010-0000-CE00-000001000000}" uniqueName="ns2:Team7Teamwork">
      <xmlPr mapId="4" xpath="/ns2:ScoreSheet/ns2:Ai1/ns2:Team7Teamwork" xmlDataType="decimal"/>
    </xmlCellPr>
  </singleXmlCell>
  <singleXmlCell id="209" xr6:uid="{00000000-000C-0000-FFFF-FFFFCF000000}" r="E12" connectionId="0">
    <xmlCellPr id="1" xr6:uid="{00000000-0010-0000-CF00-000001000000}" uniqueName="ns2:Team7Music">
      <xmlPr mapId="4" xpath="/ns2:ScoreSheet/ns2:Ai1/ns2:Team7Music" xmlDataType="decimal"/>
    </xmlCellPr>
  </singleXmlCell>
  <singleXmlCell id="210" xr6:uid="{00000000-000C-0000-FFFF-FFFFD0000000}" r="F12" connectionId="0">
    <xmlCellPr id="1" xr6:uid="{00000000-0010-0000-D000-000001000000}" uniqueName="ns2:Team7Flow">
      <xmlPr mapId="4" xpath="/ns2:ScoreSheet/ns2:Ai1/ns2:Team7Flow" xmlDataType="decimal"/>
    </xmlCellPr>
  </singleXmlCell>
  <singleXmlCell id="211" xr6:uid="{00000000-000C-0000-FFFF-FFFFD1000000}" r="G12" connectionId="0">
    <xmlCellPr id="1" xr6:uid="{00000000-0010-0000-D100-000001000000}" uniqueName="ns2:Team7Form">
      <xmlPr mapId="4" xpath="/ns2:ScoreSheet/ns2:Ai1/ns2:Team7Form" xmlDataType="decimal"/>
    </xmlCellPr>
  </singleXmlCell>
  <singleXmlCell id="212" xr6:uid="{00000000-000C-0000-FFFF-FFFFD2000000}" r="H12" connectionId="0">
    <xmlCellPr id="1" xr6:uid="{00000000-0010-0000-D200-000001000000}" uniqueName="ns2:Team7General">
      <xmlPr mapId="4" xpath="/ns2:ScoreSheet/ns2:Ai1/ns2:Team7General" xmlDataType="decimal"/>
    </xmlCellPr>
  </singleXmlCell>
  <singleXmlCell id="213" xr6:uid="{00000000-000C-0000-FFFF-FFFFD3000000}" r="C13" connectionId="0">
    <xmlCellPr id="1" xr6:uid="{00000000-0010-0000-D300-000001000000}" uniqueName="ns2:Team8Variety">
      <xmlPr mapId="4" xpath="/ns2:ScoreSheet/ns2:Ai1/ns2:Team8Variety" xmlDataType="decimal"/>
    </xmlCellPr>
  </singleXmlCell>
  <singleXmlCell id="214" xr6:uid="{00000000-000C-0000-FFFF-FFFFD4000000}" r="D13" connectionId="0">
    <xmlCellPr id="1" xr6:uid="{00000000-0010-0000-D400-000001000000}" uniqueName="ns2:Team8Teamwork">
      <xmlPr mapId="4" xpath="/ns2:ScoreSheet/ns2:Ai1/ns2:Team8Teamwork" xmlDataType="decimal"/>
    </xmlCellPr>
  </singleXmlCell>
  <singleXmlCell id="215" xr6:uid="{00000000-000C-0000-FFFF-FFFFD5000000}" r="E13" connectionId="0">
    <xmlCellPr id="1" xr6:uid="{00000000-0010-0000-D500-000001000000}" uniqueName="ns2:Team8Music">
      <xmlPr mapId="4" xpath="/ns2:ScoreSheet/ns2:Ai1/ns2:Team8Music" xmlDataType="decimal"/>
    </xmlCellPr>
  </singleXmlCell>
  <singleXmlCell id="216" xr6:uid="{00000000-000C-0000-FFFF-FFFFD6000000}" r="F13" connectionId="0">
    <xmlCellPr id="1" xr6:uid="{00000000-0010-0000-D600-000001000000}" uniqueName="ns2:Team8Flow">
      <xmlPr mapId="4" xpath="/ns2:ScoreSheet/ns2:Ai1/ns2:Team8Flow" xmlDataType="decimal"/>
    </xmlCellPr>
  </singleXmlCell>
  <singleXmlCell id="217" xr6:uid="{00000000-000C-0000-FFFF-FFFFD7000000}" r="H13" connectionId="0">
    <xmlCellPr id="1" xr6:uid="{00000000-0010-0000-D700-000001000000}" uniqueName="ns2:Team8General">
      <xmlPr mapId="4" xpath="/ns2:ScoreSheet/ns2:Ai1/ns2:Team8General" xmlDataType="decimal"/>
    </xmlCellPr>
  </singleXmlCell>
  <singleXmlCell id="218" xr6:uid="{00000000-000C-0000-FFFF-FFFFD8000000}" r="G13" connectionId="0">
    <xmlCellPr id="1" xr6:uid="{00000000-0010-0000-D800-000001000000}" uniqueName="ns2:Team8Form">
      <xmlPr mapId="4" xpath="/ns2:ScoreSheet/ns2:Ai1/ns2:Team8Form" xmlDataType="decimal"/>
    </xmlCellPr>
  </singleXmlCell>
  <singleXmlCell id="219" xr6:uid="{00000000-000C-0000-FFFF-FFFFD9000000}" r="C14" connectionId="0">
    <xmlCellPr id="1" xr6:uid="{00000000-0010-0000-D900-000001000000}" uniqueName="ns2:Team9Variety">
      <xmlPr mapId="4" xpath="/ns2:ScoreSheet/ns2:Ai1/ns2:Team9Variety" xmlDataType="decimal"/>
    </xmlCellPr>
  </singleXmlCell>
  <singleXmlCell id="220" xr6:uid="{00000000-000C-0000-FFFF-FFFFDA000000}" r="D14" connectionId="0">
    <xmlCellPr id="1" xr6:uid="{00000000-0010-0000-DA00-000001000000}" uniqueName="ns2:Team9Teamwork">
      <xmlPr mapId="4" xpath="/ns2:ScoreSheet/ns2:Ai1/ns2:Team9Teamwork" xmlDataType="decimal"/>
    </xmlCellPr>
  </singleXmlCell>
  <singleXmlCell id="221" xr6:uid="{00000000-000C-0000-FFFF-FFFFDB000000}" r="E14" connectionId="0">
    <xmlCellPr id="1" xr6:uid="{00000000-0010-0000-DB00-000001000000}" uniqueName="ns2:Team9Music">
      <xmlPr mapId="4" xpath="/ns2:ScoreSheet/ns2:Ai1/ns2:Team9Music" xmlDataType="decimal"/>
    </xmlCellPr>
  </singleXmlCell>
  <singleXmlCell id="222" xr6:uid="{00000000-000C-0000-FFFF-FFFFDC000000}" r="F14" connectionId="0">
    <xmlCellPr id="1" xr6:uid="{00000000-0010-0000-DC00-000001000000}" uniqueName="ns2:Team9Flow">
      <xmlPr mapId="4" xpath="/ns2:ScoreSheet/ns2:Ai1/ns2:Team9Flow" xmlDataType="decimal"/>
    </xmlCellPr>
  </singleXmlCell>
  <singleXmlCell id="223" xr6:uid="{00000000-000C-0000-FFFF-FFFFDD000000}" r="G14" connectionId="0">
    <xmlCellPr id="1" xr6:uid="{00000000-0010-0000-DD00-000001000000}" uniqueName="ns2:Team9Form">
      <xmlPr mapId="4" xpath="/ns2:ScoreSheet/ns2:Ai1/ns2:Team9Form" xmlDataType="decimal"/>
    </xmlCellPr>
  </singleXmlCell>
  <singleXmlCell id="224" xr6:uid="{00000000-000C-0000-FFFF-FFFFDE000000}" r="H14" connectionId="0">
    <xmlCellPr id="1" xr6:uid="{00000000-0010-0000-DE00-000001000000}" uniqueName="ns2:Team9General">
      <xmlPr mapId="4" xpath="/ns2:ScoreSheet/ns2:Ai1/ns2:Team9General" xmlDataType="decimal"/>
    </xmlCellPr>
  </singleXmlCell>
  <singleXmlCell id="225" xr6:uid="{00000000-000C-0000-FFFF-FFFFDF000000}" r="C15" connectionId="0">
    <xmlCellPr id="1" xr6:uid="{00000000-0010-0000-DF00-000001000000}" uniqueName="ns2:Team10Variety">
      <xmlPr mapId="4" xpath="/ns2:ScoreSheet/ns2:Ai1/ns2:Team10Variety" xmlDataType="decimal"/>
    </xmlCellPr>
  </singleXmlCell>
  <singleXmlCell id="226" xr6:uid="{00000000-000C-0000-FFFF-FFFFE0000000}" r="D15" connectionId="0">
    <xmlCellPr id="1" xr6:uid="{00000000-0010-0000-E000-000001000000}" uniqueName="ns2:Team10Teamwork">
      <xmlPr mapId="4" xpath="/ns2:ScoreSheet/ns2:Ai1/ns2:Team10Teamwork" xmlDataType="decimal"/>
    </xmlCellPr>
  </singleXmlCell>
  <singleXmlCell id="227" xr6:uid="{00000000-000C-0000-FFFF-FFFFE1000000}" r="E15" connectionId="0">
    <xmlCellPr id="1" xr6:uid="{00000000-0010-0000-E100-000001000000}" uniqueName="ns2:Team10Music">
      <xmlPr mapId="4" xpath="/ns2:ScoreSheet/ns2:Ai1/ns2:Team10Music" xmlDataType="decimal"/>
    </xmlCellPr>
  </singleXmlCell>
  <singleXmlCell id="228" xr6:uid="{00000000-000C-0000-FFFF-FFFFE2000000}" r="F15" connectionId="0">
    <xmlCellPr id="1" xr6:uid="{00000000-0010-0000-E200-000001000000}" uniqueName="ns2:Team10Flow">
      <xmlPr mapId="4" xpath="/ns2:ScoreSheet/ns2:Ai1/ns2:Team10Flow" xmlDataType="decimal"/>
    </xmlCellPr>
  </singleXmlCell>
  <singleXmlCell id="229" xr6:uid="{00000000-000C-0000-FFFF-FFFFE3000000}" r="G15" connectionId="0">
    <xmlCellPr id="1" xr6:uid="{00000000-0010-0000-E300-000001000000}" uniqueName="ns2:Team10Form">
      <xmlPr mapId="4" xpath="/ns2:ScoreSheet/ns2:Ai1/ns2:Team10Form" xmlDataType="decimal"/>
    </xmlCellPr>
  </singleXmlCell>
  <singleXmlCell id="230" xr6:uid="{00000000-000C-0000-FFFF-FFFFE4000000}" r="H15" connectionId="0">
    <xmlCellPr id="1" xr6:uid="{00000000-0010-0000-E400-000001000000}" uniqueName="ns2:Team10General">
      <xmlPr mapId="4" xpath="/ns2:ScoreSheet/ns2:Ai1/ns2:Team10General" xmlDataType="decimal"/>
    </xmlCellPr>
  </singleXmlCell>
</singleXmlCells>
</file>

<file path=xl/tables/tableSingleCells6.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231" xr6:uid="{00000000-000C-0000-FFFF-FFFFE5000000}" r="C6" connectionId="0">
    <xmlCellPr id="1" xr6:uid="{00000000-0010-0000-E500-000001000000}" uniqueName="ns2:Team1Variety">
      <xmlPr mapId="4" xpath="/ns2:ScoreSheet/ns2:Ai2/ns2:Team1Variety" xmlDataType="decimal"/>
    </xmlCellPr>
  </singleXmlCell>
  <singleXmlCell id="232" xr6:uid="{00000000-000C-0000-FFFF-FFFFE6000000}" r="D6" connectionId="0">
    <xmlCellPr id="1" xr6:uid="{00000000-0010-0000-E600-000001000000}" uniqueName="ns2:Team1Teamwork">
      <xmlPr mapId="4" xpath="/ns2:ScoreSheet/ns2:Ai2/ns2:Team1Teamwork" xmlDataType="decimal"/>
    </xmlCellPr>
  </singleXmlCell>
  <singleXmlCell id="233" xr6:uid="{00000000-000C-0000-FFFF-FFFFE7000000}" r="E6" connectionId="0">
    <xmlCellPr id="1" xr6:uid="{00000000-0010-0000-E700-000001000000}" uniqueName="ns2:Team1Music">
      <xmlPr mapId="4" xpath="/ns2:ScoreSheet/ns2:Ai2/ns2:Team1Music" xmlDataType="decimal"/>
    </xmlCellPr>
  </singleXmlCell>
  <singleXmlCell id="234" xr6:uid="{00000000-000C-0000-FFFF-FFFFE8000000}" r="F6" connectionId="0">
    <xmlCellPr id="1" xr6:uid="{00000000-0010-0000-E800-000001000000}" uniqueName="ns2:Team1Flow">
      <xmlPr mapId="4" xpath="/ns2:ScoreSheet/ns2:Ai2/ns2:Team1Flow" xmlDataType="decimal"/>
    </xmlCellPr>
  </singleXmlCell>
  <singleXmlCell id="235" xr6:uid="{00000000-000C-0000-FFFF-FFFFE9000000}" r="G6" connectionId="0">
    <xmlCellPr id="1" xr6:uid="{00000000-0010-0000-E900-000001000000}" uniqueName="ns2:Team1Form">
      <xmlPr mapId="4" xpath="/ns2:ScoreSheet/ns2:Ai2/ns2:Team1Form" xmlDataType="decimal"/>
    </xmlCellPr>
  </singleXmlCell>
  <singleXmlCell id="236" xr6:uid="{00000000-000C-0000-FFFF-FFFFEA000000}" r="H6" connectionId="0">
    <xmlCellPr id="1" xr6:uid="{00000000-0010-0000-EA00-000001000000}" uniqueName="ns2:Team1General">
      <xmlPr mapId="4" xpath="/ns2:ScoreSheet/ns2:Ai2/ns2:Team1General" xmlDataType="decimal"/>
    </xmlCellPr>
  </singleXmlCell>
  <singleXmlCell id="237" xr6:uid="{00000000-000C-0000-FFFF-FFFFEB000000}" r="C7" connectionId="0">
    <xmlCellPr id="1" xr6:uid="{00000000-0010-0000-EB00-000001000000}" uniqueName="ns2:Team2Variety">
      <xmlPr mapId="4" xpath="/ns2:ScoreSheet/ns2:Ai2/ns2:Team2Variety" xmlDataType="decimal"/>
    </xmlCellPr>
  </singleXmlCell>
  <singleXmlCell id="238" xr6:uid="{00000000-000C-0000-FFFF-FFFFEC000000}" r="D7" connectionId="0">
    <xmlCellPr id="1" xr6:uid="{00000000-0010-0000-EC00-000001000000}" uniqueName="ns2:Team2Teamwork">
      <xmlPr mapId="4" xpath="/ns2:ScoreSheet/ns2:Ai2/ns2:Team2Teamwork" xmlDataType="decimal"/>
    </xmlCellPr>
  </singleXmlCell>
  <singleXmlCell id="239" xr6:uid="{00000000-000C-0000-FFFF-FFFFED000000}" r="E7" connectionId="0">
    <xmlCellPr id="1" xr6:uid="{00000000-0010-0000-ED00-000001000000}" uniqueName="ns2:Team2Music">
      <xmlPr mapId="4" xpath="/ns2:ScoreSheet/ns2:Ai2/ns2:Team2Music" xmlDataType="decimal"/>
    </xmlCellPr>
  </singleXmlCell>
  <singleXmlCell id="240" xr6:uid="{00000000-000C-0000-FFFF-FFFFEE000000}" r="F7" connectionId="0">
    <xmlCellPr id="1" xr6:uid="{00000000-0010-0000-EE00-000001000000}" uniqueName="ns2:Team2Flow">
      <xmlPr mapId="4" xpath="/ns2:ScoreSheet/ns2:Ai2/ns2:Team2Flow" xmlDataType="decimal"/>
    </xmlCellPr>
  </singleXmlCell>
  <singleXmlCell id="241" xr6:uid="{00000000-000C-0000-FFFF-FFFFEF000000}" r="G7" connectionId="0">
    <xmlCellPr id="1" xr6:uid="{00000000-0010-0000-EF00-000001000000}" uniqueName="ns2:Team2Form">
      <xmlPr mapId="4" xpath="/ns2:ScoreSheet/ns2:Ai2/ns2:Team2Form" xmlDataType="decimal"/>
    </xmlCellPr>
  </singleXmlCell>
  <singleXmlCell id="242" xr6:uid="{00000000-000C-0000-FFFF-FFFFF0000000}" r="H7" connectionId="0">
    <xmlCellPr id="1" xr6:uid="{00000000-0010-0000-F000-000001000000}" uniqueName="ns2:Team2General">
      <xmlPr mapId="4" xpath="/ns2:ScoreSheet/ns2:Ai2/ns2:Team2General" xmlDataType="decimal"/>
    </xmlCellPr>
  </singleXmlCell>
  <singleXmlCell id="243" xr6:uid="{00000000-000C-0000-FFFF-FFFFF1000000}" r="C8" connectionId="0">
    <xmlCellPr id="1" xr6:uid="{00000000-0010-0000-F100-000001000000}" uniqueName="ns2:Team3Variety">
      <xmlPr mapId="4" xpath="/ns2:ScoreSheet/ns2:Ai2/ns2:Team3Variety" xmlDataType="decimal"/>
    </xmlCellPr>
  </singleXmlCell>
  <singleXmlCell id="244" xr6:uid="{00000000-000C-0000-FFFF-FFFFF2000000}" r="D8" connectionId="0">
    <xmlCellPr id="1" xr6:uid="{00000000-0010-0000-F200-000001000000}" uniqueName="ns2:Team3Teamwork">
      <xmlPr mapId="4" xpath="/ns2:ScoreSheet/ns2:Ai2/ns2:Team3Teamwork" xmlDataType="decimal"/>
    </xmlCellPr>
  </singleXmlCell>
  <singleXmlCell id="245" xr6:uid="{00000000-000C-0000-FFFF-FFFFF3000000}" r="E8" connectionId="0">
    <xmlCellPr id="1" xr6:uid="{00000000-0010-0000-F300-000001000000}" uniqueName="ns2:Team3Music">
      <xmlPr mapId="4" xpath="/ns2:ScoreSheet/ns2:Ai2/ns2:Team3Music" xmlDataType="decimal"/>
    </xmlCellPr>
  </singleXmlCell>
  <singleXmlCell id="246" xr6:uid="{00000000-000C-0000-FFFF-FFFFF4000000}" r="F8" connectionId="0">
    <xmlCellPr id="1" xr6:uid="{00000000-0010-0000-F400-000001000000}" uniqueName="ns2:Team3Flow">
      <xmlPr mapId="4" xpath="/ns2:ScoreSheet/ns2:Ai2/ns2:Team3Flow" xmlDataType="decimal"/>
    </xmlCellPr>
  </singleXmlCell>
  <singleXmlCell id="247" xr6:uid="{00000000-000C-0000-FFFF-FFFFF5000000}" r="G8" connectionId="0">
    <xmlCellPr id="1" xr6:uid="{00000000-0010-0000-F500-000001000000}" uniqueName="ns2:Team3Form">
      <xmlPr mapId="4" xpath="/ns2:ScoreSheet/ns2:Ai2/ns2:Team3Form" xmlDataType="decimal"/>
    </xmlCellPr>
  </singleXmlCell>
  <singleXmlCell id="248" xr6:uid="{00000000-000C-0000-FFFF-FFFFF6000000}" r="H8" connectionId="0">
    <xmlCellPr id="1" xr6:uid="{00000000-0010-0000-F600-000001000000}" uniqueName="ns2:Team3General">
      <xmlPr mapId="4" xpath="/ns2:ScoreSheet/ns2:Ai2/ns2:Team3General" xmlDataType="decimal"/>
    </xmlCellPr>
  </singleXmlCell>
  <singleXmlCell id="249" xr6:uid="{00000000-000C-0000-FFFF-FFFFF7000000}" r="C9" connectionId="0">
    <xmlCellPr id="1" xr6:uid="{00000000-0010-0000-F700-000001000000}" uniqueName="ns2:Team4Variety">
      <xmlPr mapId="4" xpath="/ns2:ScoreSheet/ns2:Ai2/ns2:Team4Variety" xmlDataType="decimal"/>
    </xmlCellPr>
  </singleXmlCell>
  <singleXmlCell id="250" xr6:uid="{00000000-000C-0000-FFFF-FFFFF8000000}" r="D9" connectionId="0">
    <xmlCellPr id="1" xr6:uid="{00000000-0010-0000-F800-000001000000}" uniqueName="ns2:Team4Teamwork">
      <xmlPr mapId="4" xpath="/ns2:ScoreSheet/ns2:Ai2/ns2:Team4Teamwork" xmlDataType="decimal"/>
    </xmlCellPr>
  </singleXmlCell>
  <singleXmlCell id="251" xr6:uid="{00000000-000C-0000-FFFF-FFFFF9000000}" r="E9" connectionId="0">
    <xmlCellPr id="1" xr6:uid="{00000000-0010-0000-F900-000001000000}" uniqueName="ns2:Team4Music">
      <xmlPr mapId="4" xpath="/ns2:ScoreSheet/ns2:Ai2/ns2:Team4Music" xmlDataType="decimal"/>
    </xmlCellPr>
  </singleXmlCell>
  <singleXmlCell id="252" xr6:uid="{00000000-000C-0000-FFFF-FFFFFA000000}" r="F9" connectionId="0">
    <xmlCellPr id="1" xr6:uid="{00000000-0010-0000-FA00-000001000000}" uniqueName="ns2:Team4Flow">
      <xmlPr mapId="4" xpath="/ns2:ScoreSheet/ns2:Ai2/ns2:Team4Flow" xmlDataType="decimal"/>
    </xmlCellPr>
  </singleXmlCell>
  <singleXmlCell id="253" xr6:uid="{00000000-000C-0000-FFFF-FFFFFB000000}" r="G9" connectionId="0">
    <xmlCellPr id="1" xr6:uid="{00000000-0010-0000-FB00-000001000000}" uniqueName="ns2:Team4Form">
      <xmlPr mapId="4" xpath="/ns2:ScoreSheet/ns2:Ai2/ns2:Team4Form" xmlDataType="decimal"/>
    </xmlCellPr>
  </singleXmlCell>
  <singleXmlCell id="254" xr6:uid="{00000000-000C-0000-FFFF-FFFFFC000000}" r="H9" connectionId="0">
    <xmlCellPr id="1" xr6:uid="{00000000-0010-0000-FC00-000001000000}" uniqueName="ns2:Team4General">
      <xmlPr mapId="4" xpath="/ns2:ScoreSheet/ns2:Ai2/ns2:Team4General" xmlDataType="decimal"/>
    </xmlCellPr>
  </singleXmlCell>
  <singleXmlCell id="255" xr6:uid="{00000000-000C-0000-FFFF-FFFFFD000000}" r="C10" connectionId="0">
    <xmlCellPr id="1" xr6:uid="{00000000-0010-0000-FD00-000001000000}" uniqueName="ns2:Team5Variety">
      <xmlPr mapId="4" xpath="/ns2:ScoreSheet/ns2:Ai2/ns2:Team5Variety" xmlDataType="decimal"/>
    </xmlCellPr>
  </singleXmlCell>
  <singleXmlCell id="256" xr6:uid="{00000000-000C-0000-FFFF-FFFFFE000000}" r="D10" connectionId="0">
    <xmlCellPr id="1" xr6:uid="{00000000-0010-0000-FE00-000001000000}" uniqueName="ns2:Team5Teamwork">
      <xmlPr mapId="4" xpath="/ns2:ScoreSheet/ns2:Ai2/ns2:Team5Teamwork" xmlDataType="decimal"/>
    </xmlCellPr>
  </singleXmlCell>
  <singleXmlCell id="257" xr6:uid="{00000000-000C-0000-FFFF-FFFFFF000000}" r="E10" connectionId="0">
    <xmlCellPr id="1" xr6:uid="{00000000-0010-0000-FF00-000001000000}" uniqueName="ns2:Team5Music">
      <xmlPr mapId="4" xpath="/ns2:ScoreSheet/ns2:Ai2/ns2:Team5Music" xmlDataType="decimal"/>
    </xmlCellPr>
  </singleXmlCell>
  <singleXmlCell id="258" xr6:uid="{00000000-000C-0000-FFFF-FFFF00010000}" r="F10" connectionId="0">
    <xmlCellPr id="1" xr6:uid="{00000000-0010-0000-0001-000001000000}" uniqueName="ns2:Team5Flow">
      <xmlPr mapId="4" xpath="/ns2:ScoreSheet/ns2:Ai2/ns2:Team5Flow" xmlDataType="decimal"/>
    </xmlCellPr>
  </singleXmlCell>
  <singleXmlCell id="259" xr6:uid="{00000000-000C-0000-FFFF-FFFF01010000}" r="G10" connectionId="0">
    <xmlCellPr id="1" xr6:uid="{00000000-0010-0000-0101-000001000000}" uniqueName="ns2:Team5Form">
      <xmlPr mapId="4" xpath="/ns2:ScoreSheet/ns2:Ai2/ns2:Team5Form" xmlDataType="decimal"/>
    </xmlCellPr>
  </singleXmlCell>
  <singleXmlCell id="260" xr6:uid="{00000000-000C-0000-FFFF-FFFF02010000}" r="H10" connectionId="0">
    <xmlCellPr id="1" xr6:uid="{00000000-0010-0000-0201-000001000000}" uniqueName="ns2:Team5General">
      <xmlPr mapId="4" xpath="/ns2:ScoreSheet/ns2:Ai2/ns2:Team5General" xmlDataType="decimal"/>
    </xmlCellPr>
  </singleXmlCell>
  <singleXmlCell id="261" xr6:uid="{00000000-000C-0000-FFFF-FFFF03010000}" r="C11" connectionId="0">
    <xmlCellPr id="1" xr6:uid="{00000000-0010-0000-0301-000001000000}" uniqueName="ns2:Team6Variety">
      <xmlPr mapId="4" xpath="/ns2:ScoreSheet/ns2:Ai2/ns2:Team6Variety" xmlDataType="decimal"/>
    </xmlCellPr>
  </singleXmlCell>
  <singleXmlCell id="262" xr6:uid="{00000000-000C-0000-FFFF-FFFF04010000}" r="D11" connectionId="0">
    <xmlCellPr id="1" xr6:uid="{00000000-0010-0000-0401-000001000000}" uniqueName="ns2:Team6Teamwork">
      <xmlPr mapId="4" xpath="/ns2:ScoreSheet/ns2:Ai2/ns2:Team6Teamwork" xmlDataType="decimal"/>
    </xmlCellPr>
  </singleXmlCell>
  <singleXmlCell id="263" xr6:uid="{00000000-000C-0000-FFFF-FFFF05010000}" r="E11" connectionId="0">
    <xmlCellPr id="1" xr6:uid="{00000000-0010-0000-0501-000001000000}" uniqueName="ns2:Team6Music">
      <xmlPr mapId="4" xpath="/ns2:ScoreSheet/ns2:Ai2/ns2:Team6Music" xmlDataType="decimal"/>
    </xmlCellPr>
  </singleXmlCell>
  <singleXmlCell id="264" xr6:uid="{00000000-000C-0000-FFFF-FFFF06010000}" r="F11" connectionId="0">
    <xmlCellPr id="1" xr6:uid="{00000000-0010-0000-0601-000001000000}" uniqueName="ns2:Team6Flow">
      <xmlPr mapId="4" xpath="/ns2:ScoreSheet/ns2:Ai2/ns2:Team6Flow" xmlDataType="decimal"/>
    </xmlCellPr>
  </singleXmlCell>
  <singleXmlCell id="265" xr6:uid="{00000000-000C-0000-FFFF-FFFF07010000}" r="G11" connectionId="0">
    <xmlCellPr id="1" xr6:uid="{00000000-0010-0000-0701-000001000000}" uniqueName="ns2:Team6Form">
      <xmlPr mapId="4" xpath="/ns2:ScoreSheet/ns2:Ai2/ns2:Team6Form" xmlDataType="decimal"/>
    </xmlCellPr>
  </singleXmlCell>
  <singleXmlCell id="266" xr6:uid="{00000000-000C-0000-FFFF-FFFF08010000}" r="H11" connectionId="0">
    <xmlCellPr id="1" xr6:uid="{00000000-0010-0000-0801-000001000000}" uniqueName="ns2:Team6General">
      <xmlPr mapId="4" xpath="/ns2:ScoreSheet/ns2:Ai2/ns2:Team6General" xmlDataType="decimal"/>
    </xmlCellPr>
  </singleXmlCell>
  <singleXmlCell id="267" xr6:uid="{00000000-000C-0000-FFFF-FFFF09010000}" r="C12" connectionId="0">
    <xmlCellPr id="1" xr6:uid="{00000000-0010-0000-0901-000001000000}" uniqueName="ns2:Team7Variety">
      <xmlPr mapId="4" xpath="/ns2:ScoreSheet/ns2:Ai2/ns2:Team7Variety" xmlDataType="decimal"/>
    </xmlCellPr>
  </singleXmlCell>
  <singleXmlCell id="268" xr6:uid="{00000000-000C-0000-FFFF-FFFF0A010000}" r="D12" connectionId="0">
    <xmlCellPr id="1" xr6:uid="{00000000-0010-0000-0A01-000001000000}" uniqueName="ns2:Team7Teamwork">
      <xmlPr mapId="4" xpath="/ns2:ScoreSheet/ns2:Ai2/ns2:Team7Teamwork" xmlDataType="decimal"/>
    </xmlCellPr>
  </singleXmlCell>
  <singleXmlCell id="269" xr6:uid="{00000000-000C-0000-FFFF-FFFF0B010000}" r="E12" connectionId="0">
    <xmlCellPr id="1" xr6:uid="{00000000-0010-0000-0B01-000001000000}" uniqueName="ns2:Team7Music">
      <xmlPr mapId="4" xpath="/ns2:ScoreSheet/ns2:Ai2/ns2:Team7Music" xmlDataType="decimal"/>
    </xmlCellPr>
  </singleXmlCell>
  <singleXmlCell id="270" xr6:uid="{00000000-000C-0000-FFFF-FFFF0C010000}" r="F12" connectionId="0">
    <xmlCellPr id="1" xr6:uid="{00000000-0010-0000-0C01-000001000000}" uniqueName="ns2:Team7Flow">
      <xmlPr mapId="4" xpath="/ns2:ScoreSheet/ns2:Ai2/ns2:Team7Flow" xmlDataType="decimal"/>
    </xmlCellPr>
  </singleXmlCell>
  <singleXmlCell id="271" xr6:uid="{00000000-000C-0000-FFFF-FFFF0D010000}" r="G12" connectionId="0">
    <xmlCellPr id="1" xr6:uid="{00000000-0010-0000-0D01-000001000000}" uniqueName="ns2:Team7Form">
      <xmlPr mapId="4" xpath="/ns2:ScoreSheet/ns2:Ai2/ns2:Team7Form" xmlDataType="decimal"/>
    </xmlCellPr>
  </singleXmlCell>
  <singleXmlCell id="272" xr6:uid="{00000000-000C-0000-FFFF-FFFF0E010000}" r="H12" connectionId="0">
    <xmlCellPr id="1" xr6:uid="{00000000-0010-0000-0E01-000001000000}" uniqueName="ns2:Team7General">
      <xmlPr mapId="4" xpath="/ns2:ScoreSheet/ns2:Ai2/ns2:Team7General" xmlDataType="decimal"/>
    </xmlCellPr>
  </singleXmlCell>
  <singleXmlCell id="273" xr6:uid="{00000000-000C-0000-FFFF-FFFF0F010000}" r="C13" connectionId="0">
    <xmlCellPr id="1" xr6:uid="{00000000-0010-0000-0F01-000001000000}" uniqueName="ns2:Team8Variety">
      <xmlPr mapId="4" xpath="/ns2:ScoreSheet/ns2:Ai2/ns2:Team8Variety" xmlDataType="decimal"/>
    </xmlCellPr>
  </singleXmlCell>
  <singleXmlCell id="274" xr6:uid="{00000000-000C-0000-FFFF-FFFF10010000}" r="D13" connectionId="0">
    <xmlCellPr id="1" xr6:uid="{00000000-0010-0000-1001-000001000000}" uniqueName="ns2:Team8Teamwork">
      <xmlPr mapId="4" xpath="/ns2:ScoreSheet/ns2:Ai2/ns2:Team8Teamwork" xmlDataType="decimal"/>
    </xmlCellPr>
  </singleXmlCell>
  <singleXmlCell id="275" xr6:uid="{00000000-000C-0000-FFFF-FFFF11010000}" r="E13" connectionId="0">
    <xmlCellPr id="1" xr6:uid="{00000000-0010-0000-1101-000001000000}" uniqueName="ns2:Team8Music">
      <xmlPr mapId="4" xpath="/ns2:ScoreSheet/ns2:Ai2/ns2:Team8Music" xmlDataType="decimal"/>
    </xmlCellPr>
  </singleXmlCell>
  <singleXmlCell id="276" xr6:uid="{00000000-000C-0000-FFFF-FFFF12010000}" r="F13" connectionId="0">
    <xmlCellPr id="1" xr6:uid="{00000000-0010-0000-1201-000001000000}" uniqueName="ns2:Team8Flow">
      <xmlPr mapId="4" xpath="/ns2:ScoreSheet/ns2:Ai2/ns2:Team8Flow" xmlDataType="decimal"/>
    </xmlCellPr>
  </singleXmlCell>
  <singleXmlCell id="277" xr6:uid="{00000000-000C-0000-FFFF-FFFF13010000}" r="G13" connectionId="0">
    <xmlCellPr id="1" xr6:uid="{00000000-0010-0000-1301-000001000000}" uniqueName="ns2:Team8Form">
      <xmlPr mapId="4" xpath="/ns2:ScoreSheet/ns2:Ai2/ns2:Team8Form" xmlDataType="decimal"/>
    </xmlCellPr>
  </singleXmlCell>
  <singleXmlCell id="278" xr6:uid="{00000000-000C-0000-FFFF-FFFF14010000}" r="H13" connectionId="0">
    <xmlCellPr id="1" xr6:uid="{00000000-0010-0000-1401-000001000000}" uniqueName="ns2:Team8General">
      <xmlPr mapId="4" xpath="/ns2:ScoreSheet/ns2:Ai2/ns2:Team8General" xmlDataType="decimal"/>
    </xmlCellPr>
  </singleXmlCell>
  <singleXmlCell id="279" xr6:uid="{00000000-000C-0000-FFFF-FFFF15010000}" r="C14" connectionId="0">
    <xmlCellPr id="1" xr6:uid="{00000000-0010-0000-1501-000001000000}" uniqueName="ns2:Team9Variety">
      <xmlPr mapId="4" xpath="/ns2:ScoreSheet/ns2:Ai2/ns2:Team9Variety" xmlDataType="decimal"/>
    </xmlCellPr>
  </singleXmlCell>
  <singleXmlCell id="280" xr6:uid="{00000000-000C-0000-FFFF-FFFF16010000}" r="D14" connectionId="0">
    <xmlCellPr id="1" xr6:uid="{00000000-0010-0000-1601-000001000000}" uniqueName="ns2:Team9Teamwork">
      <xmlPr mapId="4" xpath="/ns2:ScoreSheet/ns2:Ai2/ns2:Team9Teamwork" xmlDataType="decimal"/>
    </xmlCellPr>
  </singleXmlCell>
  <singleXmlCell id="281" xr6:uid="{00000000-000C-0000-FFFF-FFFF17010000}" r="E14" connectionId="0">
    <xmlCellPr id="1" xr6:uid="{00000000-0010-0000-1701-000001000000}" uniqueName="ns2:Team9Music">
      <xmlPr mapId="4" xpath="/ns2:ScoreSheet/ns2:Ai2/ns2:Team9Music" xmlDataType="decimal"/>
    </xmlCellPr>
  </singleXmlCell>
  <singleXmlCell id="282" xr6:uid="{00000000-000C-0000-FFFF-FFFF18010000}" r="F14" connectionId="0">
    <xmlCellPr id="1" xr6:uid="{00000000-0010-0000-1801-000001000000}" uniqueName="ns2:Team9Flow">
      <xmlPr mapId="4" xpath="/ns2:ScoreSheet/ns2:Ai2/ns2:Team9Flow" xmlDataType="decimal"/>
    </xmlCellPr>
  </singleXmlCell>
  <singleXmlCell id="283" xr6:uid="{00000000-000C-0000-FFFF-FFFF19010000}" r="G14" connectionId="0">
    <xmlCellPr id="1" xr6:uid="{00000000-0010-0000-1901-000001000000}" uniqueName="ns2:Team9Form">
      <xmlPr mapId="4" xpath="/ns2:ScoreSheet/ns2:Ai2/ns2:Team9Form" xmlDataType="decimal"/>
    </xmlCellPr>
  </singleXmlCell>
  <singleXmlCell id="284" xr6:uid="{00000000-000C-0000-FFFF-FFFF1A010000}" r="H14" connectionId="0">
    <xmlCellPr id="1" xr6:uid="{00000000-0010-0000-1A01-000001000000}" uniqueName="ns2:Team9General">
      <xmlPr mapId="4" xpath="/ns2:ScoreSheet/ns2:Ai2/ns2:Team9General" xmlDataType="decimal"/>
    </xmlCellPr>
  </singleXmlCell>
  <singleXmlCell id="288" xr6:uid="{00000000-000C-0000-FFFF-FFFF1B010000}" r="C15" connectionId="0">
    <xmlCellPr id="1" xr6:uid="{00000000-0010-0000-1B01-000001000000}" uniqueName="ns2:Team10Variety">
      <xmlPr mapId="4" xpath="/ns2:ScoreSheet/ns2:Ai2/ns2:Team10Variety" xmlDataType="decimal"/>
    </xmlCellPr>
  </singleXmlCell>
  <singleXmlCell id="289" xr6:uid="{00000000-000C-0000-FFFF-FFFF1C010000}" r="D15" connectionId="0">
    <xmlCellPr id="1" xr6:uid="{00000000-0010-0000-1C01-000001000000}" uniqueName="ns2:Team10Teamwork">
      <xmlPr mapId="4" xpath="/ns2:ScoreSheet/ns2:Ai2/ns2:Team10Teamwork" xmlDataType="decimal"/>
    </xmlCellPr>
  </singleXmlCell>
  <singleXmlCell id="290" xr6:uid="{00000000-000C-0000-FFFF-FFFF1D010000}" r="E15" connectionId="0">
    <xmlCellPr id="1" xr6:uid="{00000000-0010-0000-1D01-000001000000}" uniqueName="ns2:Team10Music">
      <xmlPr mapId="4" xpath="/ns2:ScoreSheet/ns2:Ai2/ns2:Team10Music" xmlDataType="decimal"/>
    </xmlCellPr>
  </singleXmlCell>
  <singleXmlCell id="291" xr6:uid="{00000000-000C-0000-FFFF-FFFF1E010000}" r="F15" connectionId="0">
    <xmlCellPr id="1" xr6:uid="{00000000-0010-0000-1E01-000001000000}" uniqueName="ns2:Team10Flow">
      <xmlPr mapId="4" xpath="/ns2:ScoreSheet/ns2:Ai2/ns2:Team10Flow" xmlDataType="decimal"/>
    </xmlCellPr>
  </singleXmlCell>
  <singleXmlCell id="292" xr6:uid="{00000000-000C-0000-FFFF-FFFF1F010000}" r="G15" connectionId="0">
    <xmlCellPr id="1" xr6:uid="{00000000-0010-0000-1F01-000001000000}" uniqueName="ns2:Team10Form">
      <xmlPr mapId="4" xpath="/ns2:ScoreSheet/ns2:Ai2/ns2:Team10Form" xmlDataType="decimal"/>
    </xmlCellPr>
  </singleXmlCell>
  <singleXmlCell id="293" xr6:uid="{00000000-000C-0000-FFFF-FFFF20010000}" r="H15" connectionId="0">
    <xmlCellPr id="1" xr6:uid="{00000000-0010-0000-2001-000001000000}" uniqueName="ns2:Team10General">
      <xmlPr mapId="4" xpath="/ns2:ScoreSheet/ns2:Ai2/ns2:Team10General" xmlDataType="decimal"/>
    </xmlCellPr>
  </singleXmlCell>
</singleXmlCells>
</file>

<file path=xl/tables/tableSingleCells7.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294" xr6:uid="{00000000-000C-0000-FFFF-FFFF21010000}" r="C6" connectionId="0">
    <xmlCellPr id="1" xr6:uid="{00000000-0010-0000-2101-000001000000}" uniqueName="ns2:Team1Variety">
      <xmlPr mapId="4" xpath="/ns2:ScoreSheet/ns2:Ai3/ns2:Team1Variety" xmlDataType="decimal"/>
    </xmlCellPr>
  </singleXmlCell>
  <singleXmlCell id="295" xr6:uid="{00000000-000C-0000-FFFF-FFFF22010000}" r="D6" connectionId="0">
    <xmlCellPr id="1" xr6:uid="{00000000-0010-0000-2201-000001000000}" uniqueName="ns2:Team1Teamwork">
      <xmlPr mapId="4" xpath="/ns2:ScoreSheet/ns2:Ai3/ns2:Team1Teamwork" xmlDataType="decimal"/>
    </xmlCellPr>
  </singleXmlCell>
  <singleXmlCell id="296" xr6:uid="{00000000-000C-0000-FFFF-FFFF23010000}" r="E6" connectionId="0">
    <xmlCellPr id="1" xr6:uid="{00000000-0010-0000-2301-000001000000}" uniqueName="ns2:Team1Music">
      <xmlPr mapId="4" xpath="/ns2:ScoreSheet/ns2:Ai3/ns2:Team1Music" xmlDataType="decimal"/>
    </xmlCellPr>
  </singleXmlCell>
  <singleXmlCell id="297" xr6:uid="{00000000-000C-0000-FFFF-FFFF24010000}" r="F6" connectionId="0">
    <xmlCellPr id="1" xr6:uid="{00000000-0010-0000-2401-000001000000}" uniqueName="ns2:Team1Flow">
      <xmlPr mapId="4" xpath="/ns2:ScoreSheet/ns2:Ai3/ns2:Team1Flow" xmlDataType="decimal"/>
    </xmlCellPr>
  </singleXmlCell>
  <singleXmlCell id="298" xr6:uid="{00000000-000C-0000-FFFF-FFFF25010000}" r="G6" connectionId="0">
    <xmlCellPr id="1" xr6:uid="{00000000-0010-0000-2501-000001000000}" uniqueName="ns2:Team1Form">
      <xmlPr mapId="4" xpath="/ns2:ScoreSheet/ns2:Ai3/ns2:Team1Form" xmlDataType="decimal"/>
    </xmlCellPr>
  </singleXmlCell>
  <singleXmlCell id="299" xr6:uid="{00000000-000C-0000-FFFF-FFFF26010000}" r="H6" connectionId="0">
    <xmlCellPr id="1" xr6:uid="{00000000-0010-0000-2601-000001000000}" uniqueName="ns2:Team1General">
      <xmlPr mapId="4" xpath="/ns2:ScoreSheet/ns2:Ai3/ns2:Team1General" xmlDataType="decimal"/>
    </xmlCellPr>
  </singleXmlCell>
  <singleXmlCell id="300" xr6:uid="{00000000-000C-0000-FFFF-FFFF27010000}" r="C7" connectionId="0">
    <xmlCellPr id="1" xr6:uid="{00000000-0010-0000-2701-000001000000}" uniqueName="ns2:Team2Variety">
      <xmlPr mapId="4" xpath="/ns2:ScoreSheet/ns2:Ai3/ns2:Team2Variety" xmlDataType="decimal"/>
    </xmlCellPr>
  </singleXmlCell>
  <singleXmlCell id="301" xr6:uid="{00000000-000C-0000-FFFF-FFFF28010000}" r="D7" connectionId="0">
    <xmlCellPr id="1" xr6:uid="{00000000-0010-0000-2801-000001000000}" uniqueName="ns2:Team2Teamwork">
      <xmlPr mapId="4" xpath="/ns2:ScoreSheet/ns2:Ai3/ns2:Team2Teamwork" xmlDataType="decimal"/>
    </xmlCellPr>
  </singleXmlCell>
  <singleXmlCell id="302" xr6:uid="{00000000-000C-0000-FFFF-FFFF29010000}" r="E7" connectionId="0">
    <xmlCellPr id="1" xr6:uid="{00000000-0010-0000-2901-000001000000}" uniqueName="ns2:Team2Music">
      <xmlPr mapId="4" xpath="/ns2:ScoreSheet/ns2:Ai3/ns2:Team2Music" xmlDataType="decimal"/>
    </xmlCellPr>
  </singleXmlCell>
  <singleXmlCell id="303" xr6:uid="{00000000-000C-0000-FFFF-FFFF2A010000}" r="F7" connectionId="0">
    <xmlCellPr id="1" xr6:uid="{00000000-0010-0000-2A01-000001000000}" uniqueName="ns2:Team2Flow">
      <xmlPr mapId="4" xpath="/ns2:ScoreSheet/ns2:Ai3/ns2:Team2Flow" xmlDataType="decimal"/>
    </xmlCellPr>
  </singleXmlCell>
  <singleXmlCell id="304" xr6:uid="{00000000-000C-0000-FFFF-FFFF2B010000}" r="G7" connectionId="0">
    <xmlCellPr id="1" xr6:uid="{00000000-0010-0000-2B01-000001000000}" uniqueName="ns2:Team2Form">
      <xmlPr mapId="4" xpath="/ns2:ScoreSheet/ns2:Ai3/ns2:Team2Form" xmlDataType="decimal"/>
    </xmlCellPr>
  </singleXmlCell>
  <singleXmlCell id="305" xr6:uid="{00000000-000C-0000-FFFF-FFFF2C010000}" r="H7" connectionId="0">
    <xmlCellPr id="1" xr6:uid="{00000000-0010-0000-2C01-000001000000}" uniqueName="ns2:Team2General">
      <xmlPr mapId="4" xpath="/ns2:ScoreSheet/ns2:Ai3/ns2:Team2General" xmlDataType="decimal"/>
    </xmlCellPr>
  </singleXmlCell>
  <singleXmlCell id="306" xr6:uid="{00000000-000C-0000-FFFF-FFFF2D010000}" r="C8" connectionId="0">
    <xmlCellPr id="1" xr6:uid="{00000000-0010-0000-2D01-000001000000}" uniqueName="ns2:Team3Variety">
      <xmlPr mapId="4" xpath="/ns2:ScoreSheet/ns2:Ai3/ns2:Team3Variety" xmlDataType="decimal"/>
    </xmlCellPr>
  </singleXmlCell>
  <singleXmlCell id="307" xr6:uid="{00000000-000C-0000-FFFF-FFFF2E010000}" r="D8" connectionId="0">
    <xmlCellPr id="1" xr6:uid="{00000000-0010-0000-2E01-000001000000}" uniqueName="ns2:Team3Teamwork">
      <xmlPr mapId="4" xpath="/ns2:ScoreSheet/ns2:Ai3/ns2:Team3Teamwork" xmlDataType="decimal"/>
    </xmlCellPr>
  </singleXmlCell>
  <singleXmlCell id="308" xr6:uid="{00000000-000C-0000-FFFF-FFFF2F010000}" r="E8" connectionId="0">
    <xmlCellPr id="1" xr6:uid="{00000000-0010-0000-2F01-000001000000}" uniqueName="ns2:Team3Music">
      <xmlPr mapId="4" xpath="/ns2:ScoreSheet/ns2:Ai3/ns2:Team3Music" xmlDataType="decimal"/>
    </xmlCellPr>
  </singleXmlCell>
  <singleXmlCell id="309" xr6:uid="{00000000-000C-0000-FFFF-FFFF30010000}" r="F8" connectionId="0">
    <xmlCellPr id="1" xr6:uid="{00000000-0010-0000-3001-000001000000}" uniqueName="ns2:Team3Flow">
      <xmlPr mapId="4" xpath="/ns2:ScoreSheet/ns2:Ai3/ns2:Team3Flow" xmlDataType="decimal"/>
    </xmlCellPr>
  </singleXmlCell>
  <singleXmlCell id="310" xr6:uid="{00000000-000C-0000-FFFF-FFFF31010000}" r="G8" connectionId="0">
    <xmlCellPr id="1" xr6:uid="{00000000-0010-0000-3101-000001000000}" uniqueName="ns2:Team3Form">
      <xmlPr mapId="4" xpath="/ns2:ScoreSheet/ns2:Ai3/ns2:Team3Form" xmlDataType="decimal"/>
    </xmlCellPr>
  </singleXmlCell>
  <singleXmlCell id="311" xr6:uid="{00000000-000C-0000-FFFF-FFFF32010000}" r="H8" connectionId="0">
    <xmlCellPr id="1" xr6:uid="{00000000-0010-0000-3201-000001000000}" uniqueName="ns2:Team3General">
      <xmlPr mapId="4" xpath="/ns2:ScoreSheet/ns2:Ai3/ns2:Team3General" xmlDataType="decimal"/>
    </xmlCellPr>
  </singleXmlCell>
  <singleXmlCell id="312" xr6:uid="{00000000-000C-0000-FFFF-FFFF33010000}" r="C9" connectionId="0">
    <xmlCellPr id="1" xr6:uid="{00000000-0010-0000-3301-000001000000}" uniqueName="ns2:Team4Variety">
      <xmlPr mapId="4" xpath="/ns2:ScoreSheet/ns2:Ai3/ns2:Team4Variety" xmlDataType="decimal"/>
    </xmlCellPr>
  </singleXmlCell>
  <singleXmlCell id="313" xr6:uid="{00000000-000C-0000-FFFF-FFFF34010000}" r="D9" connectionId="0">
    <xmlCellPr id="1" xr6:uid="{00000000-0010-0000-3401-000001000000}" uniqueName="ns2:Team4Teamwork">
      <xmlPr mapId="4" xpath="/ns2:ScoreSheet/ns2:Ai3/ns2:Team4Teamwork" xmlDataType="decimal"/>
    </xmlCellPr>
  </singleXmlCell>
  <singleXmlCell id="314" xr6:uid="{00000000-000C-0000-FFFF-FFFF35010000}" r="E9" connectionId="0">
    <xmlCellPr id="1" xr6:uid="{00000000-0010-0000-3501-000001000000}" uniqueName="ns2:Team4Music">
      <xmlPr mapId="4" xpath="/ns2:ScoreSheet/ns2:Ai3/ns2:Team4Music" xmlDataType="decimal"/>
    </xmlCellPr>
  </singleXmlCell>
  <singleXmlCell id="315" xr6:uid="{00000000-000C-0000-FFFF-FFFF36010000}" r="F9" connectionId="0">
    <xmlCellPr id="1" xr6:uid="{00000000-0010-0000-3601-000001000000}" uniqueName="ns2:Team4Flow">
      <xmlPr mapId="4" xpath="/ns2:ScoreSheet/ns2:Ai3/ns2:Team4Flow" xmlDataType="decimal"/>
    </xmlCellPr>
  </singleXmlCell>
  <singleXmlCell id="316" xr6:uid="{00000000-000C-0000-FFFF-FFFF37010000}" r="G9" connectionId="0">
    <xmlCellPr id="1" xr6:uid="{00000000-0010-0000-3701-000001000000}" uniqueName="ns2:Team4Form">
      <xmlPr mapId="4" xpath="/ns2:ScoreSheet/ns2:Ai3/ns2:Team4Form" xmlDataType="decimal"/>
    </xmlCellPr>
  </singleXmlCell>
  <singleXmlCell id="317" xr6:uid="{00000000-000C-0000-FFFF-FFFF38010000}" r="H9" connectionId="0">
    <xmlCellPr id="1" xr6:uid="{00000000-0010-0000-3801-000001000000}" uniqueName="ns2:Team4General">
      <xmlPr mapId="4" xpath="/ns2:ScoreSheet/ns2:Ai3/ns2:Team4General" xmlDataType="decimal"/>
    </xmlCellPr>
  </singleXmlCell>
  <singleXmlCell id="318" xr6:uid="{00000000-000C-0000-FFFF-FFFF39010000}" r="C10" connectionId="0">
    <xmlCellPr id="1" xr6:uid="{00000000-0010-0000-3901-000001000000}" uniqueName="ns2:Team5Variety">
      <xmlPr mapId="4" xpath="/ns2:ScoreSheet/ns2:Ai3/ns2:Team5Variety" xmlDataType="decimal"/>
    </xmlCellPr>
  </singleXmlCell>
  <singleXmlCell id="319" xr6:uid="{00000000-000C-0000-FFFF-FFFF3A010000}" r="D10" connectionId="0">
    <xmlCellPr id="1" xr6:uid="{00000000-0010-0000-3A01-000001000000}" uniqueName="ns2:Team5Teamwork">
      <xmlPr mapId="4" xpath="/ns2:ScoreSheet/ns2:Ai3/ns2:Team5Teamwork" xmlDataType="decimal"/>
    </xmlCellPr>
  </singleXmlCell>
  <singleXmlCell id="320" xr6:uid="{00000000-000C-0000-FFFF-FFFF3B010000}" r="E10" connectionId="0">
    <xmlCellPr id="1" xr6:uid="{00000000-0010-0000-3B01-000001000000}" uniqueName="ns2:Team5Music">
      <xmlPr mapId="4" xpath="/ns2:ScoreSheet/ns2:Ai3/ns2:Team5Music" xmlDataType="decimal"/>
    </xmlCellPr>
  </singleXmlCell>
  <singleXmlCell id="321" xr6:uid="{00000000-000C-0000-FFFF-FFFF3C010000}" r="F10" connectionId="0">
    <xmlCellPr id="1" xr6:uid="{00000000-0010-0000-3C01-000001000000}" uniqueName="ns2:Team5Flow">
      <xmlPr mapId="4" xpath="/ns2:ScoreSheet/ns2:Ai3/ns2:Team5Flow" xmlDataType="decimal"/>
    </xmlCellPr>
  </singleXmlCell>
  <singleXmlCell id="322" xr6:uid="{00000000-000C-0000-FFFF-FFFF3D010000}" r="G10" connectionId="0">
    <xmlCellPr id="1" xr6:uid="{00000000-0010-0000-3D01-000001000000}" uniqueName="ns2:Team5Form">
      <xmlPr mapId="4" xpath="/ns2:ScoreSheet/ns2:Ai3/ns2:Team5Form" xmlDataType="decimal"/>
    </xmlCellPr>
  </singleXmlCell>
  <singleXmlCell id="323" xr6:uid="{00000000-000C-0000-FFFF-FFFF3E010000}" r="H10" connectionId="0">
    <xmlCellPr id="1" xr6:uid="{00000000-0010-0000-3E01-000001000000}" uniqueName="ns2:Team5General">
      <xmlPr mapId="4" xpath="/ns2:ScoreSheet/ns2:Ai3/ns2:Team5General" xmlDataType="decimal"/>
    </xmlCellPr>
  </singleXmlCell>
  <singleXmlCell id="324" xr6:uid="{00000000-000C-0000-FFFF-FFFF3F010000}" r="C11" connectionId="0">
    <xmlCellPr id="1" xr6:uid="{00000000-0010-0000-3F01-000001000000}" uniqueName="ns2:Team6Variety">
      <xmlPr mapId="4" xpath="/ns2:ScoreSheet/ns2:Ai3/ns2:Team6Variety" xmlDataType="decimal"/>
    </xmlCellPr>
  </singleXmlCell>
  <singleXmlCell id="325" xr6:uid="{00000000-000C-0000-FFFF-FFFF40010000}" r="D11" connectionId="0">
    <xmlCellPr id="1" xr6:uid="{00000000-0010-0000-4001-000001000000}" uniqueName="ns2:Team6Teamwork">
      <xmlPr mapId="4" xpath="/ns2:ScoreSheet/ns2:Ai3/ns2:Team6Teamwork" xmlDataType="decimal"/>
    </xmlCellPr>
  </singleXmlCell>
  <singleXmlCell id="326" xr6:uid="{00000000-000C-0000-FFFF-FFFF41010000}" r="E11" connectionId="0">
    <xmlCellPr id="1" xr6:uid="{00000000-0010-0000-4101-000001000000}" uniqueName="ns2:Team6Music">
      <xmlPr mapId="4" xpath="/ns2:ScoreSheet/ns2:Ai3/ns2:Team6Music" xmlDataType="decimal"/>
    </xmlCellPr>
  </singleXmlCell>
  <singleXmlCell id="327" xr6:uid="{00000000-000C-0000-FFFF-FFFF42010000}" r="F11" connectionId="0">
    <xmlCellPr id="1" xr6:uid="{00000000-0010-0000-4201-000001000000}" uniqueName="ns2:Team6Flow">
      <xmlPr mapId="4" xpath="/ns2:ScoreSheet/ns2:Ai3/ns2:Team6Flow" xmlDataType="decimal"/>
    </xmlCellPr>
  </singleXmlCell>
  <singleXmlCell id="328" xr6:uid="{00000000-000C-0000-FFFF-FFFF43010000}" r="G11" connectionId="0">
    <xmlCellPr id="1" xr6:uid="{00000000-0010-0000-4301-000001000000}" uniqueName="ns2:Team6Form">
      <xmlPr mapId="4" xpath="/ns2:ScoreSheet/ns2:Ai3/ns2:Team6Form" xmlDataType="decimal"/>
    </xmlCellPr>
  </singleXmlCell>
  <singleXmlCell id="329" xr6:uid="{00000000-000C-0000-FFFF-FFFF44010000}" r="H11" connectionId="0">
    <xmlCellPr id="1" xr6:uid="{00000000-0010-0000-4401-000001000000}" uniqueName="ns2:Team6General">
      <xmlPr mapId="4" xpath="/ns2:ScoreSheet/ns2:Ai3/ns2:Team6General" xmlDataType="decimal"/>
    </xmlCellPr>
  </singleXmlCell>
  <singleXmlCell id="330" xr6:uid="{00000000-000C-0000-FFFF-FFFF45010000}" r="C12" connectionId="0">
    <xmlCellPr id="1" xr6:uid="{00000000-0010-0000-4501-000001000000}" uniqueName="ns2:Team7Variety">
      <xmlPr mapId="4" xpath="/ns2:ScoreSheet/ns2:Ai3/ns2:Team7Variety" xmlDataType="decimal"/>
    </xmlCellPr>
  </singleXmlCell>
  <singleXmlCell id="331" xr6:uid="{00000000-000C-0000-FFFF-FFFF46010000}" r="D12" connectionId="0">
    <xmlCellPr id="1" xr6:uid="{00000000-0010-0000-4601-000001000000}" uniqueName="ns2:Team7Teamwork">
      <xmlPr mapId="4" xpath="/ns2:ScoreSheet/ns2:Ai3/ns2:Team7Teamwork" xmlDataType="decimal"/>
    </xmlCellPr>
  </singleXmlCell>
  <singleXmlCell id="332" xr6:uid="{00000000-000C-0000-FFFF-FFFF47010000}" r="E12" connectionId="0">
    <xmlCellPr id="1" xr6:uid="{00000000-0010-0000-4701-000001000000}" uniqueName="ns2:Team7Music">
      <xmlPr mapId="4" xpath="/ns2:ScoreSheet/ns2:Ai3/ns2:Team7Music" xmlDataType="decimal"/>
    </xmlCellPr>
  </singleXmlCell>
  <singleXmlCell id="333" xr6:uid="{00000000-000C-0000-FFFF-FFFF48010000}" r="F12" connectionId="0">
    <xmlCellPr id="1" xr6:uid="{00000000-0010-0000-4801-000001000000}" uniqueName="ns2:Team7Flow">
      <xmlPr mapId="4" xpath="/ns2:ScoreSheet/ns2:Ai3/ns2:Team7Flow" xmlDataType="decimal"/>
    </xmlCellPr>
  </singleXmlCell>
  <singleXmlCell id="334" xr6:uid="{00000000-000C-0000-FFFF-FFFF49010000}" r="G12" connectionId="0">
    <xmlCellPr id="1" xr6:uid="{00000000-0010-0000-4901-000001000000}" uniqueName="ns2:Team7Form">
      <xmlPr mapId="4" xpath="/ns2:ScoreSheet/ns2:Ai3/ns2:Team7Form" xmlDataType="decimal"/>
    </xmlCellPr>
  </singleXmlCell>
  <singleXmlCell id="335" xr6:uid="{00000000-000C-0000-FFFF-FFFF4A010000}" r="H12" connectionId="0">
    <xmlCellPr id="1" xr6:uid="{00000000-0010-0000-4A01-000001000000}" uniqueName="ns2:Team7General">
      <xmlPr mapId="4" xpath="/ns2:ScoreSheet/ns2:Ai3/ns2:Team7General" xmlDataType="decimal"/>
    </xmlCellPr>
  </singleXmlCell>
  <singleXmlCell id="336" xr6:uid="{00000000-000C-0000-FFFF-FFFF4B010000}" r="C13" connectionId="0">
    <xmlCellPr id="1" xr6:uid="{00000000-0010-0000-4B01-000001000000}" uniqueName="ns2:Team8Variety">
      <xmlPr mapId="4" xpath="/ns2:ScoreSheet/ns2:Ai3/ns2:Team8Variety" xmlDataType="decimal"/>
    </xmlCellPr>
  </singleXmlCell>
  <singleXmlCell id="337" xr6:uid="{00000000-000C-0000-FFFF-FFFF4C010000}" r="D13" connectionId="0">
    <xmlCellPr id="1" xr6:uid="{00000000-0010-0000-4C01-000001000000}" uniqueName="ns2:Team8Teamwork">
      <xmlPr mapId="4" xpath="/ns2:ScoreSheet/ns2:Ai3/ns2:Team8Teamwork" xmlDataType="decimal"/>
    </xmlCellPr>
  </singleXmlCell>
  <singleXmlCell id="338" xr6:uid="{00000000-000C-0000-FFFF-FFFF4D010000}" r="E13" connectionId="0">
    <xmlCellPr id="1" xr6:uid="{00000000-0010-0000-4D01-000001000000}" uniqueName="ns2:Team8Music">
      <xmlPr mapId="4" xpath="/ns2:ScoreSheet/ns2:Ai3/ns2:Team8Music" xmlDataType="decimal"/>
    </xmlCellPr>
  </singleXmlCell>
  <singleXmlCell id="339" xr6:uid="{00000000-000C-0000-FFFF-FFFF4E010000}" r="F13" connectionId="0">
    <xmlCellPr id="1" xr6:uid="{00000000-0010-0000-4E01-000001000000}" uniqueName="ns2:Team8Flow">
      <xmlPr mapId="4" xpath="/ns2:ScoreSheet/ns2:Ai3/ns2:Team8Flow" xmlDataType="decimal"/>
    </xmlCellPr>
  </singleXmlCell>
  <singleXmlCell id="340" xr6:uid="{00000000-000C-0000-FFFF-FFFF4F010000}" r="G13" connectionId="0">
    <xmlCellPr id="1" xr6:uid="{00000000-0010-0000-4F01-000001000000}" uniqueName="ns2:Team8Form">
      <xmlPr mapId="4" xpath="/ns2:ScoreSheet/ns2:Ai3/ns2:Team8Form" xmlDataType="decimal"/>
    </xmlCellPr>
  </singleXmlCell>
  <singleXmlCell id="341" xr6:uid="{00000000-000C-0000-FFFF-FFFF50010000}" r="H13" connectionId="0">
    <xmlCellPr id="1" xr6:uid="{00000000-0010-0000-5001-000001000000}" uniqueName="ns2:Team8General">
      <xmlPr mapId="4" xpath="/ns2:ScoreSheet/ns2:Ai3/ns2:Team8General" xmlDataType="decimal"/>
    </xmlCellPr>
  </singleXmlCell>
  <singleXmlCell id="342" xr6:uid="{00000000-000C-0000-FFFF-FFFF51010000}" r="C14" connectionId="0">
    <xmlCellPr id="1" xr6:uid="{00000000-0010-0000-5101-000001000000}" uniqueName="ns2:Team9Variety">
      <xmlPr mapId="4" xpath="/ns2:ScoreSheet/ns2:Ai3/ns2:Team9Variety" xmlDataType="decimal"/>
    </xmlCellPr>
  </singleXmlCell>
  <singleXmlCell id="343" xr6:uid="{00000000-000C-0000-FFFF-FFFF52010000}" r="D14" connectionId="0">
    <xmlCellPr id="1" xr6:uid="{00000000-0010-0000-5201-000001000000}" uniqueName="ns2:Team9Teamwork">
      <xmlPr mapId="4" xpath="/ns2:ScoreSheet/ns2:Ai3/ns2:Team9Teamwork" xmlDataType="decimal"/>
    </xmlCellPr>
  </singleXmlCell>
  <singleXmlCell id="344" xr6:uid="{00000000-000C-0000-FFFF-FFFF53010000}" r="E14" connectionId="0">
    <xmlCellPr id="1" xr6:uid="{00000000-0010-0000-5301-000001000000}" uniqueName="ns2:Team9Music">
      <xmlPr mapId="4" xpath="/ns2:ScoreSheet/ns2:Ai3/ns2:Team9Music" xmlDataType="decimal"/>
    </xmlCellPr>
  </singleXmlCell>
  <singleXmlCell id="345" xr6:uid="{00000000-000C-0000-FFFF-FFFF54010000}" r="F14" connectionId="0">
    <xmlCellPr id="1" xr6:uid="{00000000-0010-0000-5401-000001000000}" uniqueName="ns2:Team9Flow">
      <xmlPr mapId="4" xpath="/ns2:ScoreSheet/ns2:Ai3/ns2:Team9Flow" xmlDataType="decimal"/>
    </xmlCellPr>
  </singleXmlCell>
  <singleXmlCell id="346" xr6:uid="{00000000-000C-0000-FFFF-FFFF55010000}" r="G14" connectionId="0">
    <xmlCellPr id="1" xr6:uid="{00000000-0010-0000-5501-000001000000}" uniqueName="ns2:Team9Form">
      <xmlPr mapId="4" xpath="/ns2:ScoreSheet/ns2:Ai3/ns2:Team9Form" xmlDataType="decimal"/>
    </xmlCellPr>
  </singleXmlCell>
  <singleXmlCell id="347" xr6:uid="{00000000-000C-0000-FFFF-FFFF56010000}" r="H14" connectionId="0">
    <xmlCellPr id="1" xr6:uid="{00000000-0010-0000-5601-000001000000}" uniqueName="ns2:Team9General">
      <xmlPr mapId="4" xpath="/ns2:ScoreSheet/ns2:Ai3/ns2:Team9General" xmlDataType="decimal"/>
    </xmlCellPr>
  </singleXmlCell>
  <singleXmlCell id="348" xr6:uid="{00000000-000C-0000-FFFF-FFFF57010000}" r="C15" connectionId="0">
    <xmlCellPr id="1" xr6:uid="{00000000-0010-0000-5701-000001000000}" uniqueName="ns2:Team10Variety">
      <xmlPr mapId="4" xpath="/ns2:ScoreSheet/ns2:Ai3/ns2:Team10Variety" xmlDataType="decimal"/>
    </xmlCellPr>
  </singleXmlCell>
  <singleXmlCell id="349" xr6:uid="{00000000-000C-0000-FFFF-FFFF58010000}" r="D15" connectionId="0">
    <xmlCellPr id="1" xr6:uid="{00000000-0010-0000-5801-000001000000}" uniqueName="ns2:Team10Teamwork">
      <xmlPr mapId="4" xpath="/ns2:ScoreSheet/ns2:Ai3/ns2:Team10Teamwork" xmlDataType="decimal"/>
    </xmlCellPr>
  </singleXmlCell>
  <singleXmlCell id="350" xr6:uid="{00000000-000C-0000-FFFF-FFFF59010000}" r="E15" connectionId="0">
    <xmlCellPr id="1" xr6:uid="{00000000-0010-0000-5901-000001000000}" uniqueName="ns2:Team10Music">
      <xmlPr mapId="4" xpath="/ns2:ScoreSheet/ns2:Ai3/ns2:Team10Music" xmlDataType="decimal"/>
    </xmlCellPr>
  </singleXmlCell>
  <singleXmlCell id="351" xr6:uid="{00000000-000C-0000-FFFF-FFFF5A010000}" r="F15" connectionId="0">
    <xmlCellPr id="1" xr6:uid="{00000000-0010-0000-5A01-000001000000}" uniqueName="ns2:Team10Flow">
      <xmlPr mapId="4" xpath="/ns2:ScoreSheet/ns2:Ai3/ns2:Team10Flow" xmlDataType="decimal"/>
    </xmlCellPr>
  </singleXmlCell>
  <singleXmlCell id="352" xr6:uid="{00000000-000C-0000-FFFF-FFFF5B010000}" r="G15" connectionId="0">
    <xmlCellPr id="1" xr6:uid="{00000000-0010-0000-5B01-000001000000}" uniqueName="ns2:Team10Form">
      <xmlPr mapId="4" xpath="/ns2:ScoreSheet/ns2:Ai3/ns2:Team10Form" xmlDataType="decimal"/>
    </xmlCellPr>
  </singleXmlCell>
  <singleXmlCell id="353" xr6:uid="{00000000-000C-0000-FFFF-FFFF5C010000}" r="H15" connectionId="0">
    <xmlCellPr id="1" xr6:uid="{00000000-0010-0000-5C01-000001000000}" uniqueName="ns2:Team10General">
      <xmlPr mapId="4" xpath="/ns2:ScoreSheet/ns2:Ai3/ns2:Team10General" xmlDataType="decimal"/>
    </xmlCellPr>
  </singleXmlCell>
</singleXmlCells>
</file>

<file path=xl/tables/tableSingleCells8.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354" xr6:uid="{00000000-000C-0000-FFFF-FFFF5D010000}" r="C7" connectionId="0">
    <xmlCellPr id="1" xr6:uid="{00000000-0010-0000-5D01-000001000000}" uniqueName="ns2:Team1Diff1">
      <xmlPr mapId="4" xpath="/ns2:ScoreSheet/ns2:Diff1/ns2:Team1Diff1" xmlDataType="decimal"/>
    </xmlCellPr>
  </singleXmlCell>
  <singleXmlCell id="355" xr6:uid="{00000000-000C-0000-FFFF-FFFF5E010000}" r="D7" connectionId="0">
    <xmlCellPr id="1" xr6:uid="{00000000-0010-0000-5E01-000001000000}" uniqueName="ns2:Team1Diff2">
      <xmlPr mapId="4" xpath="/ns2:ScoreSheet/ns2:Diff1/ns2:Team1Diff2" xmlDataType="decimal"/>
    </xmlCellPr>
  </singleXmlCell>
  <singleXmlCell id="356" xr6:uid="{00000000-000C-0000-FFFF-FFFF5F010000}" r="E7" connectionId="0">
    <xmlCellPr id="1" xr6:uid="{00000000-0010-0000-5F01-000001000000}" uniqueName="ns2:Team1Diff3">
      <xmlPr mapId="4" xpath="/ns2:ScoreSheet/ns2:Diff1/ns2:Team1Diff3" xmlDataType="decimal"/>
    </xmlCellPr>
  </singleXmlCell>
  <singleXmlCell id="357" xr6:uid="{00000000-000C-0000-FFFF-FFFF60010000}" r="F7" connectionId="0">
    <xmlCellPr id="1" xr6:uid="{00000000-0010-0000-6001-000001000000}" uniqueName="ns2:Team1Diff4">
      <xmlPr mapId="4" xpath="/ns2:ScoreSheet/ns2:Diff1/ns2:Team1Diff4" xmlDataType="decimal"/>
    </xmlCellPr>
  </singleXmlCell>
  <singleXmlCell id="358" xr6:uid="{00000000-000C-0000-FFFF-FFFF61010000}" r="G7" connectionId="0">
    <xmlCellPr id="1" xr6:uid="{00000000-0010-0000-6101-000001000000}" uniqueName="ns2:Team1Diff5">
      <xmlPr mapId="4" xpath="/ns2:ScoreSheet/ns2:Diff1/ns2:Team1Diff5" xmlDataType="decimal"/>
    </xmlCellPr>
  </singleXmlCell>
  <singleXmlCell id="359" xr6:uid="{00000000-000C-0000-FFFF-FFFF62010000}" r="H7" connectionId="0">
    <xmlCellPr id="1" xr6:uid="{00000000-0010-0000-6201-000001000000}" uniqueName="ns2:Team1Diff6">
      <xmlPr mapId="4" xpath="/ns2:ScoreSheet/ns2:Diff1/ns2:Team1Diff6" xmlDataType="decimal"/>
    </xmlCellPr>
  </singleXmlCell>
  <singleXmlCell id="360" xr6:uid="{00000000-000C-0000-FFFF-FFFF63010000}" r="I7" connectionId="0">
    <xmlCellPr id="1" xr6:uid="{00000000-0010-0000-6301-000001000000}" uniqueName="ns2:Team1Diff7">
      <xmlPr mapId="4" xpath="/ns2:ScoreSheet/ns2:Diff1/ns2:Team1Diff7" xmlDataType="decimal"/>
    </xmlCellPr>
  </singleXmlCell>
  <singleXmlCell id="361" xr6:uid="{00000000-000C-0000-FFFF-FFFF64010000}" r="J7" connectionId="0">
    <xmlCellPr id="1" xr6:uid="{00000000-0010-0000-6401-000001000000}" uniqueName="ns2:Team1Diff8">
      <xmlPr mapId="4" xpath="/ns2:ScoreSheet/ns2:Diff1/ns2:Team1Diff8" xmlDataType="decimal"/>
    </xmlCellPr>
  </singleXmlCell>
  <singleXmlCell id="362" xr6:uid="{00000000-000C-0000-FFFF-FFFF65010000}" r="K7" connectionId="0">
    <xmlCellPr id="1" xr6:uid="{00000000-0010-0000-6501-000001000000}" uniqueName="ns2:Team1Diff9">
      <xmlPr mapId="4" xpath="/ns2:ScoreSheet/ns2:Diff1/ns2:Team1Diff9" xmlDataType="decimal"/>
    </xmlCellPr>
  </singleXmlCell>
  <singleXmlCell id="363" xr6:uid="{00000000-000C-0000-FFFF-FFFF66010000}" r="L7" connectionId="0">
    <xmlCellPr id="1" xr6:uid="{00000000-0010-0000-6601-000001000000}" uniqueName="ns2:Team1Diff10">
      <xmlPr mapId="4" xpath="/ns2:ScoreSheet/ns2:Diff1/ns2:Team1Diff10" xmlDataType="decimal"/>
    </xmlCellPr>
  </singleXmlCell>
  <singleXmlCell id="364" xr6:uid="{00000000-000C-0000-FFFF-FFFF67010000}" r="M7" connectionId="0">
    <xmlCellPr id="1" xr6:uid="{00000000-0010-0000-6701-000001000000}" uniqueName="ns2:Team1Diff11">
      <xmlPr mapId="4" xpath="/ns2:ScoreSheet/ns2:Diff1/ns2:Team1Diff11" xmlDataType="decimal"/>
    </xmlCellPr>
  </singleXmlCell>
  <singleXmlCell id="365" xr6:uid="{00000000-000C-0000-FFFF-FFFF68010000}" r="N7" connectionId="0">
    <xmlCellPr id="1" xr6:uid="{00000000-0010-0000-6801-000001000000}" uniqueName="ns2:Team1Diff12">
      <xmlPr mapId="4" xpath="/ns2:ScoreSheet/ns2:Diff1/ns2:Team1Diff12" xmlDataType="decimal"/>
    </xmlCellPr>
  </singleXmlCell>
  <singleXmlCell id="366" xr6:uid="{00000000-000C-0000-FFFF-FFFF69010000}" r="O7" connectionId="0">
    <xmlCellPr id="1" xr6:uid="{00000000-0010-0000-6901-000001000000}" uniqueName="ns2:Team1Diff13">
      <xmlPr mapId="4" xpath="/ns2:ScoreSheet/ns2:Diff1/ns2:Team1Diff13" xmlDataType="decimal"/>
    </xmlCellPr>
  </singleXmlCell>
  <singleXmlCell id="367" xr6:uid="{00000000-000C-0000-FFFF-FFFF6A010000}" r="P7" connectionId="0">
    <xmlCellPr id="1" xr6:uid="{00000000-0010-0000-6A01-000001000000}" uniqueName="ns2:Team1Diff14">
      <xmlPr mapId="4" xpath="/ns2:ScoreSheet/ns2:Diff1/ns2:Team1Diff14" xmlDataType="decimal"/>
    </xmlCellPr>
  </singleXmlCell>
  <singleXmlCell id="368" xr6:uid="{00000000-000C-0000-FFFF-FFFF6B010000}" r="Q7" connectionId="0">
    <xmlCellPr id="1" xr6:uid="{00000000-0010-0000-6B01-000001000000}" uniqueName="ns2:Team1Diff15">
      <xmlPr mapId="4" xpath="/ns2:ScoreSheet/ns2:Diff1/ns2:Team1Diff15" xmlDataType="decimal"/>
    </xmlCellPr>
  </singleXmlCell>
  <singleXmlCell id="369" xr6:uid="{00000000-000C-0000-FFFF-FFFF6C010000}" r="R7" connectionId="0">
    <xmlCellPr id="1" xr6:uid="{00000000-0010-0000-6C01-000001000000}" uniqueName="ns2:Team1Diff16">
      <xmlPr mapId="4" xpath="/ns2:ScoreSheet/ns2:Diff1/ns2:Team1Diff16" xmlDataType="decimal"/>
    </xmlCellPr>
  </singleXmlCell>
  <singleXmlCell id="370" xr6:uid="{00000000-000C-0000-FFFF-FFFF6D010000}" r="S7" connectionId="0">
    <xmlCellPr id="1" xr6:uid="{00000000-0010-0000-6D01-000001000000}" uniqueName="ns2:Team1Diff17">
      <xmlPr mapId="4" xpath="/ns2:ScoreSheet/ns2:Diff1/ns2:Team1Diff17" xmlDataType="decimal"/>
    </xmlCellPr>
  </singleXmlCell>
  <singleXmlCell id="371" xr6:uid="{00000000-000C-0000-FFFF-FFFF6E010000}" r="T7" connectionId="0">
    <xmlCellPr id="1" xr6:uid="{00000000-0010-0000-6E01-000001000000}" uniqueName="ns2:Team1Diff18">
      <xmlPr mapId="4" xpath="/ns2:ScoreSheet/ns2:Diff1/ns2:Team1Diff18" xmlDataType="decimal"/>
    </xmlCellPr>
  </singleXmlCell>
  <singleXmlCell id="372" xr6:uid="{00000000-000C-0000-FFFF-FFFF6F010000}" r="U7" connectionId="0">
    <xmlCellPr id="1" xr6:uid="{00000000-0010-0000-6F01-000001000000}" uniqueName="ns2:Team1Diff19">
      <xmlPr mapId="4" xpath="/ns2:ScoreSheet/ns2:Diff1/ns2:Team1Diff19" xmlDataType="decimal"/>
    </xmlCellPr>
  </singleXmlCell>
  <singleXmlCell id="373" xr6:uid="{00000000-000C-0000-FFFF-FFFF70010000}" r="V7" connectionId="0">
    <xmlCellPr id="1" xr6:uid="{00000000-0010-0000-7001-000001000000}" uniqueName="ns2:Team1Diff20">
      <xmlPr mapId="4" xpath="/ns2:ScoreSheet/ns2:Diff1/ns2:Team1Diff20" xmlDataType="decimal"/>
    </xmlCellPr>
  </singleXmlCell>
  <singleXmlCell id="374" xr6:uid="{00000000-000C-0000-FFFF-FFFF71010000}" r="C6" connectionId="0">
    <xmlCellPr id="1" xr6:uid="{00000000-0010-0000-7101-000001000000}" uniqueName="ns2:Team1Consec1">
      <xmlPr mapId="4" xpath="/ns2:ScoreSheet/ns2:Diff1/ns2:Team1Consec1" xmlDataType="string"/>
    </xmlCellPr>
  </singleXmlCell>
  <singleXmlCell id="375" xr6:uid="{00000000-000C-0000-FFFF-FFFF72010000}" r="D6" connectionId="0">
    <xmlCellPr id="1" xr6:uid="{00000000-0010-0000-7201-000001000000}" uniqueName="ns2:Team1Consec2">
      <xmlPr mapId="4" xpath="/ns2:ScoreSheet/ns2:Diff1/ns2:Team1Consec2" xmlDataType="string"/>
    </xmlCellPr>
  </singleXmlCell>
  <singleXmlCell id="376" xr6:uid="{00000000-000C-0000-FFFF-FFFF73010000}" r="E6" connectionId="0">
    <xmlCellPr id="1" xr6:uid="{00000000-0010-0000-7301-000001000000}" uniqueName="ns2:Team1Consec3">
      <xmlPr mapId="4" xpath="/ns2:ScoreSheet/ns2:Diff1/ns2:Team1Consec3" xmlDataType="string"/>
    </xmlCellPr>
  </singleXmlCell>
  <singleXmlCell id="377" xr6:uid="{00000000-000C-0000-FFFF-FFFF74010000}" r="F6" connectionId="0">
    <xmlCellPr id="1" xr6:uid="{00000000-0010-0000-7401-000001000000}" uniqueName="ns2:Team1Consec4">
      <xmlPr mapId="4" xpath="/ns2:ScoreSheet/ns2:Diff1/ns2:Team1Consec4" xmlDataType="string"/>
    </xmlCellPr>
  </singleXmlCell>
  <singleXmlCell id="378" xr6:uid="{00000000-000C-0000-FFFF-FFFF75010000}" r="G6" connectionId="0">
    <xmlCellPr id="1" xr6:uid="{00000000-0010-0000-7501-000001000000}" uniqueName="ns2:Team1Consec5">
      <xmlPr mapId="4" xpath="/ns2:ScoreSheet/ns2:Diff1/ns2:Team1Consec5" xmlDataType="string"/>
    </xmlCellPr>
  </singleXmlCell>
  <singleXmlCell id="379" xr6:uid="{00000000-000C-0000-FFFF-FFFF76010000}" r="H6" connectionId="0">
    <xmlCellPr id="1" xr6:uid="{00000000-0010-0000-7601-000001000000}" uniqueName="ns2:Team1Consec6">
      <xmlPr mapId="4" xpath="/ns2:ScoreSheet/ns2:Diff1/ns2:Team1Consec6" xmlDataType="string"/>
    </xmlCellPr>
  </singleXmlCell>
  <singleXmlCell id="380" xr6:uid="{00000000-000C-0000-FFFF-FFFF77010000}" r="I6" connectionId="0">
    <xmlCellPr id="1" xr6:uid="{00000000-0010-0000-7701-000001000000}" uniqueName="ns2:Team1Consec7">
      <xmlPr mapId="4" xpath="/ns2:ScoreSheet/ns2:Diff1/ns2:Team1Consec7" xmlDataType="string"/>
    </xmlCellPr>
  </singleXmlCell>
  <singleXmlCell id="381" xr6:uid="{00000000-000C-0000-FFFF-FFFF78010000}" r="J6" connectionId="0">
    <xmlCellPr id="1" xr6:uid="{00000000-0010-0000-7801-000001000000}" uniqueName="ns2:Team1Consec8">
      <xmlPr mapId="4" xpath="/ns2:ScoreSheet/ns2:Diff1/ns2:Team1Consec8" xmlDataType="string"/>
    </xmlCellPr>
  </singleXmlCell>
  <singleXmlCell id="382" xr6:uid="{00000000-000C-0000-FFFF-FFFF79010000}" r="K6" connectionId="0">
    <xmlCellPr id="1" xr6:uid="{00000000-0010-0000-7901-000001000000}" uniqueName="ns2:Team1Consec9">
      <xmlPr mapId="4" xpath="/ns2:ScoreSheet/ns2:Diff1/ns2:Team1Consec9" xmlDataType="string"/>
    </xmlCellPr>
  </singleXmlCell>
  <singleXmlCell id="383" xr6:uid="{00000000-000C-0000-FFFF-FFFF7A010000}" r="L6" connectionId="0">
    <xmlCellPr id="1" xr6:uid="{00000000-0010-0000-7A01-000001000000}" uniqueName="ns2:Team1Consec10">
      <xmlPr mapId="4" xpath="/ns2:ScoreSheet/ns2:Diff1/ns2:Team1Consec10" xmlDataType="string"/>
    </xmlCellPr>
  </singleXmlCell>
  <singleXmlCell id="384" xr6:uid="{00000000-000C-0000-FFFF-FFFF7B010000}" r="M6" connectionId="0">
    <xmlCellPr id="1" xr6:uid="{00000000-0010-0000-7B01-000001000000}" uniqueName="ns2:Team1Consec11">
      <xmlPr mapId="4" xpath="/ns2:ScoreSheet/ns2:Diff1/ns2:Team1Consec11" xmlDataType="string"/>
    </xmlCellPr>
  </singleXmlCell>
  <singleXmlCell id="385" xr6:uid="{00000000-000C-0000-FFFF-FFFF7C010000}" r="N6" connectionId="0">
    <xmlCellPr id="1" xr6:uid="{00000000-0010-0000-7C01-000001000000}" uniqueName="ns2:Team1Consec12">
      <xmlPr mapId="4" xpath="/ns2:ScoreSheet/ns2:Diff1/ns2:Team1Consec12" xmlDataType="string"/>
    </xmlCellPr>
  </singleXmlCell>
  <singleXmlCell id="386" xr6:uid="{00000000-000C-0000-FFFF-FFFF7D010000}" r="O6" connectionId="0">
    <xmlCellPr id="1" xr6:uid="{00000000-0010-0000-7D01-000001000000}" uniqueName="ns2:Team1Consec13">
      <xmlPr mapId="4" xpath="/ns2:ScoreSheet/ns2:Diff1/ns2:Team1Consec13" xmlDataType="string"/>
    </xmlCellPr>
  </singleXmlCell>
  <singleXmlCell id="387" xr6:uid="{00000000-000C-0000-FFFF-FFFF7E010000}" r="P6" connectionId="0">
    <xmlCellPr id="1" xr6:uid="{00000000-0010-0000-7E01-000001000000}" uniqueName="ns2:Team1Consec14">
      <xmlPr mapId="4" xpath="/ns2:ScoreSheet/ns2:Diff1/ns2:Team1Consec14" xmlDataType="string"/>
    </xmlCellPr>
  </singleXmlCell>
  <singleXmlCell id="388" xr6:uid="{00000000-000C-0000-FFFF-FFFF7F010000}" r="Q6" connectionId="0">
    <xmlCellPr id="1" xr6:uid="{00000000-0010-0000-7F01-000001000000}" uniqueName="ns2:Team1Consec15">
      <xmlPr mapId="4" xpath="/ns2:ScoreSheet/ns2:Diff1/ns2:Team1Consec15" xmlDataType="string"/>
    </xmlCellPr>
  </singleXmlCell>
  <singleXmlCell id="389" xr6:uid="{00000000-000C-0000-FFFF-FFFF80010000}" r="R6" connectionId="0">
    <xmlCellPr id="1" xr6:uid="{00000000-0010-0000-8001-000001000000}" uniqueName="ns2:Team1Consec16">
      <xmlPr mapId="4" xpath="/ns2:ScoreSheet/ns2:Diff1/ns2:Team1Consec16" xmlDataType="string"/>
    </xmlCellPr>
  </singleXmlCell>
  <singleXmlCell id="390" xr6:uid="{00000000-000C-0000-FFFF-FFFF81010000}" r="S6" connectionId="0">
    <xmlCellPr id="1" xr6:uid="{00000000-0010-0000-8101-000001000000}" uniqueName="ns2:Team1Consec17">
      <xmlPr mapId="4" xpath="/ns2:ScoreSheet/ns2:Diff1/ns2:Team1Consec17" xmlDataType="string"/>
    </xmlCellPr>
  </singleXmlCell>
  <singleXmlCell id="391" xr6:uid="{00000000-000C-0000-FFFF-FFFF82010000}" r="T6" connectionId="0">
    <xmlCellPr id="1" xr6:uid="{00000000-0010-0000-8201-000001000000}" uniqueName="ns2:Team1Consec18">
      <xmlPr mapId="4" xpath="/ns2:ScoreSheet/ns2:Diff1/ns2:Team1Consec18" xmlDataType="string"/>
    </xmlCellPr>
  </singleXmlCell>
  <singleXmlCell id="392" xr6:uid="{00000000-000C-0000-FFFF-FFFF83010000}" r="U6" connectionId="0">
    <xmlCellPr id="1" xr6:uid="{00000000-0010-0000-8301-000001000000}" uniqueName="ns2:Team1Consec19">
      <xmlPr mapId="4" xpath="/ns2:ScoreSheet/ns2:Diff1/ns2:Team1Consec19" xmlDataType="string"/>
    </xmlCellPr>
  </singleXmlCell>
  <singleXmlCell id="393" xr6:uid="{00000000-000C-0000-FFFF-FFFF84010000}" r="V6" connectionId="0">
    <xmlCellPr id="1" xr6:uid="{00000000-0010-0000-8401-000001000000}" uniqueName="ns2:Team1Consec20">
      <xmlPr mapId="4" xpath="/ns2:ScoreSheet/ns2:Diff1/ns2:Team1Consec20" xmlDataType="string"/>
    </xmlCellPr>
  </singleXmlCell>
  <singleXmlCell id="394" xr6:uid="{00000000-000C-0000-FFFF-FFFF85010000}" r="C9" connectionId="0">
    <xmlCellPr id="1" xr6:uid="{00000000-0010-0000-8501-000001000000}" uniqueName="ns2:Team2Diff1">
      <xmlPr mapId="4" xpath="/ns2:ScoreSheet/ns2:Diff1/ns2:Team2Diff1" xmlDataType="decimal"/>
    </xmlCellPr>
  </singleXmlCell>
  <singleXmlCell id="395" xr6:uid="{00000000-000C-0000-FFFF-FFFF86010000}" r="D9" connectionId="0">
    <xmlCellPr id="1" xr6:uid="{00000000-0010-0000-8601-000001000000}" uniqueName="ns2:Team2Diff2">
      <xmlPr mapId="4" xpath="/ns2:ScoreSheet/ns2:Diff1/ns2:Team2Diff2" xmlDataType="decimal"/>
    </xmlCellPr>
  </singleXmlCell>
  <singleXmlCell id="396" xr6:uid="{00000000-000C-0000-FFFF-FFFF87010000}" r="E9" connectionId="0">
    <xmlCellPr id="1" xr6:uid="{00000000-0010-0000-8701-000001000000}" uniqueName="ns2:Team2Diff3">
      <xmlPr mapId="4" xpath="/ns2:ScoreSheet/ns2:Diff1/ns2:Team2Diff3" xmlDataType="decimal"/>
    </xmlCellPr>
  </singleXmlCell>
  <singleXmlCell id="397" xr6:uid="{00000000-000C-0000-FFFF-FFFF88010000}" r="F9" connectionId="0">
    <xmlCellPr id="1" xr6:uid="{00000000-0010-0000-8801-000001000000}" uniqueName="ns2:Team2Diff4">
      <xmlPr mapId="4" xpath="/ns2:ScoreSheet/ns2:Diff1/ns2:Team2Diff4" xmlDataType="decimal"/>
    </xmlCellPr>
  </singleXmlCell>
  <singleXmlCell id="398" xr6:uid="{00000000-000C-0000-FFFF-FFFF89010000}" r="G9" connectionId="0">
    <xmlCellPr id="1" xr6:uid="{00000000-0010-0000-8901-000001000000}" uniqueName="ns2:Team2Diff5">
      <xmlPr mapId="4" xpath="/ns2:ScoreSheet/ns2:Diff1/ns2:Team2Diff5" xmlDataType="decimal"/>
    </xmlCellPr>
  </singleXmlCell>
  <singleXmlCell id="399" xr6:uid="{00000000-000C-0000-FFFF-FFFF8A010000}" r="H9" connectionId="0">
    <xmlCellPr id="1" xr6:uid="{00000000-0010-0000-8A01-000001000000}" uniqueName="ns2:Team2Diff6">
      <xmlPr mapId="4" xpath="/ns2:ScoreSheet/ns2:Diff1/ns2:Team2Diff6" xmlDataType="decimal"/>
    </xmlCellPr>
  </singleXmlCell>
  <singleXmlCell id="400" xr6:uid="{00000000-000C-0000-FFFF-FFFF8B010000}" r="I9" connectionId="0">
    <xmlCellPr id="1" xr6:uid="{00000000-0010-0000-8B01-000001000000}" uniqueName="ns2:Team2Diff7">
      <xmlPr mapId="4" xpath="/ns2:ScoreSheet/ns2:Diff1/ns2:Team2Diff7" xmlDataType="decimal"/>
    </xmlCellPr>
  </singleXmlCell>
  <singleXmlCell id="401" xr6:uid="{00000000-000C-0000-FFFF-FFFF8C010000}" r="J9" connectionId="0">
    <xmlCellPr id="1" xr6:uid="{00000000-0010-0000-8C01-000001000000}" uniqueName="ns2:Team2Diff8">
      <xmlPr mapId="4" xpath="/ns2:ScoreSheet/ns2:Diff1/ns2:Team2Diff8" xmlDataType="decimal"/>
    </xmlCellPr>
  </singleXmlCell>
  <singleXmlCell id="402" xr6:uid="{00000000-000C-0000-FFFF-FFFF8D010000}" r="K9" connectionId="0">
    <xmlCellPr id="1" xr6:uid="{00000000-0010-0000-8D01-000001000000}" uniqueName="ns2:Team2Diff9">
      <xmlPr mapId="4" xpath="/ns2:ScoreSheet/ns2:Diff1/ns2:Team2Diff9" xmlDataType="decimal"/>
    </xmlCellPr>
  </singleXmlCell>
  <singleXmlCell id="403" xr6:uid="{00000000-000C-0000-FFFF-FFFF8E010000}" r="L9" connectionId="0">
    <xmlCellPr id="1" xr6:uid="{00000000-0010-0000-8E01-000001000000}" uniqueName="ns2:Team2Diff10">
      <xmlPr mapId="4" xpath="/ns2:ScoreSheet/ns2:Diff1/ns2:Team2Diff10" xmlDataType="decimal"/>
    </xmlCellPr>
  </singleXmlCell>
  <singleXmlCell id="404" xr6:uid="{00000000-000C-0000-FFFF-FFFF8F010000}" r="M9" connectionId="0">
    <xmlCellPr id="1" xr6:uid="{00000000-0010-0000-8F01-000001000000}" uniqueName="ns2:Team2Diff11">
      <xmlPr mapId="4" xpath="/ns2:ScoreSheet/ns2:Diff1/ns2:Team2Diff11" xmlDataType="decimal"/>
    </xmlCellPr>
  </singleXmlCell>
  <singleXmlCell id="405" xr6:uid="{00000000-000C-0000-FFFF-FFFF90010000}" r="N9" connectionId="0">
    <xmlCellPr id="1" xr6:uid="{00000000-0010-0000-9001-000001000000}" uniqueName="ns2:Team2Diff12">
      <xmlPr mapId="4" xpath="/ns2:ScoreSheet/ns2:Diff1/ns2:Team2Diff12" xmlDataType="decimal"/>
    </xmlCellPr>
  </singleXmlCell>
  <singleXmlCell id="406" xr6:uid="{00000000-000C-0000-FFFF-FFFF91010000}" r="O9" connectionId="0">
    <xmlCellPr id="1" xr6:uid="{00000000-0010-0000-9101-000001000000}" uniqueName="ns2:Team2Diff13">
      <xmlPr mapId="4" xpath="/ns2:ScoreSheet/ns2:Diff1/ns2:Team2Diff13" xmlDataType="decimal"/>
    </xmlCellPr>
  </singleXmlCell>
  <singleXmlCell id="407" xr6:uid="{00000000-000C-0000-FFFF-FFFF92010000}" r="P9" connectionId="0">
    <xmlCellPr id="1" xr6:uid="{00000000-0010-0000-9201-000001000000}" uniqueName="ns2:Team2Diff14">
      <xmlPr mapId="4" xpath="/ns2:ScoreSheet/ns2:Diff1/ns2:Team2Diff14" xmlDataType="decimal"/>
    </xmlCellPr>
  </singleXmlCell>
  <singleXmlCell id="408" xr6:uid="{00000000-000C-0000-FFFF-FFFF93010000}" r="Q9" connectionId="0">
    <xmlCellPr id="1" xr6:uid="{00000000-0010-0000-9301-000001000000}" uniqueName="ns2:Team2Diff15">
      <xmlPr mapId="4" xpath="/ns2:ScoreSheet/ns2:Diff1/ns2:Team2Diff15" xmlDataType="decimal"/>
    </xmlCellPr>
  </singleXmlCell>
  <singleXmlCell id="409" xr6:uid="{00000000-000C-0000-FFFF-FFFF94010000}" r="R9" connectionId="0">
    <xmlCellPr id="1" xr6:uid="{00000000-0010-0000-9401-000001000000}" uniqueName="ns2:Team2Diff16">
      <xmlPr mapId="4" xpath="/ns2:ScoreSheet/ns2:Diff1/ns2:Team2Diff16" xmlDataType="decimal"/>
    </xmlCellPr>
  </singleXmlCell>
  <singleXmlCell id="410" xr6:uid="{00000000-000C-0000-FFFF-FFFF95010000}" r="S9" connectionId="0">
    <xmlCellPr id="1" xr6:uid="{00000000-0010-0000-9501-000001000000}" uniqueName="ns2:Team2Diff17">
      <xmlPr mapId="4" xpath="/ns2:ScoreSheet/ns2:Diff1/ns2:Team2Diff17" xmlDataType="decimal"/>
    </xmlCellPr>
  </singleXmlCell>
  <singleXmlCell id="411" xr6:uid="{00000000-000C-0000-FFFF-FFFF96010000}" r="T9" connectionId="0">
    <xmlCellPr id="1" xr6:uid="{00000000-0010-0000-9601-000001000000}" uniqueName="ns2:Team2Diff18">
      <xmlPr mapId="4" xpath="/ns2:ScoreSheet/ns2:Diff1/ns2:Team2Diff18" xmlDataType="decimal"/>
    </xmlCellPr>
  </singleXmlCell>
  <singleXmlCell id="412" xr6:uid="{00000000-000C-0000-FFFF-FFFF97010000}" r="U9" connectionId="0">
    <xmlCellPr id="1" xr6:uid="{00000000-0010-0000-9701-000001000000}" uniqueName="ns2:Team2Diff19">
      <xmlPr mapId="4" xpath="/ns2:ScoreSheet/ns2:Diff1/ns2:Team2Diff19" xmlDataType="decimal"/>
    </xmlCellPr>
  </singleXmlCell>
  <singleXmlCell id="413" xr6:uid="{00000000-000C-0000-FFFF-FFFF98010000}" r="V9" connectionId="0">
    <xmlCellPr id="1" xr6:uid="{00000000-0010-0000-9801-000001000000}" uniqueName="ns2:Team2Diff20">
      <xmlPr mapId="4" xpath="/ns2:ScoreSheet/ns2:Diff1/ns2:Team2Diff20" xmlDataType="decimal"/>
    </xmlCellPr>
  </singleXmlCell>
  <singleXmlCell id="414" xr6:uid="{00000000-000C-0000-FFFF-FFFF99010000}" r="C8" connectionId="0">
    <xmlCellPr id="1" xr6:uid="{00000000-0010-0000-9901-000001000000}" uniqueName="ns2:Team2Consec1">
      <xmlPr mapId="4" xpath="/ns2:ScoreSheet/ns2:Diff1/ns2:Team2Consec1" xmlDataType="string"/>
    </xmlCellPr>
  </singleXmlCell>
  <singleXmlCell id="415" xr6:uid="{00000000-000C-0000-FFFF-FFFF9A010000}" r="D8" connectionId="0">
    <xmlCellPr id="1" xr6:uid="{00000000-0010-0000-9A01-000001000000}" uniqueName="ns2:Team2Consec2">
      <xmlPr mapId="4" xpath="/ns2:ScoreSheet/ns2:Diff1/ns2:Team2Consec2" xmlDataType="string"/>
    </xmlCellPr>
  </singleXmlCell>
  <singleXmlCell id="416" xr6:uid="{00000000-000C-0000-FFFF-FFFF9B010000}" r="E8" connectionId="0">
    <xmlCellPr id="1" xr6:uid="{00000000-0010-0000-9B01-000001000000}" uniqueName="ns2:Team2Consec3">
      <xmlPr mapId="4" xpath="/ns2:ScoreSheet/ns2:Diff1/ns2:Team2Consec3" xmlDataType="string"/>
    </xmlCellPr>
  </singleXmlCell>
  <singleXmlCell id="417" xr6:uid="{00000000-000C-0000-FFFF-FFFF9C010000}" r="F8" connectionId="0">
    <xmlCellPr id="1" xr6:uid="{00000000-0010-0000-9C01-000001000000}" uniqueName="ns2:Team2Consec4">
      <xmlPr mapId="4" xpath="/ns2:ScoreSheet/ns2:Diff1/ns2:Team2Consec4" xmlDataType="string"/>
    </xmlCellPr>
  </singleXmlCell>
  <singleXmlCell id="418" xr6:uid="{00000000-000C-0000-FFFF-FFFF9D010000}" r="G8" connectionId="0">
    <xmlCellPr id="1" xr6:uid="{00000000-0010-0000-9D01-000001000000}" uniqueName="ns2:Team2Consec5">
      <xmlPr mapId="4" xpath="/ns2:ScoreSheet/ns2:Diff1/ns2:Team2Consec5" xmlDataType="string"/>
    </xmlCellPr>
  </singleXmlCell>
  <singleXmlCell id="419" xr6:uid="{00000000-000C-0000-FFFF-FFFF9E010000}" r="H8" connectionId="0">
    <xmlCellPr id="1" xr6:uid="{00000000-0010-0000-9E01-000001000000}" uniqueName="ns2:Team2Consec6">
      <xmlPr mapId="4" xpath="/ns2:ScoreSheet/ns2:Diff1/ns2:Team2Consec6" xmlDataType="string"/>
    </xmlCellPr>
  </singleXmlCell>
  <singleXmlCell id="420" xr6:uid="{00000000-000C-0000-FFFF-FFFF9F010000}" r="I8" connectionId="0">
    <xmlCellPr id="1" xr6:uid="{00000000-0010-0000-9F01-000001000000}" uniqueName="ns2:Team2Consec7">
      <xmlPr mapId="4" xpath="/ns2:ScoreSheet/ns2:Diff1/ns2:Team2Consec7" xmlDataType="string"/>
    </xmlCellPr>
  </singleXmlCell>
  <singleXmlCell id="421" xr6:uid="{00000000-000C-0000-FFFF-FFFFA0010000}" r="J8" connectionId="0">
    <xmlCellPr id="1" xr6:uid="{00000000-0010-0000-A001-000001000000}" uniqueName="ns2:Team2Consec8">
      <xmlPr mapId="4" xpath="/ns2:ScoreSheet/ns2:Diff1/ns2:Team2Consec8" xmlDataType="string"/>
    </xmlCellPr>
  </singleXmlCell>
  <singleXmlCell id="422" xr6:uid="{00000000-000C-0000-FFFF-FFFFA1010000}" r="K8" connectionId="0">
    <xmlCellPr id="1" xr6:uid="{00000000-0010-0000-A101-000001000000}" uniqueName="ns2:Team2Consec9">
      <xmlPr mapId="4" xpath="/ns2:ScoreSheet/ns2:Diff1/ns2:Team2Consec9" xmlDataType="string"/>
    </xmlCellPr>
  </singleXmlCell>
  <singleXmlCell id="423" xr6:uid="{00000000-000C-0000-FFFF-FFFFA2010000}" r="L8" connectionId="0">
    <xmlCellPr id="1" xr6:uid="{00000000-0010-0000-A201-000001000000}" uniqueName="ns2:Team2Consec10">
      <xmlPr mapId="4" xpath="/ns2:ScoreSheet/ns2:Diff1/ns2:Team2Consec10" xmlDataType="string"/>
    </xmlCellPr>
  </singleXmlCell>
  <singleXmlCell id="424" xr6:uid="{00000000-000C-0000-FFFF-FFFFA3010000}" r="M8" connectionId="0">
    <xmlCellPr id="1" xr6:uid="{00000000-0010-0000-A301-000001000000}" uniqueName="ns2:Team2Consec11">
      <xmlPr mapId="4" xpath="/ns2:ScoreSheet/ns2:Diff1/ns2:Team2Consec11" xmlDataType="string"/>
    </xmlCellPr>
  </singleXmlCell>
  <singleXmlCell id="425" xr6:uid="{00000000-000C-0000-FFFF-FFFFA4010000}" r="N8" connectionId="0">
    <xmlCellPr id="1" xr6:uid="{00000000-0010-0000-A401-000001000000}" uniqueName="ns2:Team2Consec12">
      <xmlPr mapId="4" xpath="/ns2:ScoreSheet/ns2:Diff1/ns2:Team2Consec12" xmlDataType="string"/>
    </xmlCellPr>
  </singleXmlCell>
  <singleXmlCell id="426" xr6:uid="{00000000-000C-0000-FFFF-FFFFA5010000}" r="O8" connectionId="0">
    <xmlCellPr id="1" xr6:uid="{00000000-0010-0000-A501-000001000000}" uniqueName="ns2:Team2Consec13">
      <xmlPr mapId="4" xpath="/ns2:ScoreSheet/ns2:Diff1/ns2:Team2Consec13" xmlDataType="string"/>
    </xmlCellPr>
  </singleXmlCell>
  <singleXmlCell id="427" xr6:uid="{00000000-000C-0000-FFFF-FFFFA6010000}" r="P8" connectionId="0">
    <xmlCellPr id="1" xr6:uid="{00000000-0010-0000-A601-000001000000}" uniqueName="ns2:Team2Consec14">
      <xmlPr mapId="4" xpath="/ns2:ScoreSheet/ns2:Diff1/ns2:Team2Consec14" xmlDataType="string"/>
    </xmlCellPr>
  </singleXmlCell>
  <singleXmlCell id="428" xr6:uid="{00000000-000C-0000-FFFF-FFFFA7010000}" r="Q8" connectionId="0">
    <xmlCellPr id="1" xr6:uid="{00000000-0010-0000-A701-000001000000}" uniqueName="ns2:Team2Consec15">
      <xmlPr mapId="4" xpath="/ns2:ScoreSheet/ns2:Diff1/ns2:Team2Consec15" xmlDataType="string"/>
    </xmlCellPr>
  </singleXmlCell>
  <singleXmlCell id="429" xr6:uid="{00000000-000C-0000-FFFF-FFFFA8010000}" r="R8" connectionId="0">
    <xmlCellPr id="1" xr6:uid="{00000000-0010-0000-A801-000001000000}" uniqueName="ns2:Team2Consec16">
      <xmlPr mapId="4" xpath="/ns2:ScoreSheet/ns2:Diff1/ns2:Team2Consec16" xmlDataType="string"/>
    </xmlCellPr>
  </singleXmlCell>
  <singleXmlCell id="430" xr6:uid="{00000000-000C-0000-FFFF-FFFFA9010000}" r="S8" connectionId="0">
    <xmlCellPr id="1" xr6:uid="{00000000-0010-0000-A901-000001000000}" uniqueName="ns2:Team2Consec17">
      <xmlPr mapId="4" xpath="/ns2:ScoreSheet/ns2:Diff1/ns2:Team2Consec17" xmlDataType="string"/>
    </xmlCellPr>
  </singleXmlCell>
  <singleXmlCell id="431" xr6:uid="{00000000-000C-0000-FFFF-FFFFAA010000}" r="T8" connectionId="0">
    <xmlCellPr id="1" xr6:uid="{00000000-0010-0000-AA01-000001000000}" uniqueName="ns2:Team2Consec18">
      <xmlPr mapId="4" xpath="/ns2:ScoreSheet/ns2:Diff1/ns2:Team2Consec18" xmlDataType="string"/>
    </xmlCellPr>
  </singleXmlCell>
  <singleXmlCell id="432" xr6:uid="{00000000-000C-0000-FFFF-FFFFAB010000}" r="U8" connectionId="0">
    <xmlCellPr id="1" xr6:uid="{00000000-0010-0000-AB01-000001000000}" uniqueName="ns2:Team2Consec19">
      <xmlPr mapId="4" xpath="/ns2:ScoreSheet/ns2:Diff1/ns2:Team2Consec19" xmlDataType="string"/>
    </xmlCellPr>
  </singleXmlCell>
  <singleXmlCell id="433" xr6:uid="{00000000-000C-0000-FFFF-FFFFAC010000}" r="V8" connectionId="0">
    <xmlCellPr id="1" xr6:uid="{00000000-0010-0000-AC01-000001000000}" uniqueName="ns2:Team2Consec20">
      <xmlPr mapId="4" xpath="/ns2:ScoreSheet/ns2:Diff1/ns2:Team2Consec20" xmlDataType="string"/>
    </xmlCellPr>
  </singleXmlCell>
  <singleXmlCell id="434" xr6:uid="{00000000-000C-0000-FFFF-FFFFAD010000}" r="C11" connectionId="0">
    <xmlCellPr id="1" xr6:uid="{00000000-0010-0000-AD01-000001000000}" uniqueName="ns2:Team3Diff1">
      <xmlPr mapId="4" xpath="/ns2:ScoreSheet/ns2:Diff1/ns2:Team3Diff1" xmlDataType="decimal"/>
    </xmlCellPr>
  </singleXmlCell>
  <singleXmlCell id="435" xr6:uid="{00000000-000C-0000-FFFF-FFFFAE010000}" r="D11" connectionId="0">
    <xmlCellPr id="1" xr6:uid="{00000000-0010-0000-AE01-000001000000}" uniqueName="ns2:Team3Diff2">
      <xmlPr mapId="4" xpath="/ns2:ScoreSheet/ns2:Diff1/ns2:Team3Diff2" xmlDataType="decimal"/>
    </xmlCellPr>
  </singleXmlCell>
  <singleXmlCell id="436" xr6:uid="{00000000-000C-0000-FFFF-FFFFAF010000}" r="E11" connectionId="0">
    <xmlCellPr id="1" xr6:uid="{00000000-0010-0000-AF01-000001000000}" uniqueName="ns2:Team3Diff3">
      <xmlPr mapId="4" xpath="/ns2:ScoreSheet/ns2:Diff1/ns2:Team3Diff3" xmlDataType="decimal"/>
    </xmlCellPr>
  </singleXmlCell>
  <singleXmlCell id="437" xr6:uid="{00000000-000C-0000-FFFF-FFFFB0010000}" r="F11" connectionId="0">
    <xmlCellPr id="1" xr6:uid="{00000000-0010-0000-B001-000001000000}" uniqueName="ns2:Team3Diff4">
      <xmlPr mapId="4" xpath="/ns2:ScoreSheet/ns2:Diff1/ns2:Team3Diff4" xmlDataType="decimal"/>
    </xmlCellPr>
  </singleXmlCell>
  <singleXmlCell id="438" xr6:uid="{00000000-000C-0000-FFFF-FFFFB1010000}" r="G11" connectionId="0">
    <xmlCellPr id="1" xr6:uid="{00000000-0010-0000-B101-000001000000}" uniqueName="ns2:Team3Diff5">
      <xmlPr mapId="4" xpath="/ns2:ScoreSheet/ns2:Diff1/ns2:Team3Diff5" xmlDataType="decimal"/>
    </xmlCellPr>
  </singleXmlCell>
  <singleXmlCell id="439" xr6:uid="{00000000-000C-0000-FFFF-FFFFB2010000}" r="H11" connectionId="0">
    <xmlCellPr id="1" xr6:uid="{00000000-0010-0000-B201-000001000000}" uniqueName="ns2:Team3Diff6">
      <xmlPr mapId="4" xpath="/ns2:ScoreSheet/ns2:Diff1/ns2:Team3Diff6" xmlDataType="decimal"/>
    </xmlCellPr>
  </singleXmlCell>
  <singleXmlCell id="440" xr6:uid="{00000000-000C-0000-FFFF-FFFFB3010000}" r="I11" connectionId="0">
    <xmlCellPr id="1" xr6:uid="{00000000-0010-0000-B301-000001000000}" uniqueName="ns2:Team3Diff7">
      <xmlPr mapId="4" xpath="/ns2:ScoreSheet/ns2:Diff1/ns2:Team3Diff7" xmlDataType="decimal"/>
    </xmlCellPr>
  </singleXmlCell>
  <singleXmlCell id="441" xr6:uid="{00000000-000C-0000-FFFF-FFFFB4010000}" r="J11" connectionId="0">
    <xmlCellPr id="1" xr6:uid="{00000000-0010-0000-B401-000001000000}" uniqueName="ns2:Team3Diff8">
      <xmlPr mapId="4" xpath="/ns2:ScoreSheet/ns2:Diff1/ns2:Team3Diff8" xmlDataType="decimal"/>
    </xmlCellPr>
  </singleXmlCell>
  <singleXmlCell id="442" xr6:uid="{00000000-000C-0000-FFFF-FFFFB5010000}" r="K11" connectionId="0">
    <xmlCellPr id="1" xr6:uid="{00000000-0010-0000-B501-000001000000}" uniqueName="ns2:Team3Diff9">
      <xmlPr mapId="4" xpath="/ns2:ScoreSheet/ns2:Diff1/ns2:Team3Diff9" xmlDataType="decimal"/>
    </xmlCellPr>
  </singleXmlCell>
  <singleXmlCell id="443" xr6:uid="{00000000-000C-0000-FFFF-FFFFB6010000}" r="L11" connectionId="0">
    <xmlCellPr id="1" xr6:uid="{00000000-0010-0000-B601-000001000000}" uniqueName="ns2:Team3Diff10">
      <xmlPr mapId="4" xpath="/ns2:ScoreSheet/ns2:Diff1/ns2:Team3Diff10" xmlDataType="decimal"/>
    </xmlCellPr>
  </singleXmlCell>
  <singleXmlCell id="444" xr6:uid="{00000000-000C-0000-FFFF-FFFFB7010000}" r="M11" connectionId="0">
    <xmlCellPr id="1" xr6:uid="{00000000-0010-0000-B701-000001000000}" uniqueName="ns2:Team3Diff11">
      <xmlPr mapId="4" xpath="/ns2:ScoreSheet/ns2:Diff1/ns2:Team3Diff11" xmlDataType="decimal"/>
    </xmlCellPr>
  </singleXmlCell>
  <singleXmlCell id="445" xr6:uid="{00000000-000C-0000-FFFF-FFFFB8010000}" r="N11" connectionId="0">
    <xmlCellPr id="1" xr6:uid="{00000000-0010-0000-B801-000001000000}" uniqueName="ns2:Team3Diff12">
      <xmlPr mapId="4" xpath="/ns2:ScoreSheet/ns2:Diff1/ns2:Team3Diff12" xmlDataType="decimal"/>
    </xmlCellPr>
  </singleXmlCell>
  <singleXmlCell id="446" xr6:uid="{00000000-000C-0000-FFFF-FFFFB9010000}" r="O11" connectionId="0">
    <xmlCellPr id="1" xr6:uid="{00000000-0010-0000-B901-000001000000}" uniqueName="ns2:Team3Diff13">
      <xmlPr mapId="4" xpath="/ns2:ScoreSheet/ns2:Diff1/ns2:Team3Diff13" xmlDataType="decimal"/>
    </xmlCellPr>
  </singleXmlCell>
  <singleXmlCell id="447" xr6:uid="{00000000-000C-0000-FFFF-FFFFBA010000}" r="P11" connectionId="0">
    <xmlCellPr id="1" xr6:uid="{00000000-0010-0000-BA01-000001000000}" uniqueName="ns2:Team3Diff14">
      <xmlPr mapId="4" xpath="/ns2:ScoreSheet/ns2:Diff1/ns2:Team3Diff14" xmlDataType="decimal"/>
    </xmlCellPr>
  </singleXmlCell>
  <singleXmlCell id="448" xr6:uid="{00000000-000C-0000-FFFF-FFFFBB010000}" r="Q11" connectionId="0">
    <xmlCellPr id="1" xr6:uid="{00000000-0010-0000-BB01-000001000000}" uniqueName="ns2:Team3Diff15">
      <xmlPr mapId="4" xpath="/ns2:ScoreSheet/ns2:Diff1/ns2:Team3Diff15" xmlDataType="decimal"/>
    </xmlCellPr>
  </singleXmlCell>
  <singleXmlCell id="449" xr6:uid="{00000000-000C-0000-FFFF-FFFFBC010000}" r="R11" connectionId="0">
    <xmlCellPr id="1" xr6:uid="{00000000-0010-0000-BC01-000001000000}" uniqueName="ns2:Team3Diff16">
      <xmlPr mapId="4" xpath="/ns2:ScoreSheet/ns2:Diff1/ns2:Team3Diff16" xmlDataType="decimal"/>
    </xmlCellPr>
  </singleXmlCell>
  <singleXmlCell id="450" xr6:uid="{00000000-000C-0000-FFFF-FFFFBD010000}" r="S11" connectionId="0">
    <xmlCellPr id="1" xr6:uid="{00000000-0010-0000-BD01-000001000000}" uniqueName="ns2:Team3Diff17">
      <xmlPr mapId="4" xpath="/ns2:ScoreSheet/ns2:Diff1/ns2:Team3Diff17" xmlDataType="decimal"/>
    </xmlCellPr>
  </singleXmlCell>
  <singleXmlCell id="451" xr6:uid="{00000000-000C-0000-FFFF-FFFFBE010000}" r="T11" connectionId="0">
    <xmlCellPr id="1" xr6:uid="{00000000-0010-0000-BE01-000001000000}" uniqueName="ns2:Team3Diff18">
      <xmlPr mapId="4" xpath="/ns2:ScoreSheet/ns2:Diff1/ns2:Team3Diff18" xmlDataType="decimal"/>
    </xmlCellPr>
  </singleXmlCell>
  <singleXmlCell id="452" xr6:uid="{00000000-000C-0000-FFFF-FFFFBF010000}" r="U11" connectionId="0">
    <xmlCellPr id="1" xr6:uid="{00000000-0010-0000-BF01-000001000000}" uniqueName="ns2:Team3Diff19">
      <xmlPr mapId="4" xpath="/ns2:ScoreSheet/ns2:Diff1/ns2:Team3Diff19" xmlDataType="decimal"/>
    </xmlCellPr>
  </singleXmlCell>
  <singleXmlCell id="453" xr6:uid="{00000000-000C-0000-FFFF-FFFFC0010000}" r="V11" connectionId="0">
    <xmlCellPr id="1" xr6:uid="{00000000-0010-0000-C001-000001000000}" uniqueName="ns2:Team3Diff20">
      <xmlPr mapId="4" xpath="/ns2:ScoreSheet/ns2:Diff1/ns2:Team3Diff20" xmlDataType="decimal"/>
    </xmlCellPr>
  </singleXmlCell>
  <singleXmlCell id="454" xr6:uid="{00000000-000C-0000-FFFF-FFFFC1010000}" r="C10" connectionId="0">
    <xmlCellPr id="1" xr6:uid="{00000000-0010-0000-C101-000001000000}" uniqueName="ns2:Team3Consec1">
      <xmlPr mapId="4" xpath="/ns2:ScoreSheet/ns2:Diff1/ns2:Team3Consec1" xmlDataType="string"/>
    </xmlCellPr>
  </singleXmlCell>
  <singleXmlCell id="455" xr6:uid="{00000000-000C-0000-FFFF-FFFFC2010000}" r="D10" connectionId="0">
    <xmlCellPr id="1" xr6:uid="{00000000-0010-0000-C201-000001000000}" uniqueName="ns2:Team3Consec2">
      <xmlPr mapId="4" xpath="/ns2:ScoreSheet/ns2:Diff1/ns2:Team3Consec2" xmlDataType="string"/>
    </xmlCellPr>
  </singleXmlCell>
  <singleXmlCell id="456" xr6:uid="{00000000-000C-0000-FFFF-FFFFC3010000}" r="E10" connectionId="0">
    <xmlCellPr id="1" xr6:uid="{00000000-0010-0000-C301-000001000000}" uniqueName="ns2:Team3Consec3">
      <xmlPr mapId="4" xpath="/ns2:ScoreSheet/ns2:Diff1/ns2:Team3Consec3" xmlDataType="string"/>
    </xmlCellPr>
  </singleXmlCell>
  <singleXmlCell id="457" xr6:uid="{00000000-000C-0000-FFFF-FFFFC4010000}" r="F10" connectionId="0">
    <xmlCellPr id="1" xr6:uid="{00000000-0010-0000-C401-000001000000}" uniqueName="ns2:Team3Consec4">
      <xmlPr mapId="4" xpath="/ns2:ScoreSheet/ns2:Diff1/ns2:Team3Consec4" xmlDataType="string"/>
    </xmlCellPr>
  </singleXmlCell>
  <singleXmlCell id="458" xr6:uid="{00000000-000C-0000-FFFF-FFFFC5010000}" r="G10" connectionId="0">
    <xmlCellPr id="1" xr6:uid="{00000000-0010-0000-C501-000001000000}" uniqueName="ns2:Team3Consec5">
      <xmlPr mapId="4" xpath="/ns2:ScoreSheet/ns2:Diff1/ns2:Team3Consec5" xmlDataType="string"/>
    </xmlCellPr>
  </singleXmlCell>
  <singleXmlCell id="459" xr6:uid="{00000000-000C-0000-FFFF-FFFFC6010000}" r="H10" connectionId="0">
    <xmlCellPr id="1" xr6:uid="{00000000-0010-0000-C601-000001000000}" uniqueName="ns2:Team3Consec6">
      <xmlPr mapId="4" xpath="/ns2:ScoreSheet/ns2:Diff1/ns2:Team3Consec6" xmlDataType="string"/>
    </xmlCellPr>
  </singleXmlCell>
  <singleXmlCell id="460" xr6:uid="{00000000-000C-0000-FFFF-FFFFC7010000}" r="I10" connectionId="0">
    <xmlCellPr id="1" xr6:uid="{00000000-0010-0000-C701-000001000000}" uniqueName="ns2:Team3Consec7">
      <xmlPr mapId="4" xpath="/ns2:ScoreSheet/ns2:Diff1/ns2:Team3Consec7" xmlDataType="string"/>
    </xmlCellPr>
  </singleXmlCell>
  <singleXmlCell id="461" xr6:uid="{00000000-000C-0000-FFFF-FFFFC8010000}" r="J10" connectionId="0">
    <xmlCellPr id="1" xr6:uid="{00000000-0010-0000-C801-000001000000}" uniqueName="ns2:Team3Consec8">
      <xmlPr mapId="4" xpath="/ns2:ScoreSheet/ns2:Diff1/ns2:Team3Consec8" xmlDataType="string"/>
    </xmlCellPr>
  </singleXmlCell>
  <singleXmlCell id="462" xr6:uid="{00000000-000C-0000-FFFF-FFFFC9010000}" r="K10" connectionId="0">
    <xmlCellPr id="1" xr6:uid="{00000000-0010-0000-C901-000001000000}" uniqueName="ns2:Team3Consec9">
      <xmlPr mapId="4" xpath="/ns2:ScoreSheet/ns2:Diff1/ns2:Team3Consec9" xmlDataType="string"/>
    </xmlCellPr>
  </singleXmlCell>
  <singleXmlCell id="463" xr6:uid="{00000000-000C-0000-FFFF-FFFFCA010000}" r="L10" connectionId="0">
    <xmlCellPr id="1" xr6:uid="{00000000-0010-0000-CA01-000001000000}" uniqueName="ns2:Team3Consec10">
      <xmlPr mapId="4" xpath="/ns2:ScoreSheet/ns2:Diff1/ns2:Team3Consec10" xmlDataType="string"/>
    </xmlCellPr>
  </singleXmlCell>
  <singleXmlCell id="464" xr6:uid="{00000000-000C-0000-FFFF-FFFFCB010000}" r="M10" connectionId="0">
    <xmlCellPr id="1" xr6:uid="{00000000-0010-0000-CB01-000001000000}" uniqueName="ns2:Team3Consec11">
      <xmlPr mapId="4" xpath="/ns2:ScoreSheet/ns2:Diff1/ns2:Team3Consec11" xmlDataType="string"/>
    </xmlCellPr>
  </singleXmlCell>
  <singleXmlCell id="465" xr6:uid="{00000000-000C-0000-FFFF-FFFFCC010000}" r="N10" connectionId="0">
    <xmlCellPr id="1" xr6:uid="{00000000-0010-0000-CC01-000001000000}" uniqueName="ns2:Team3Consec12">
      <xmlPr mapId="4" xpath="/ns2:ScoreSheet/ns2:Diff1/ns2:Team3Consec12" xmlDataType="string"/>
    </xmlCellPr>
  </singleXmlCell>
  <singleXmlCell id="466" xr6:uid="{00000000-000C-0000-FFFF-FFFFCD010000}" r="O10" connectionId="0">
    <xmlCellPr id="1" xr6:uid="{00000000-0010-0000-CD01-000001000000}" uniqueName="ns2:Team3Consec13">
      <xmlPr mapId="4" xpath="/ns2:ScoreSheet/ns2:Diff1/ns2:Team3Consec13" xmlDataType="string"/>
    </xmlCellPr>
  </singleXmlCell>
  <singleXmlCell id="467" xr6:uid="{00000000-000C-0000-FFFF-FFFFCE010000}" r="P10" connectionId="0">
    <xmlCellPr id="1" xr6:uid="{00000000-0010-0000-CE01-000001000000}" uniqueName="ns2:Team3Consec14">
      <xmlPr mapId="4" xpath="/ns2:ScoreSheet/ns2:Diff1/ns2:Team3Consec14" xmlDataType="string"/>
    </xmlCellPr>
  </singleXmlCell>
  <singleXmlCell id="468" xr6:uid="{00000000-000C-0000-FFFF-FFFFCF010000}" r="Q10" connectionId="0">
    <xmlCellPr id="1" xr6:uid="{00000000-0010-0000-CF01-000001000000}" uniqueName="ns2:Team3Consec15">
      <xmlPr mapId="4" xpath="/ns2:ScoreSheet/ns2:Diff1/ns2:Team3Consec15" xmlDataType="string"/>
    </xmlCellPr>
  </singleXmlCell>
  <singleXmlCell id="469" xr6:uid="{00000000-000C-0000-FFFF-FFFFD0010000}" r="R10" connectionId="0">
    <xmlCellPr id="1" xr6:uid="{00000000-0010-0000-D001-000001000000}" uniqueName="ns2:Team3Consec16">
      <xmlPr mapId="4" xpath="/ns2:ScoreSheet/ns2:Diff1/ns2:Team3Consec16" xmlDataType="string"/>
    </xmlCellPr>
  </singleXmlCell>
  <singleXmlCell id="470" xr6:uid="{00000000-000C-0000-FFFF-FFFFD1010000}" r="S10" connectionId="0">
    <xmlCellPr id="1" xr6:uid="{00000000-0010-0000-D101-000001000000}" uniqueName="ns2:Team3Consec17">
      <xmlPr mapId="4" xpath="/ns2:ScoreSheet/ns2:Diff1/ns2:Team3Consec17" xmlDataType="string"/>
    </xmlCellPr>
  </singleXmlCell>
  <singleXmlCell id="471" xr6:uid="{00000000-000C-0000-FFFF-FFFFD2010000}" r="T10" connectionId="0">
    <xmlCellPr id="1" xr6:uid="{00000000-0010-0000-D201-000001000000}" uniqueName="ns2:Team3Consec18">
      <xmlPr mapId="4" xpath="/ns2:ScoreSheet/ns2:Diff1/ns2:Team3Consec18" xmlDataType="string"/>
    </xmlCellPr>
  </singleXmlCell>
  <singleXmlCell id="472" xr6:uid="{00000000-000C-0000-FFFF-FFFFD3010000}" r="U10" connectionId="0">
    <xmlCellPr id="1" xr6:uid="{00000000-0010-0000-D301-000001000000}" uniqueName="ns2:Team3Consec19">
      <xmlPr mapId="4" xpath="/ns2:ScoreSheet/ns2:Diff1/ns2:Team3Consec19" xmlDataType="string"/>
    </xmlCellPr>
  </singleXmlCell>
  <singleXmlCell id="473" xr6:uid="{00000000-000C-0000-FFFF-FFFFD4010000}" r="V10" connectionId="0">
    <xmlCellPr id="1" xr6:uid="{00000000-0010-0000-D401-000001000000}" uniqueName="ns2:Team3Consec20">
      <xmlPr mapId="4" xpath="/ns2:ScoreSheet/ns2:Diff1/ns2:Team3Consec20" xmlDataType="string"/>
    </xmlCellPr>
  </singleXmlCell>
  <singleXmlCell id="494" xr6:uid="{00000000-000C-0000-FFFF-FFFFD5010000}" r="C13" connectionId="0">
    <xmlCellPr id="1" xr6:uid="{00000000-0010-0000-D501-000001000000}" uniqueName="ns2:Team4Diff1">
      <xmlPr mapId="4" xpath="/ns2:ScoreSheet/ns2:Diff1/ns2:Team4Diff1" xmlDataType="decimal"/>
    </xmlCellPr>
  </singleXmlCell>
  <singleXmlCell id="495" xr6:uid="{00000000-000C-0000-FFFF-FFFFD6010000}" r="D13" connectionId="0">
    <xmlCellPr id="1" xr6:uid="{00000000-0010-0000-D601-000001000000}" uniqueName="ns2:Team4Diff2">
      <xmlPr mapId="4" xpath="/ns2:ScoreSheet/ns2:Diff1/ns2:Team4Diff2" xmlDataType="decimal"/>
    </xmlCellPr>
  </singleXmlCell>
  <singleXmlCell id="496" xr6:uid="{00000000-000C-0000-FFFF-FFFFD7010000}" r="E13" connectionId="0">
    <xmlCellPr id="1" xr6:uid="{00000000-0010-0000-D701-000001000000}" uniqueName="ns2:Team4Diff3">
      <xmlPr mapId="4" xpath="/ns2:ScoreSheet/ns2:Diff1/ns2:Team4Diff3" xmlDataType="decimal"/>
    </xmlCellPr>
  </singleXmlCell>
  <singleXmlCell id="497" xr6:uid="{00000000-000C-0000-FFFF-FFFFD8010000}" r="F13" connectionId="0">
    <xmlCellPr id="1" xr6:uid="{00000000-0010-0000-D801-000001000000}" uniqueName="ns2:Team4Diff4">
      <xmlPr mapId="4" xpath="/ns2:ScoreSheet/ns2:Diff1/ns2:Team4Diff4" xmlDataType="decimal"/>
    </xmlCellPr>
  </singleXmlCell>
  <singleXmlCell id="498" xr6:uid="{00000000-000C-0000-FFFF-FFFFD9010000}" r="G13" connectionId="0">
    <xmlCellPr id="1" xr6:uid="{00000000-0010-0000-D901-000001000000}" uniqueName="ns2:Team4Diff5">
      <xmlPr mapId="4" xpath="/ns2:ScoreSheet/ns2:Diff1/ns2:Team4Diff5" xmlDataType="decimal"/>
    </xmlCellPr>
  </singleXmlCell>
  <singleXmlCell id="499" xr6:uid="{00000000-000C-0000-FFFF-FFFFDA010000}" r="H13" connectionId="0">
    <xmlCellPr id="1" xr6:uid="{00000000-0010-0000-DA01-000001000000}" uniqueName="ns2:Team4Diff6">
      <xmlPr mapId="4" xpath="/ns2:ScoreSheet/ns2:Diff1/ns2:Team4Diff6" xmlDataType="decimal"/>
    </xmlCellPr>
  </singleXmlCell>
  <singleXmlCell id="500" xr6:uid="{00000000-000C-0000-FFFF-FFFFDB010000}" r="I13" connectionId="0">
    <xmlCellPr id="1" xr6:uid="{00000000-0010-0000-DB01-000001000000}" uniqueName="ns2:Team4Diff7">
      <xmlPr mapId="4" xpath="/ns2:ScoreSheet/ns2:Diff1/ns2:Team4Diff7" xmlDataType="decimal"/>
    </xmlCellPr>
  </singleXmlCell>
  <singleXmlCell id="501" xr6:uid="{00000000-000C-0000-FFFF-FFFFDC010000}" r="J13" connectionId="0">
    <xmlCellPr id="1" xr6:uid="{00000000-0010-0000-DC01-000001000000}" uniqueName="ns2:Team4Diff8">
      <xmlPr mapId="4" xpath="/ns2:ScoreSheet/ns2:Diff1/ns2:Team4Diff8" xmlDataType="decimal"/>
    </xmlCellPr>
  </singleXmlCell>
  <singleXmlCell id="502" xr6:uid="{00000000-000C-0000-FFFF-FFFFDD010000}" r="K13" connectionId="0">
    <xmlCellPr id="1" xr6:uid="{00000000-0010-0000-DD01-000001000000}" uniqueName="ns2:Team4Diff9">
      <xmlPr mapId="4" xpath="/ns2:ScoreSheet/ns2:Diff1/ns2:Team4Diff9" xmlDataType="decimal"/>
    </xmlCellPr>
  </singleXmlCell>
  <singleXmlCell id="503" xr6:uid="{00000000-000C-0000-FFFF-FFFFDE010000}" r="L13" connectionId="0">
    <xmlCellPr id="1" xr6:uid="{00000000-0010-0000-DE01-000001000000}" uniqueName="ns2:Team4Diff10">
      <xmlPr mapId="4" xpath="/ns2:ScoreSheet/ns2:Diff1/ns2:Team4Diff10" xmlDataType="decimal"/>
    </xmlCellPr>
  </singleXmlCell>
  <singleXmlCell id="504" xr6:uid="{00000000-000C-0000-FFFF-FFFFDF010000}" r="M13" connectionId="0">
    <xmlCellPr id="1" xr6:uid="{00000000-0010-0000-DF01-000001000000}" uniqueName="ns2:Team4Diff11">
      <xmlPr mapId="4" xpath="/ns2:ScoreSheet/ns2:Diff1/ns2:Team4Diff11" xmlDataType="decimal"/>
    </xmlCellPr>
  </singleXmlCell>
  <singleXmlCell id="505" xr6:uid="{00000000-000C-0000-FFFF-FFFFE0010000}" r="N13" connectionId="0">
    <xmlCellPr id="1" xr6:uid="{00000000-0010-0000-E001-000001000000}" uniqueName="ns2:Team4Diff12">
      <xmlPr mapId="4" xpath="/ns2:ScoreSheet/ns2:Diff1/ns2:Team4Diff12" xmlDataType="decimal"/>
    </xmlCellPr>
  </singleXmlCell>
  <singleXmlCell id="506" xr6:uid="{00000000-000C-0000-FFFF-FFFFE1010000}" r="O13" connectionId="0">
    <xmlCellPr id="1" xr6:uid="{00000000-0010-0000-E101-000001000000}" uniqueName="ns2:Team4Diff13">
      <xmlPr mapId="4" xpath="/ns2:ScoreSheet/ns2:Diff1/ns2:Team4Diff13" xmlDataType="decimal"/>
    </xmlCellPr>
  </singleXmlCell>
  <singleXmlCell id="507" xr6:uid="{00000000-000C-0000-FFFF-FFFFE2010000}" r="P13" connectionId="0">
    <xmlCellPr id="1" xr6:uid="{00000000-0010-0000-E201-000001000000}" uniqueName="ns2:Team4Diff14">
      <xmlPr mapId="4" xpath="/ns2:ScoreSheet/ns2:Diff1/ns2:Team4Diff14" xmlDataType="decimal"/>
    </xmlCellPr>
  </singleXmlCell>
  <singleXmlCell id="508" xr6:uid="{00000000-000C-0000-FFFF-FFFFE3010000}" r="Q13" connectionId="0">
    <xmlCellPr id="1" xr6:uid="{00000000-0010-0000-E301-000001000000}" uniqueName="ns2:Team4Diff15">
      <xmlPr mapId="4" xpath="/ns2:ScoreSheet/ns2:Diff1/ns2:Team4Diff15" xmlDataType="decimal"/>
    </xmlCellPr>
  </singleXmlCell>
  <singleXmlCell id="509" xr6:uid="{00000000-000C-0000-FFFF-FFFFE4010000}" r="R13" connectionId="0">
    <xmlCellPr id="1" xr6:uid="{00000000-0010-0000-E401-000001000000}" uniqueName="ns2:Team4Diff16">
      <xmlPr mapId="4" xpath="/ns2:ScoreSheet/ns2:Diff1/ns2:Team4Diff16" xmlDataType="decimal"/>
    </xmlCellPr>
  </singleXmlCell>
  <singleXmlCell id="510" xr6:uid="{00000000-000C-0000-FFFF-FFFFE5010000}" r="S13" connectionId="0">
    <xmlCellPr id="1" xr6:uid="{00000000-0010-0000-E501-000001000000}" uniqueName="ns2:Team4Diff17">
      <xmlPr mapId="4" xpath="/ns2:ScoreSheet/ns2:Diff1/ns2:Team4Diff17" xmlDataType="decimal"/>
    </xmlCellPr>
  </singleXmlCell>
  <singleXmlCell id="511" xr6:uid="{00000000-000C-0000-FFFF-FFFFE6010000}" r="T13" connectionId="0">
    <xmlCellPr id="1" xr6:uid="{00000000-0010-0000-E601-000001000000}" uniqueName="ns2:Team4Diff18">
      <xmlPr mapId="4" xpath="/ns2:ScoreSheet/ns2:Diff1/ns2:Team4Diff18" xmlDataType="decimal"/>
    </xmlCellPr>
  </singleXmlCell>
  <singleXmlCell id="512" xr6:uid="{00000000-000C-0000-FFFF-FFFFE7010000}" r="U13" connectionId="0">
    <xmlCellPr id="1" xr6:uid="{00000000-0010-0000-E701-000001000000}" uniqueName="ns2:Team4Diff19">
      <xmlPr mapId="4" xpath="/ns2:ScoreSheet/ns2:Diff1/ns2:Team4Diff19" xmlDataType="decimal"/>
    </xmlCellPr>
  </singleXmlCell>
  <singleXmlCell id="513" xr6:uid="{00000000-000C-0000-FFFF-FFFFE8010000}" r="V13" connectionId="0">
    <xmlCellPr id="1" xr6:uid="{00000000-0010-0000-E801-000001000000}" uniqueName="ns2:Team4Diff20">
      <xmlPr mapId="4" xpath="/ns2:ScoreSheet/ns2:Diff1/ns2:Team4Diff20" xmlDataType="decimal"/>
    </xmlCellPr>
  </singleXmlCell>
  <singleXmlCell id="514" xr6:uid="{00000000-000C-0000-FFFF-FFFFE9010000}" r="C12" connectionId="0">
    <xmlCellPr id="1" xr6:uid="{00000000-0010-0000-E901-000001000000}" uniqueName="ns2:Team4Consec1">
      <xmlPr mapId="4" xpath="/ns2:ScoreSheet/ns2:Diff1/ns2:Team4Consec1" xmlDataType="string"/>
    </xmlCellPr>
  </singleXmlCell>
  <singleXmlCell id="515" xr6:uid="{00000000-000C-0000-FFFF-FFFFEA010000}" r="D12" connectionId="0">
    <xmlCellPr id="1" xr6:uid="{00000000-0010-0000-EA01-000001000000}" uniqueName="ns2:Team4Consec2">
      <xmlPr mapId="4" xpath="/ns2:ScoreSheet/ns2:Diff1/ns2:Team4Consec2" xmlDataType="string"/>
    </xmlCellPr>
  </singleXmlCell>
  <singleXmlCell id="516" xr6:uid="{00000000-000C-0000-FFFF-FFFFEB010000}" r="E12" connectionId="0">
    <xmlCellPr id="1" xr6:uid="{00000000-0010-0000-EB01-000001000000}" uniqueName="ns2:Team4Consec3">
      <xmlPr mapId="4" xpath="/ns2:ScoreSheet/ns2:Diff1/ns2:Team4Consec3" xmlDataType="string"/>
    </xmlCellPr>
  </singleXmlCell>
  <singleXmlCell id="517" xr6:uid="{00000000-000C-0000-FFFF-FFFFEC010000}" r="F12" connectionId="0">
    <xmlCellPr id="1" xr6:uid="{00000000-0010-0000-EC01-000001000000}" uniqueName="ns2:Team4Consec4">
      <xmlPr mapId="4" xpath="/ns2:ScoreSheet/ns2:Diff1/ns2:Team4Consec4" xmlDataType="string"/>
    </xmlCellPr>
  </singleXmlCell>
  <singleXmlCell id="518" xr6:uid="{00000000-000C-0000-FFFF-FFFFED010000}" r="G12" connectionId="0">
    <xmlCellPr id="1" xr6:uid="{00000000-0010-0000-ED01-000001000000}" uniqueName="ns2:Team4Consec5">
      <xmlPr mapId="4" xpath="/ns2:ScoreSheet/ns2:Diff1/ns2:Team4Consec5" xmlDataType="string"/>
    </xmlCellPr>
  </singleXmlCell>
  <singleXmlCell id="519" xr6:uid="{00000000-000C-0000-FFFF-FFFFEE010000}" r="H12" connectionId="0">
    <xmlCellPr id="1" xr6:uid="{00000000-0010-0000-EE01-000001000000}" uniqueName="ns2:Team4Consec6">
      <xmlPr mapId="4" xpath="/ns2:ScoreSheet/ns2:Diff1/ns2:Team4Consec6" xmlDataType="string"/>
    </xmlCellPr>
  </singleXmlCell>
  <singleXmlCell id="520" xr6:uid="{00000000-000C-0000-FFFF-FFFFEF010000}" r="I12" connectionId="0">
    <xmlCellPr id="1" xr6:uid="{00000000-0010-0000-EF01-000001000000}" uniqueName="ns2:Team4Consec7">
      <xmlPr mapId="4" xpath="/ns2:ScoreSheet/ns2:Diff1/ns2:Team4Consec7" xmlDataType="string"/>
    </xmlCellPr>
  </singleXmlCell>
  <singleXmlCell id="521" xr6:uid="{00000000-000C-0000-FFFF-FFFFF0010000}" r="J12" connectionId="0">
    <xmlCellPr id="1" xr6:uid="{00000000-0010-0000-F001-000001000000}" uniqueName="ns2:Team4Consec8">
      <xmlPr mapId="4" xpath="/ns2:ScoreSheet/ns2:Diff1/ns2:Team4Consec8" xmlDataType="string"/>
    </xmlCellPr>
  </singleXmlCell>
  <singleXmlCell id="522" xr6:uid="{00000000-000C-0000-FFFF-FFFFF1010000}" r="K12" connectionId="0">
    <xmlCellPr id="1" xr6:uid="{00000000-0010-0000-F101-000001000000}" uniqueName="ns2:Team4Consec9">
      <xmlPr mapId="4" xpath="/ns2:ScoreSheet/ns2:Diff1/ns2:Team4Consec9" xmlDataType="string"/>
    </xmlCellPr>
  </singleXmlCell>
  <singleXmlCell id="523" xr6:uid="{00000000-000C-0000-FFFF-FFFFF2010000}" r="L12" connectionId="0">
    <xmlCellPr id="1" xr6:uid="{00000000-0010-0000-F201-000001000000}" uniqueName="ns2:Team4Consec10">
      <xmlPr mapId="4" xpath="/ns2:ScoreSheet/ns2:Diff1/ns2:Team4Consec10" xmlDataType="string"/>
    </xmlCellPr>
  </singleXmlCell>
  <singleXmlCell id="524" xr6:uid="{00000000-000C-0000-FFFF-FFFFF3010000}" r="M12" connectionId="0">
    <xmlCellPr id="1" xr6:uid="{00000000-0010-0000-F301-000001000000}" uniqueName="ns2:Team4Consec11">
      <xmlPr mapId="4" xpath="/ns2:ScoreSheet/ns2:Diff1/ns2:Team4Consec11" xmlDataType="string"/>
    </xmlCellPr>
  </singleXmlCell>
  <singleXmlCell id="525" xr6:uid="{00000000-000C-0000-FFFF-FFFFF4010000}" r="N12" connectionId="0">
    <xmlCellPr id="1" xr6:uid="{00000000-0010-0000-F401-000001000000}" uniqueName="ns2:Team4Consec12">
      <xmlPr mapId="4" xpath="/ns2:ScoreSheet/ns2:Diff1/ns2:Team4Consec12" xmlDataType="string"/>
    </xmlCellPr>
  </singleXmlCell>
  <singleXmlCell id="526" xr6:uid="{00000000-000C-0000-FFFF-FFFFF5010000}" r="O12" connectionId="0">
    <xmlCellPr id="1" xr6:uid="{00000000-0010-0000-F501-000001000000}" uniqueName="ns2:Team4Consec13">
      <xmlPr mapId="4" xpath="/ns2:ScoreSheet/ns2:Diff1/ns2:Team4Consec13" xmlDataType="string"/>
    </xmlCellPr>
  </singleXmlCell>
  <singleXmlCell id="527" xr6:uid="{00000000-000C-0000-FFFF-FFFFF6010000}" r="P12" connectionId="0">
    <xmlCellPr id="1" xr6:uid="{00000000-0010-0000-F601-000001000000}" uniqueName="ns2:Team4Consec14">
      <xmlPr mapId="4" xpath="/ns2:ScoreSheet/ns2:Diff1/ns2:Team4Consec14" xmlDataType="string"/>
    </xmlCellPr>
  </singleXmlCell>
  <singleXmlCell id="528" xr6:uid="{00000000-000C-0000-FFFF-FFFFF7010000}" r="Q12" connectionId="0">
    <xmlCellPr id="1" xr6:uid="{00000000-0010-0000-F701-000001000000}" uniqueName="ns2:Team4Consec15">
      <xmlPr mapId="4" xpath="/ns2:ScoreSheet/ns2:Diff1/ns2:Team4Consec15" xmlDataType="string"/>
    </xmlCellPr>
  </singleXmlCell>
  <singleXmlCell id="529" xr6:uid="{00000000-000C-0000-FFFF-FFFFF8010000}" r="R12" connectionId="0">
    <xmlCellPr id="1" xr6:uid="{00000000-0010-0000-F801-000001000000}" uniqueName="ns2:Team4Consec16">
      <xmlPr mapId="4" xpath="/ns2:ScoreSheet/ns2:Diff1/ns2:Team4Consec16" xmlDataType="string"/>
    </xmlCellPr>
  </singleXmlCell>
  <singleXmlCell id="530" xr6:uid="{00000000-000C-0000-FFFF-FFFFF9010000}" r="S12" connectionId="0">
    <xmlCellPr id="1" xr6:uid="{00000000-0010-0000-F901-000001000000}" uniqueName="ns2:Team4Consec17">
      <xmlPr mapId="4" xpath="/ns2:ScoreSheet/ns2:Diff1/ns2:Team4Consec17" xmlDataType="string"/>
    </xmlCellPr>
  </singleXmlCell>
  <singleXmlCell id="531" xr6:uid="{00000000-000C-0000-FFFF-FFFFFA010000}" r="T12" connectionId="0">
    <xmlCellPr id="1" xr6:uid="{00000000-0010-0000-FA01-000001000000}" uniqueName="ns2:Team4Consec18">
      <xmlPr mapId="4" xpath="/ns2:ScoreSheet/ns2:Diff1/ns2:Team4Consec18" xmlDataType="string"/>
    </xmlCellPr>
  </singleXmlCell>
  <singleXmlCell id="532" xr6:uid="{00000000-000C-0000-FFFF-FFFFFB010000}" r="U12" connectionId="0">
    <xmlCellPr id="1" xr6:uid="{00000000-0010-0000-FB01-000001000000}" uniqueName="ns2:Team4Consec19">
      <xmlPr mapId="4" xpath="/ns2:ScoreSheet/ns2:Diff1/ns2:Team4Consec19" xmlDataType="string"/>
    </xmlCellPr>
  </singleXmlCell>
  <singleXmlCell id="533" xr6:uid="{00000000-000C-0000-FFFF-FFFFFC010000}" r="V12" connectionId="0">
    <xmlCellPr id="1" xr6:uid="{00000000-0010-0000-FC01-000001000000}" uniqueName="ns2:Team4Consec20">
      <xmlPr mapId="4" xpath="/ns2:ScoreSheet/ns2:Diff1/ns2:Team4Consec20" xmlDataType="string"/>
    </xmlCellPr>
  </singleXmlCell>
  <singleXmlCell id="534" xr6:uid="{00000000-000C-0000-FFFF-FFFFFD010000}" r="C15" connectionId="0">
    <xmlCellPr id="1" xr6:uid="{00000000-0010-0000-FD01-000001000000}" uniqueName="ns2:Team5Diff1">
      <xmlPr mapId="4" xpath="/ns2:ScoreSheet/ns2:Diff1/ns2:Team5Diff1" xmlDataType="decimal"/>
    </xmlCellPr>
  </singleXmlCell>
  <singleXmlCell id="535" xr6:uid="{00000000-000C-0000-FFFF-FFFFFE010000}" r="D15" connectionId="0">
    <xmlCellPr id="1" xr6:uid="{00000000-0010-0000-FE01-000001000000}" uniqueName="ns2:Team5Diff2">
      <xmlPr mapId="4" xpath="/ns2:ScoreSheet/ns2:Diff1/ns2:Team5Diff2" xmlDataType="decimal"/>
    </xmlCellPr>
  </singleXmlCell>
  <singleXmlCell id="536" xr6:uid="{00000000-000C-0000-FFFF-FFFFFF010000}" r="E15" connectionId="0">
    <xmlCellPr id="1" xr6:uid="{00000000-0010-0000-FF01-000001000000}" uniqueName="ns2:Team5Diff3">
      <xmlPr mapId="4" xpath="/ns2:ScoreSheet/ns2:Diff1/ns2:Team5Diff3" xmlDataType="decimal"/>
    </xmlCellPr>
  </singleXmlCell>
  <singleXmlCell id="537" xr6:uid="{00000000-000C-0000-FFFF-FFFF00020000}" r="F15" connectionId="0">
    <xmlCellPr id="1" xr6:uid="{00000000-0010-0000-0002-000001000000}" uniqueName="ns2:Team5Diff4">
      <xmlPr mapId="4" xpath="/ns2:ScoreSheet/ns2:Diff1/ns2:Team5Diff4" xmlDataType="decimal"/>
    </xmlCellPr>
  </singleXmlCell>
  <singleXmlCell id="538" xr6:uid="{00000000-000C-0000-FFFF-FFFF01020000}" r="G15" connectionId="0">
    <xmlCellPr id="1" xr6:uid="{00000000-0010-0000-0102-000001000000}" uniqueName="ns2:Team5Diff5">
      <xmlPr mapId="4" xpath="/ns2:ScoreSheet/ns2:Diff1/ns2:Team5Diff5" xmlDataType="decimal"/>
    </xmlCellPr>
  </singleXmlCell>
  <singleXmlCell id="539" xr6:uid="{00000000-000C-0000-FFFF-FFFF02020000}" r="H15" connectionId="0">
    <xmlCellPr id="1" xr6:uid="{00000000-0010-0000-0202-000001000000}" uniqueName="ns2:Team5Diff6">
      <xmlPr mapId="4" xpath="/ns2:ScoreSheet/ns2:Diff1/ns2:Team5Diff6" xmlDataType="decimal"/>
    </xmlCellPr>
  </singleXmlCell>
  <singleXmlCell id="540" xr6:uid="{00000000-000C-0000-FFFF-FFFF03020000}" r="I15" connectionId="0">
    <xmlCellPr id="1" xr6:uid="{00000000-0010-0000-0302-000001000000}" uniqueName="ns2:Team5Diff7">
      <xmlPr mapId="4" xpath="/ns2:ScoreSheet/ns2:Diff1/ns2:Team5Diff7" xmlDataType="decimal"/>
    </xmlCellPr>
  </singleXmlCell>
  <singleXmlCell id="541" xr6:uid="{00000000-000C-0000-FFFF-FFFF04020000}" r="J15" connectionId="0">
    <xmlCellPr id="1" xr6:uid="{00000000-0010-0000-0402-000001000000}" uniqueName="ns2:Team5Diff8">
      <xmlPr mapId="4" xpath="/ns2:ScoreSheet/ns2:Diff1/ns2:Team5Diff8" xmlDataType="decimal"/>
    </xmlCellPr>
  </singleXmlCell>
  <singleXmlCell id="542" xr6:uid="{00000000-000C-0000-FFFF-FFFF05020000}" r="K15" connectionId="0">
    <xmlCellPr id="1" xr6:uid="{00000000-0010-0000-0502-000001000000}" uniqueName="ns2:Team5Diff9">
      <xmlPr mapId="4" xpath="/ns2:ScoreSheet/ns2:Diff1/ns2:Team5Diff9" xmlDataType="decimal"/>
    </xmlCellPr>
  </singleXmlCell>
  <singleXmlCell id="543" xr6:uid="{00000000-000C-0000-FFFF-FFFF06020000}" r="L15" connectionId="0">
    <xmlCellPr id="1" xr6:uid="{00000000-0010-0000-0602-000001000000}" uniqueName="ns2:Team5Diff10">
      <xmlPr mapId="4" xpath="/ns2:ScoreSheet/ns2:Diff1/ns2:Team5Diff10" xmlDataType="decimal"/>
    </xmlCellPr>
  </singleXmlCell>
  <singleXmlCell id="544" xr6:uid="{00000000-000C-0000-FFFF-FFFF07020000}" r="M15" connectionId="0">
    <xmlCellPr id="1" xr6:uid="{00000000-0010-0000-0702-000001000000}" uniqueName="ns2:Team5Diff11">
      <xmlPr mapId="4" xpath="/ns2:ScoreSheet/ns2:Diff1/ns2:Team5Diff11" xmlDataType="decimal"/>
    </xmlCellPr>
  </singleXmlCell>
  <singleXmlCell id="545" xr6:uid="{00000000-000C-0000-FFFF-FFFF08020000}" r="N15" connectionId="0">
    <xmlCellPr id="1" xr6:uid="{00000000-0010-0000-0802-000001000000}" uniqueName="ns2:Team5Diff12">
      <xmlPr mapId="4" xpath="/ns2:ScoreSheet/ns2:Diff1/ns2:Team5Diff12" xmlDataType="decimal"/>
    </xmlCellPr>
  </singleXmlCell>
  <singleXmlCell id="546" xr6:uid="{00000000-000C-0000-FFFF-FFFF09020000}" r="O15" connectionId="0">
    <xmlCellPr id="1" xr6:uid="{00000000-0010-0000-0902-000001000000}" uniqueName="ns2:Team5Diff13">
      <xmlPr mapId="4" xpath="/ns2:ScoreSheet/ns2:Diff1/ns2:Team5Diff13" xmlDataType="decimal"/>
    </xmlCellPr>
  </singleXmlCell>
  <singleXmlCell id="547" xr6:uid="{00000000-000C-0000-FFFF-FFFF0A020000}" r="P15" connectionId="0">
    <xmlCellPr id="1" xr6:uid="{00000000-0010-0000-0A02-000001000000}" uniqueName="ns2:Team5Diff14">
      <xmlPr mapId="4" xpath="/ns2:ScoreSheet/ns2:Diff1/ns2:Team5Diff14" xmlDataType="decimal"/>
    </xmlCellPr>
  </singleXmlCell>
  <singleXmlCell id="548" xr6:uid="{00000000-000C-0000-FFFF-FFFF0B020000}" r="Q15" connectionId="0">
    <xmlCellPr id="1" xr6:uid="{00000000-0010-0000-0B02-000001000000}" uniqueName="ns2:Team5Diff15">
      <xmlPr mapId="4" xpath="/ns2:ScoreSheet/ns2:Diff1/ns2:Team5Diff15" xmlDataType="decimal"/>
    </xmlCellPr>
  </singleXmlCell>
  <singleXmlCell id="549" xr6:uid="{00000000-000C-0000-FFFF-FFFF0C020000}" r="R15" connectionId="0">
    <xmlCellPr id="1" xr6:uid="{00000000-0010-0000-0C02-000001000000}" uniqueName="ns2:Team5Diff16">
      <xmlPr mapId="4" xpath="/ns2:ScoreSheet/ns2:Diff1/ns2:Team5Diff16" xmlDataType="decimal"/>
    </xmlCellPr>
  </singleXmlCell>
  <singleXmlCell id="550" xr6:uid="{00000000-000C-0000-FFFF-FFFF0D020000}" r="S15" connectionId="0">
    <xmlCellPr id="1" xr6:uid="{00000000-0010-0000-0D02-000001000000}" uniqueName="ns2:Team5Diff17">
      <xmlPr mapId="4" xpath="/ns2:ScoreSheet/ns2:Diff1/ns2:Team5Diff17" xmlDataType="decimal"/>
    </xmlCellPr>
  </singleXmlCell>
  <singleXmlCell id="551" xr6:uid="{00000000-000C-0000-FFFF-FFFF0E020000}" r="T15" connectionId="0">
    <xmlCellPr id="1" xr6:uid="{00000000-0010-0000-0E02-000001000000}" uniqueName="ns2:Team5Diff18">
      <xmlPr mapId="4" xpath="/ns2:ScoreSheet/ns2:Diff1/ns2:Team5Diff18" xmlDataType="decimal"/>
    </xmlCellPr>
  </singleXmlCell>
  <singleXmlCell id="552" xr6:uid="{00000000-000C-0000-FFFF-FFFF0F020000}" r="U15" connectionId="0">
    <xmlCellPr id="1" xr6:uid="{00000000-0010-0000-0F02-000001000000}" uniqueName="ns2:Team5Diff19">
      <xmlPr mapId="4" xpath="/ns2:ScoreSheet/ns2:Diff1/ns2:Team5Diff19" xmlDataType="decimal"/>
    </xmlCellPr>
  </singleXmlCell>
  <singleXmlCell id="553" xr6:uid="{00000000-000C-0000-FFFF-FFFF10020000}" r="V15" connectionId="0">
    <xmlCellPr id="1" xr6:uid="{00000000-0010-0000-1002-000001000000}" uniqueName="ns2:Team5Diff20">
      <xmlPr mapId="4" xpath="/ns2:ScoreSheet/ns2:Diff1/ns2:Team5Diff20" xmlDataType="decimal"/>
    </xmlCellPr>
  </singleXmlCell>
  <singleXmlCell id="554" xr6:uid="{00000000-000C-0000-FFFF-FFFF11020000}" r="C14" connectionId="0">
    <xmlCellPr id="1" xr6:uid="{00000000-0010-0000-1102-000001000000}" uniqueName="ns2:Team5Consec1">
      <xmlPr mapId="4" xpath="/ns2:ScoreSheet/ns2:Diff1/ns2:Team5Consec1" xmlDataType="string"/>
    </xmlCellPr>
  </singleXmlCell>
  <singleXmlCell id="555" xr6:uid="{00000000-000C-0000-FFFF-FFFF12020000}" r="D14" connectionId="0">
    <xmlCellPr id="1" xr6:uid="{00000000-0010-0000-1202-000001000000}" uniqueName="ns2:Team5Consec2">
      <xmlPr mapId="4" xpath="/ns2:ScoreSheet/ns2:Diff1/ns2:Team5Consec2" xmlDataType="string"/>
    </xmlCellPr>
  </singleXmlCell>
  <singleXmlCell id="556" xr6:uid="{00000000-000C-0000-FFFF-FFFF13020000}" r="E14" connectionId="0">
    <xmlCellPr id="1" xr6:uid="{00000000-0010-0000-1302-000001000000}" uniqueName="ns2:Team5Consec3">
      <xmlPr mapId="4" xpath="/ns2:ScoreSheet/ns2:Diff1/ns2:Team5Consec3" xmlDataType="string"/>
    </xmlCellPr>
  </singleXmlCell>
  <singleXmlCell id="557" xr6:uid="{00000000-000C-0000-FFFF-FFFF14020000}" r="F14" connectionId="0">
    <xmlCellPr id="1" xr6:uid="{00000000-0010-0000-1402-000001000000}" uniqueName="ns2:Team5Consec4">
      <xmlPr mapId="4" xpath="/ns2:ScoreSheet/ns2:Diff1/ns2:Team5Consec4" xmlDataType="string"/>
    </xmlCellPr>
  </singleXmlCell>
  <singleXmlCell id="558" xr6:uid="{00000000-000C-0000-FFFF-FFFF15020000}" r="G14" connectionId="0">
    <xmlCellPr id="1" xr6:uid="{00000000-0010-0000-1502-000001000000}" uniqueName="ns2:Team5Consec5">
      <xmlPr mapId="4" xpath="/ns2:ScoreSheet/ns2:Diff1/ns2:Team5Consec5" xmlDataType="string"/>
    </xmlCellPr>
  </singleXmlCell>
  <singleXmlCell id="559" xr6:uid="{00000000-000C-0000-FFFF-FFFF16020000}" r="H14" connectionId="0">
    <xmlCellPr id="1" xr6:uid="{00000000-0010-0000-1602-000001000000}" uniqueName="ns2:Team5Consec6">
      <xmlPr mapId="4" xpath="/ns2:ScoreSheet/ns2:Diff1/ns2:Team5Consec6" xmlDataType="string"/>
    </xmlCellPr>
  </singleXmlCell>
  <singleXmlCell id="560" xr6:uid="{00000000-000C-0000-FFFF-FFFF17020000}" r="I14" connectionId="0">
    <xmlCellPr id="1" xr6:uid="{00000000-0010-0000-1702-000001000000}" uniqueName="ns2:Team5Consec7">
      <xmlPr mapId="4" xpath="/ns2:ScoreSheet/ns2:Diff1/ns2:Team5Consec7" xmlDataType="string"/>
    </xmlCellPr>
  </singleXmlCell>
  <singleXmlCell id="561" xr6:uid="{00000000-000C-0000-FFFF-FFFF18020000}" r="J14" connectionId="0">
    <xmlCellPr id="1" xr6:uid="{00000000-0010-0000-1802-000001000000}" uniqueName="ns2:Team5Consec8">
      <xmlPr mapId="4" xpath="/ns2:ScoreSheet/ns2:Diff1/ns2:Team5Consec8" xmlDataType="string"/>
    </xmlCellPr>
  </singleXmlCell>
  <singleXmlCell id="562" xr6:uid="{00000000-000C-0000-FFFF-FFFF19020000}" r="K14" connectionId="0">
    <xmlCellPr id="1" xr6:uid="{00000000-0010-0000-1902-000001000000}" uniqueName="ns2:Team5Consec9">
      <xmlPr mapId="4" xpath="/ns2:ScoreSheet/ns2:Diff1/ns2:Team5Consec9" xmlDataType="string"/>
    </xmlCellPr>
  </singleXmlCell>
  <singleXmlCell id="563" xr6:uid="{00000000-000C-0000-FFFF-FFFF1A020000}" r="L14" connectionId="0">
    <xmlCellPr id="1" xr6:uid="{00000000-0010-0000-1A02-000001000000}" uniqueName="ns2:Team5Consec10">
      <xmlPr mapId="4" xpath="/ns2:ScoreSheet/ns2:Diff1/ns2:Team5Consec10" xmlDataType="string"/>
    </xmlCellPr>
  </singleXmlCell>
  <singleXmlCell id="564" xr6:uid="{00000000-000C-0000-FFFF-FFFF1B020000}" r="M14" connectionId="0">
    <xmlCellPr id="1" xr6:uid="{00000000-0010-0000-1B02-000001000000}" uniqueName="ns2:Team5Consec11">
      <xmlPr mapId="4" xpath="/ns2:ScoreSheet/ns2:Diff1/ns2:Team5Consec11" xmlDataType="string"/>
    </xmlCellPr>
  </singleXmlCell>
  <singleXmlCell id="565" xr6:uid="{00000000-000C-0000-FFFF-FFFF1C020000}" r="N14" connectionId="0">
    <xmlCellPr id="1" xr6:uid="{00000000-0010-0000-1C02-000001000000}" uniqueName="ns2:Team5Consec12">
      <xmlPr mapId="4" xpath="/ns2:ScoreSheet/ns2:Diff1/ns2:Team5Consec12" xmlDataType="string"/>
    </xmlCellPr>
  </singleXmlCell>
  <singleXmlCell id="566" xr6:uid="{00000000-000C-0000-FFFF-FFFF1D020000}" r="O14" connectionId="0">
    <xmlCellPr id="1" xr6:uid="{00000000-0010-0000-1D02-000001000000}" uniqueName="ns2:Team5Consec13">
      <xmlPr mapId="4" xpath="/ns2:ScoreSheet/ns2:Diff1/ns2:Team5Consec13" xmlDataType="string"/>
    </xmlCellPr>
  </singleXmlCell>
  <singleXmlCell id="567" xr6:uid="{00000000-000C-0000-FFFF-FFFF1E020000}" r="P14" connectionId="0">
    <xmlCellPr id="1" xr6:uid="{00000000-0010-0000-1E02-000001000000}" uniqueName="ns2:Team5Consec14">
      <xmlPr mapId="4" xpath="/ns2:ScoreSheet/ns2:Diff1/ns2:Team5Consec14" xmlDataType="string"/>
    </xmlCellPr>
  </singleXmlCell>
  <singleXmlCell id="568" xr6:uid="{00000000-000C-0000-FFFF-FFFF1F020000}" r="Q14" connectionId="0">
    <xmlCellPr id="1" xr6:uid="{00000000-0010-0000-1F02-000001000000}" uniqueName="ns2:Team5Consec15">
      <xmlPr mapId="4" xpath="/ns2:ScoreSheet/ns2:Diff1/ns2:Team5Consec15" xmlDataType="string"/>
    </xmlCellPr>
  </singleXmlCell>
  <singleXmlCell id="569" xr6:uid="{00000000-000C-0000-FFFF-FFFF20020000}" r="R14" connectionId="0">
    <xmlCellPr id="1" xr6:uid="{00000000-0010-0000-2002-000001000000}" uniqueName="ns2:Team5Consec16">
      <xmlPr mapId="4" xpath="/ns2:ScoreSheet/ns2:Diff1/ns2:Team5Consec16" xmlDataType="string"/>
    </xmlCellPr>
  </singleXmlCell>
  <singleXmlCell id="570" xr6:uid="{00000000-000C-0000-FFFF-FFFF21020000}" r="S14" connectionId="0">
    <xmlCellPr id="1" xr6:uid="{00000000-0010-0000-2102-000001000000}" uniqueName="ns2:Team5Consec17">
      <xmlPr mapId="4" xpath="/ns2:ScoreSheet/ns2:Diff1/ns2:Team5Consec17" xmlDataType="string"/>
    </xmlCellPr>
  </singleXmlCell>
  <singleXmlCell id="571" xr6:uid="{00000000-000C-0000-FFFF-FFFF22020000}" r="T14" connectionId="0">
    <xmlCellPr id="1" xr6:uid="{00000000-0010-0000-2202-000001000000}" uniqueName="ns2:Team5Consec18">
      <xmlPr mapId="4" xpath="/ns2:ScoreSheet/ns2:Diff1/ns2:Team5Consec18" xmlDataType="string"/>
    </xmlCellPr>
  </singleXmlCell>
  <singleXmlCell id="572" xr6:uid="{00000000-000C-0000-FFFF-FFFF23020000}" r="U14" connectionId="0">
    <xmlCellPr id="1" xr6:uid="{00000000-0010-0000-2302-000001000000}" uniqueName="ns2:Team5Consec19">
      <xmlPr mapId="4" xpath="/ns2:ScoreSheet/ns2:Diff1/ns2:Team5Consec19" xmlDataType="string"/>
    </xmlCellPr>
  </singleXmlCell>
  <singleXmlCell id="573" xr6:uid="{00000000-000C-0000-FFFF-FFFF24020000}" r="V14" connectionId="0">
    <xmlCellPr id="1" xr6:uid="{00000000-0010-0000-2402-000001000000}" uniqueName="ns2:Team5Consec20">
      <xmlPr mapId="4" xpath="/ns2:ScoreSheet/ns2:Diff1/ns2:Team5Consec20" xmlDataType="string"/>
    </xmlCellPr>
  </singleXmlCell>
  <singleXmlCell id="574" xr6:uid="{00000000-000C-0000-FFFF-FFFF25020000}" r="C17" connectionId="0">
    <xmlCellPr id="1" xr6:uid="{00000000-0010-0000-2502-000001000000}" uniqueName="ns2:Team6Diff1">
      <xmlPr mapId="4" xpath="/ns2:ScoreSheet/ns2:Diff1/ns2:Team6Diff1" xmlDataType="decimal"/>
    </xmlCellPr>
  </singleXmlCell>
  <singleXmlCell id="575" xr6:uid="{00000000-000C-0000-FFFF-FFFF26020000}" r="D17" connectionId="0">
    <xmlCellPr id="1" xr6:uid="{00000000-0010-0000-2602-000001000000}" uniqueName="ns2:Team6Diff2">
      <xmlPr mapId="4" xpath="/ns2:ScoreSheet/ns2:Diff1/ns2:Team6Diff2" xmlDataType="decimal"/>
    </xmlCellPr>
  </singleXmlCell>
  <singleXmlCell id="576" xr6:uid="{00000000-000C-0000-FFFF-FFFF27020000}" r="E17" connectionId="0">
    <xmlCellPr id="1" xr6:uid="{00000000-0010-0000-2702-000001000000}" uniqueName="ns2:Team6Diff3">
      <xmlPr mapId="4" xpath="/ns2:ScoreSheet/ns2:Diff1/ns2:Team6Diff3" xmlDataType="decimal"/>
    </xmlCellPr>
  </singleXmlCell>
  <singleXmlCell id="577" xr6:uid="{00000000-000C-0000-FFFF-FFFF28020000}" r="F17" connectionId="0">
    <xmlCellPr id="1" xr6:uid="{00000000-0010-0000-2802-000001000000}" uniqueName="ns2:Team6Diff4">
      <xmlPr mapId="4" xpath="/ns2:ScoreSheet/ns2:Diff1/ns2:Team6Diff4" xmlDataType="decimal"/>
    </xmlCellPr>
  </singleXmlCell>
  <singleXmlCell id="578" xr6:uid="{00000000-000C-0000-FFFF-FFFF29020000}" r="G17" connectionId="0">
    <xmlCellPr id="1" xr6:uid="{00000000-0010-0000-2902-000001000000}" uniqueName="ns2:Team6Diff5">
      <xmlPr mapId="4" xpath="/ns2:ScoreSheet/ns2:Diff1/ns2:Team6Diff5" xmlDataType="decimal"/>
    </xmlCellPr>
  </singleXmlCell>
  <singleXmlCell id="579" xr6:uid="{00000000-000C-0000-FFFF-FFFF2A020000}" r="H17" connectionId="0">
    <xmlCellPr id="1" xr6:uid="{00000000-0010-0000-2A02-000001000000}" uniqueName="ns2:Team6Diff6">
      <xmlPr mapId="4" xpath="/ns2:ScoreSheet/ns2:Diff1/ns2:Team6Diff6" xmlDataType="decimal"/>
    </xmlCellPr>
  </singleXmlCell>
  <singleXmlCell id="580" xr6:uid="{00000000-000C-0000-FFFF-FFFF2B020000}" r="I17" connectionId="0">
    <xmlCellPr id="1" xr6:uid="{00000000-0010-0000-2B02-000001000000}" uniqueName="ns2:Team6Diff7">
      <xmlPr mapId="4" xpath="/ns2:ScoreSheet/ns2:Diff1/ns2:Team6Diff7" xmlDataType="decimal"/>
    </xmlCellPr>
  </singleXmlCell>
  <singleXmlCell id="581" xr6:uid="{00000000-000C-0000-FFFF-FFFF2C020000}" r="J17" connectionId="0">
    <xmlCellPr id="1" xr6:uid="{00000000-0010-0000-2C02-000001000000}" uniqueName="ns2:Team6Diff8">
      <xmlPr mapId="4" xpath="/ns2:ScoreSheet/ns2:Diff1/ns2:Team6Diff8" xmlDataType="decimal"/>
    </xmlCellPr>
  </singleXmlCell>
  <singleXmlCell id="582" xr6:uid="{00000000-000C-0000-FFFF-FFFF2D020000}" r="K17" connectionId="0">
    <xmlCellPr id="1" xr6:uid="{00000000-0010-0000-2D02-000001000000}" uniqueName="ns2:Team6Diff9">
      <xmlPr mapId="4" xpath="/ns2:ScoreSheet/ns2:Diff1/ns2:Team6Diff9" xmlDataType="decimal"/>
    </xmlCellPr>
  </singleXmlCell>
  <singleXmlCell id="583" xr6:uid="{00000000-000C-0000-FFFF-FFFF2E020000}" r="L17" connectionId="0">
    <xmlCellPr id="1" xr6:uid="{00000000-0010-0000-2E02-000001000000}" uniqueName="ns2:Team6Diff10">
      <xmlPr mapId="4" xpath="/ns2:ScoreSheet/ns2:Diff1/ns2:Team6Diff10" xmlDataType="decimal"/>
    </xmlCellPr>
  </singleXmlCell>
  <singleXmlCell id="584" xr6:uid="{00000000-000C-0000-FFFF-FFFF2F020000}" r="M17" connectionId="0">
    <xmlCellPr id="1" xr6:uid="{00000000-0010-0000-2F02-000001000000}" uniqueName="ns2:Team6Diff11">
      <xmlPr mapId="4" xpath="/ns2:ScoreSheet/ns2:Diff1/ns2:Team6Diff11" xmlDataType="decimal"/>
    </xmlCellPr>
  </singleXmlCell>
  <singleXmlCell id="585" xr6:uid="{00000000-000C-0000-FFFF-FFFF30020000}" r="N17" connectionId="0">
    <xmlCellPr id="1" xr6:uid="{00000000-0010-0000-3002-000001000000}" uniqueName="ns2:Team6Diff12">
      <xmlPr mapId="4" xpath="/ns2:ScoreSheet/ns2:Diff1/ns2:Team6Diff12" xmlDataType="decimal"/>
    </xmlCellPr>
  </singleXmlCell>
  <singleXmlCell id="586" xr6:uid="{00000000-000C-0000-FFFF-FFFF31020000}" r="O17" connectionId="0">
    <xmlCellPr id="1" xr6:uid="{00000000-0010-0000-3102-000001000000}" uniqueName="ns2:Team6Diff13">
      <xmlPr mapId="4" xpath="/ns2:ScoreSheet/ns2:Diff1/ns2:Team6Diff13" xmlDataType="decimal"/>
    </xmlCellPr>
  </singleXmlCell>
  <singleXmlCell id="587" xr6:uid="{00000000-000C-0000-FFFF-FFFF32020000}" r="P17" connectionId="0">
    <xmlCellPr id="1" xr6:uid="{00000000-0010-0000-3202-000001000000}" uniqueName="ns2:Team6Diff14">
      <xmlPr mapId="4" xpath="/ns2:ScoreSheet/ns2:Diff1/ns2:Team6Diff14" xmlDataType="decimal"/>
    </xmlCellPr>
  </singleXmlCell>
  <singleXmlCell id="588" xr6:uid="{00000000-000C-0000-FFFF-FFFF33020000}" r="Q17" connectionId="0">
    <xmlCellPr id="1" xr6:uid="{00000000-0010-0000-3302-000001000000}" uniqueName="ns2:Team6Diff15">
      <xmlPr mapId="4" xpath="/ns2:ScoreSheet/ns2:Diff1/ns2:Team6Diff15" xmlDataType="decimal"/>
    </xmlCellPr>
  </singleXmlCell>
  <singleXmlCell id="589" xr6:uid="{00000000-000C-0000-FFFF-FFFF34020000}" r="R17" connectionId="0">
    <xmlCellPr id="1" xr6:uid="{00000000-0010-0000-3402-000001000000}" uniqueName="ns2:Team6Diff16">
      <xmlPr mapId="4" xpath="/ns2:ScoreSheet/ns2:Diff1/ns2:Team6Diff16" xmlDataType="decimal"/>
    </xmlCellPr>
  </singleXmlCell>
  <singleXmlCell id="590" xr6:uid="{00000000-000C-0000-FFFF-FFFF35020000}" r="S17" connectionId="0">
    <xmlCellPr id="1" xr6:uid="{00000000-0010-0000-3502-000001000000}" uniqueName="ns2:Team6Diff17">
      <xmlPr mapId="4" xpath="/ns2:ScoreSheet/ns2:Diff1/ns2:Team6Diff17" xmlDataType="decimal"/>
    </xmlCellPr>
  </singleXmlCell>
  <singleXmlCell id="591" xr6:uid="{00000000-000C-0000-FFFF-FFFF36020000}" r="T17" connectionId="0">
    <xmlCellPr id="1" xr6:uid="{00000000-0010-0000-3602-000001000000}" uniqueName="ns2:Team6Diff18">
      <xmlPr mapId="4" xpath="/ns2:ScoreSheet/ns2:Diff1/ns2:Team6Diff18" xmlDataType="decimal"/>
    </xmlCellPr>
  </singleXmlCell>
  <singleXmlCell id="592" xr6:uid="{00000000-000C-0000-FFFF-FFFF37020000}" r="U17" connectionId="0">
    <xmlCellPr id="1" xr6:uid="{00000000-0010-0000-3702-000001000000}" uniqueName="ns2:Team6Diff19">
      <xmlPr mapId="4" xpath="/ns2:ScoreSheet/ns2:Diff1/ns2:Team6Diff19" xmlDataType="decimal"/>
    </xmlCellPr>
  </singleXmlCell>
  <singleXmlCell id="593" xr6:uid="{00000000-000C-0000-FFFF-FFFF38020000}" r="V17" connectionId="0">
    <xmlCellPr id="1" xr6:uid="{00000000-0010-0000-3802-000001000000}" uniqueName="ns2:Team6Diff20">
      <xmlPr mapId="4" xpath="/ns2:ScoreSheet/ns2:Diff1/ns2:Team6Diff20" xmlDataType="decimal"/>
    </xmlCellPr>
  </singleXmlCell>
  <singleXmlCell id="594" xr6:uid="{00000000-000C-0000-FFFF-FFFF39020000}" r="C16" connectionId="0">
    <xmlCellPr id="1" xr6:uid="{00000000-0010-0000-3902-000001000000}" uniqueName="ns2:Team6Consec1">
      <xmlPr mapId="4" xpath="/ns2:ScoreSheet/ns2:Diff1/ns2:Team6Consec1" xmlDataType="string"/>
    </xmlCellPr>
  </singleXmlCell>
  <singleXmlCell id="595" xr6:uid="{00000000-000C-0000-FFFF-FFFF3A020000}" r="D16" connectionId="0">
    <xmlCellPr id="1" xr6:uid="{00000000-0010-0000-3A02-000001000000}" uniqueName="ns2:Team6Consec2">
      <xmlPr mapId="4" xpath="/ns2:ScoreSheet/ns2:Diff1/ns2:Team6Consec2" xmlDataType="string"/>
    </xmlCellPr>
  </singleXmlCell>
  <singleXmlCell id="596" xr6:uid="{00000000-000C-0000-FFFF-FFFF3B020000}" r="E16" connectionId="0">
    <xmlCellPr id="1" xr6:uid="{00000000-0010-0000-3B02-000001000000}" uniqueName="ns2:Team6Consec3">
      <xmlPr mapId="4" xpath="/ns2:ScoreSheet/ns2:Diff1/ns2:Team6Consec3" xmlDataType="string"/>
    </xmlCellPr>
  </singleXmlCell>
  <singleXmlCell id="597" xr6:uid="{00000000-000C-0000-FFFF-FFFF3C020000}" r="F16" connectionId="0">
    <xmlCellPr id="1" xr6:uid="{00000000-0010-0000-3C02-000001000000}" uniqueName="ns2:Team6Consec4">
      <xmlPr mapId="4" xpath="/ns2:ScoreSheet/ns2:Diff1/ns2:Team6Consec4" xmlDataType="string"/>
    </xmlCellPr>
  </singleXmlCell>
  <singleXmlCell id="598" xr6:uid="{00000000-000C-0000-FFFF-FFFF3D020000}" r="G16" connectionId="0">
    <xmlCellPr id="1" xr6:uid="{00000000-0010-0000-3D02-000001000000}" uniqueName="ns2:Team6Consec5">
      <xmlPr mapId="4" xpath="/ns2:ScoreSheet/ns2:Diff1/ns2:Team6Consec5" xmlDataType="string"/>
    </xmlCellPr>
  </singleXmlCell>
  <singleXmlCell id="599" xr6:uid="{00000000-000C-0000-FFFF-FFFF3E020000}" r="H16" connectionId="0">
    <xmlCellPr id="1" xr6:uid="{00000000-0010-0000-3E02-000001000000}" uniqueName="ns2:Team6Consec6">
      <xmlPr mapId="4" xpath="/ns2:ScoreSheet/ns2:Diff1/ns2:Team6Consec6" xmlDataType="string"/>
    </xmlCellPr>
  </singleXmlCell>
  <singleXmlCell id="600" xr6:uid="{00000000-000C-0000-FFFF-FFFF3F020000}" r="I16" connectionId="0">
    <xmlCellPr id="1" xr6:uid="{00000000-0010-0000-3F02-000001000000}" uniqueName="ns2:Team6Consec7">
      <xmlPr mapId="4" xpath="/ns2:ScoreSheet/ns2:Diff1/ns2:Team6Consec7" xmlDataType="string"/>
    </xmlCellPr>
  </singleXmlCell>
  <singleXmlCell id="601" xr6:uid="{00000000-000C-0000-FFFF-FFFF40020000}" r="J16" connectionId="0">
    <xmlCellPr id="1" xr6:uid="{00000000-0010-0000-4002-000001000000}" uniqueName="ns2:Team6Consec8">
      <xmlPr mapId="4" xpath="/ns2:ScoreSheet/ns2:Diff1/ns2:Team6Consec8" xmlDataType="string"/>
    </xmlCellPr>
  </singleXmlCell>
  <singleXmlCell id="602" xr6:uid="{00000000-000C-0000-FFFF-FFFF41020000}" r="K16" connectionId="0">
    <xmlCellPr id="1" xr6:uid="{00000000-0010-0000-4102-000001000000}" uniqueName="ns2:Team6Consec9">
      <xmlPr mapId="4" xpath="/ns2:ScoreSheet/ns2:Diff1/ns2:Team6Consec9" xmlDataType="string"/>
    </xmlCellPr>
  </singleXmlCell>
  <singleXmlCell id="603" xr6:uid="{00000000-000C-0000-FFFF-FFFF42020000}" r="L16" connectionId="0">
    <xmlCellPr id="1" xr6:uid="{00000000-0010-0000-4202-000001000000}" uniqueName="ns2:Team6Consec10">
      <xmlPr mapId="4" xpath="/ns2:ScoreSheet/ns2:Diff1/ns2:Team6Consec10" xmlDataType="string"/>
    </xmlCellPr>
  </singleXmlCell>
  <singleXmlCell id="604" xr6:uid="{00000000-000C-0000-FFFF-FFFF43020000}" r="M16" connectionId="0">
    <xmlCellPr id="1" xr6:uid="{00000000-0010-0000-4302-000001000000}" uniqueName="ns2:Team6Consec11">
      <xmlPr mapId="4" xpath="/ns2:ScoreSheet/ns2:Diff1/ns2:Team6Consec11" xmlDataType="string"/>
    </xmlCellPr>
  </singleXmlCell>
  <singleXmlCell id="605" xr6:uid="{00000000-000C-0000-FFFF-FFFF44020000}" r="N16" connectionId="0">
    <xmlCellPr id="1" xr6:uid="{00000000-0010-0000-4402-000001000000}" uniqueName="ns2:Team6Consec12">
      <xmlPr mapId="4" xpath="/ns2:ScoreSheet/ns2:Diff1/ns2:Team6Consec12" xmlDataType="string"/>
    </xmlCellPr>
  </singleXmlCell>
  <singleXmlCell id="606" xr6:uid="{00000000-000C-0000-FFFF-FFFF45020000}" r="O16" connectionId="0">
    <xmlCellPr id="1" xr6:uid="{00000000-0010-0000-4502-000001000000}" uniqueName="ns2:Team6Consec13">
      <xmlPr mapId="4" xpath="/ns2:ScoreSheet/ns2:Diff1/ns2:Team6Consec13" xmlDataType="string"/>
    </xmlCellPr>
  </singleXmlCell>
  <singleXmlCell id="607" xr6:uid="{00000000-000C-0000-FFFF-FFFF46020000}" r="P16" connectionId="0">
    <xmlCellPr id="1" xr6:uid="{00000000-0010-0000-4602-000001000000}" uniqueName="ns2:Team6Consec14">
      <xmlPr mapId="4" xpath="/ns2:ScoreSheet/ns2:Diff1/ns2:Team6Consec14" xmlDataType="string"/>
    </xmlCellPr>
  </singleXmlCell>
  <singleXmlCell id="608" xr6:uid="{00000000-000C-0000-FFFF-FFFF47020000}" r="Q16" connectionId="0">
    <xmlCellPr id="1" xr6:uid="{00000000-0010-0000-4702-000001000000}" uniqueName="ns2:Team6Consec15">
      <xmlPr mapId="4" xpath="/ns2:ScoreSheet/ns2:Diff1/ns2:Team6Consec15" xmlDataType="string"/>
    </xmlCellPr>
  </singleXmlCell>
  <singleXmlCell id="609" xr6:uid="{00000000-000C-0000-FFFF-FFFF48020000}" r="R16" connectionId="0">
    <xmlCellPr id="1" xr6:uid="{00000000-0010-0000-4802-000001000000}" uniqueName="ns2:Team6Consec16">
      <xmlPr mapId="4" xpath="/ns2:ScoreSheet/ns2:Diff1/ns2:Team6Consec16" xmlDataType="string"/>
    </xmlCellPr>
  </singleXmlCell>
  <singleXmlCell id="610" xr6:uid="{00000000-000C-0000-FFFF-FFFF49020000}" r="S16" connectionId="0">
    <xmlCellPr id="1" xr6:uid="{00000000-0010-0000-4902-000001000000}" uniqueName="ns2:Team6Consec17">
      <xmlPr mapId="4" xpath="/ns2:ScoreSheet/ns2:Diff1/ns2:Team6Consec17" xmlDataType="string"/>
    </xmlCellPr>
  </singleXmlCell>
  <singleXmlCell id="611" xr6:uid="{00000000-000C-0000-FFFF-FFFF4A020000}" r="T16" connectionId="0">
    <xmlCellPr id="1" xr6:uid="{00000000-0010-0000-4A02-000001000000}" uniqueName="ns2:Team6Consec18">
      <xmlPr mapId="4" xpath="/ns2:ScoreSheet/ns2:Diff1/ns2:Team6Consec18" xmlDataType="string"/>
    </xmlCellPr>
  </singleXmlCell>
  <singleXmlCell id="612" xr6:uid="{00000000-000C-0000-FFFF-FFFF4B020000}" r="U16" connectionId="0">
    <xmlCellPr id="1" xr6:uid="{00000000-0010-0000-4B02-000001000000}" uniqueName="ns2:Team6Consec19">
      <xmlPr mapId="4" xpath="/ns2:ScoreSheet/ns2:Diff1/ns2:Team6Consec19" xmlDataType="string"/>
    </xmlCellPr>
  </singleXmlCell>
  <singleXmlCell id="613" xr6:uid="{00000000-000C-0000-FFFF-FFFF4C020000}" r="V16" connectionId="0">
    <xmlCellPr id="1" xr6:uid="{00000000-0010-0000-4C02-000001000000}" uniqueName="ns2:Team6Consec20">
      <xmlPr mapId="4" xpath="/ns2:ScoreSheet/ns2:Diff1/ns2:Team6Consec20" xmlDataType="string"/>
    </xmlCellPr>
  </singleXmlCell>
  <singleXmlCell id="614" xr6:uid="{00000000-000C-0000-FFFF-FFFF4D020000}" r="C19" connectionId="0">
    <xmlCellPr id="1" xr6:uid="{00000000-0010-0000-4D02-000001000000}" uniqueName="ns2:Team7Diff1">
      <xmlPr mapId="4" xpath="/ns2:ScoreSheet/ns2:Diff1/ns2:Team7Diff1" xmlDataType="decimal"/>
    </xmlCellPr>
  </singleXmlCell>
  <singleXmlCell id="615" xr6:uid="{00000000-000C-0000-FFFF-FFFF4E020000}" r="D19" connectionId="0">
    <xmlCellPr id="1" xr6:uid="{00000000-0010-0000-4E02-000001000000}" uniqueName="ns2:Team7Diff2">
      <xmlPr mapId="4" xpath="/ns2:ScoreSheet/ns2:Diff1/ns2:Team7Diff2" xmlDataType="decimal"/>
    </xmlCellPr>
  </singleXmlCell>
  <singleXmlCell id="616" xr6:uid="{00000000-000C-0000-FFFF-FFFF4F020000}" r="E19" connectionId="0">
    <xmlCellPr id="1" xr6:uid="{00000000-0010-0000-4F02-000001000000}" uniqueName="ns2:Team7Diff3">
      <xmlPr mapId="4" xpath="/ns2:ScoreSheet/ns2:Diff1/ns2:Team7Diff3" xmlDataType="decimal"/>
    </xmlCellPr>
  </singleXmlCell>
  <singleXmlCell id="617" xr6:uid="{00000000-000C-0000-FFFF-FFFF50020000}" r="F19" connectionId="0">
    <xmlCellPr id="1" xr6:uid="{00000000-0010-0000-5002-000001000000}" uniqueName="ns2:Team7Diff4">
      <xmlPr mapId="4" xpath="/ns2:ScoreSheet/ns2:Diff1/ns2:Team7Diff4" xmlDataType="decimal"/>
    </xmlCellPr>
  </singleXmlCell>
  <singleXmlCell id="618" xr6:uid="{00000000-000C-0000-FFFF-FFFF51020000}" r="G19" connectionId="0">
    <xmlCellPr id="1" xr6:uid="{00000000-0010-0000-5102-000001000000}" uniqueName="ns2:Team7Diff5">
      <xmlPr mapId="4" xpath="/ns2:ScoreSheet/ns2:Diff1/ns2:Team7Diff5" xmlDataType="decimal"/>
    </xmlCellPr>
  </singleXmlCell>
  <singleXmlCell id="619" xr6:uid="{00000000-000C-0000-FFFF-FFFF52020000}" r="H19" connectionId="0">
    <xmlCellPr id="1" xr6:uid="{00000000-0010-0000-5202-000001000000}" uniqueName="ns2:Team7Diff6">
      <xmlPr mapId="4" xpath="/ns2:ScoreSheet/ns2:Diff1/ns2:Team7Diff6" xmlDataType="decimal"/>
    </xmlCellPr>
  </singleXmlCell>
  <singleXmlCell id="620" xr6:uid="{00000000-000C-0000-FFFF-FFFF53020000}" r="I19" connectionId="0">
    <xmlCellPr id="1" xr6:uid="{00000000-0010-0000-5302-000001000000}" uniqueName="ns2:Team7Diff7">
      <xmlPr mapId="4" xpath="/ns2:ScoreSheet/ns2:Diff1/ns2:Team7Diff7" xmlDataType="decimal"/>
    </xmlCellPr>
  </singleXmlCell>
  <singleXmlCell id="621" xr6:uid="{00000000-000C-0000-FFFF-FFFF54020000}" r="J19" connectionId="0">
    <xmlCellPr id="1" xr6:uid="{00000000-0010-0000-5402-000001000000}" uniqueName="ns2:Team7Diff8">
      <xmlPr mapId="4" xpath="/ns2:ScoreSheet/ns2:Diff1/ns2:Team7Diff8" xmlDataType="decimal"/>
    </xmlCellPr>
  </singleXmlCell>
  <singleXmlCell id="622" xr6:uid="{00000000-000C-0000-FFFF-FFFF55020000}" r="K19" connectionId="0">
    <xmlCellPr id="1" xr6:uid="{00000000-0010-0000-5502-000001000000}" uniqueName="ns2:Team7Diff9">
      <xmlPr mapId="4" xpath="/ns2:ScoreSheet/ns2:Diff1/ns2:Team7Diff9" xmlDataType="decimal"/>
    </xmlCellPr>
  </singleXmlCell>
  <singleXmlCell id="623" xr6:uid="{00000000-000C-0000-FFFF-FFFF56020000}" r="L19" connectionId="0">
    <xmlCellPr id="1" xr6:uid="{00000000-0010-0000-5602-000001000000}" uniqueName="ns2:Team7Diff10">
      <xmlPr mapId="4" xpath="/ns2:ScoreSheet/ns2:Diff1/ns2:Team7Diff10" xmlDataType="decimal"/>
    </xmlCellPr>
  </singleXmlCell>
  <singleXmlCell id="624" xr6:uid="{00000000-000C-0000-FFFF-FFFF57020000}" r="M19" connectionId="0">
    <xmlCellPr id="1" xr6:uid="{00000000-0010-0000-5702-000001000000}" uniqueName="ns2:Team7Diff11">
      <xmlPr mapId="4" xpath="/ns2:ScoreSheet/ns2:Diff1/ns2:Team7Diff11" xmlDataType="decimal"/>
    </xmlCellPr>
  </singleXmlCell>
  <singleXmlCell id="625" xr6:uid="{00000000-000C-0000-FFFF-FFFF58020000}" r="N19" connectionId="0">
    <xmlCellPr id="1" xr6:uid="{00000000-0010-0000-5802-000001000000}" uniqueName="ns2:Team7Diff12">
      <xmlPr mapId="4" xpath="/ns2:ScoreSheet/ns2:Diff1/ns2:Team7Diff12" xmlDataType="decimal"/>
    </xmlCellPr>
  </singleXmlCell>
  <singleXmlCell id="626" xr6:uid="{00000000-000C-0000-FFFF-FFFF59020000}" r="O19" connectionId="0">
    <xmlCellPr id="1" xr6:uid="{00000000-0010-0000-5902-000001000000}" uniqueName="ns2:Team7Diff13">
      <xmlPr mapId="4" xpath="/ns2:ScoreSheet/ns2:Diff1/ns2:Team7Diff13" xmlDataType="decimal"/>
    </xmlCellPr>
  </singleXmlCell>
  <singleXmlCell id="627" xr6:uid="{00000000-000C-0000-FFFF-FFFF5A020000}" r="P19" connectionId="0">
    <xmlCellPr id="1" xr6:uid="{00000000-0010-0000-5A02-000001000000}" uniqueName="ns2:Team7Diff14">
      <xmlPr mapId="4" xpath="/ns2:ScoreSheet/ns2:Diff1/ns2:Team7Diff14" xmlDataType="decimal"/>
    </xmlCellPr>
  </singleXmlCell>
  <singleXmlCell id="628" xr6:uid="{00000000-000C-0000-FFFF-FFFF5B020000}" r="Q19" connectionId="0">
    <xmlCellPr id="1" xr6:uid="{00000000-0010-0000-5B02-000001000000}" uniqueName="ns2:Team7Diff15">
      <xmlPr mapId="4" xpath="/ns2:ScoreSheet/ns2:Diff1/ns2:Team7Diff15" xmlDataType="decimal"/>
    </xmlCellPr>
  </singleXmlCell>
  <singleXmlCell id="629" xr6:uid="{00000000-000C-0000-FFFF-FFFF5C020000}" r="R19" connectionId="0">
    <xmlCellPr id="1" xr6:uid="{00000000-0010-0000-5C02-000001000000}" uniqueName="ns2:Team7Diff16">
      <xmlPr mapId="4" xpath="/ns2:ScoreSheet/ns2:Diff1/ns2:Team7Diff16" xmlDataType="decimal"/>
    </xmlCellPr>
  </singleXmlCell>
  <singleXmlCell id="630" xr6:uid="{00000000-000C-0000-FFFF-FFFF5D020000}" r="S19" connectionId="0">
    <xmlCellPr id="1" xr6:uid="{00000000-0010-0000-5D02-000001000000}" uniqueName="ns2:Team7Diff17">
      <xmlPr mapId="4" xpath="/ns2:ScoreSheet/ns2:Diff1/ns2:Team7Diff17" xmlDataType="decimal"/>
    </xmlCellPr>
  </singleXmlCell>
  <singleXmlCell id="631" xr6:uid="{00000000-000C-0000-FFFF-FFFF5E020000}" r="T19" connectionId="0">
    <xmlCellPr id="1" xr6:uid="{00000000-0010-0000-5E02-000001000000}" uniqueName="ns2:Team7Diff18">
      <xmlPr mapId="4" xpath="/ns2:ScoreSheet/ns2:Diff1/ns2:Team7Diff18" xmlDataType="decimal"/>
    </xmlCellPr>
  </singleXmlCell>
  <singleXmlCell id="632" xr6:uid="{00000000-000C-0000-FFFF-FFFF5F020000}" r="U19" connectionId="0">
    <xmlCellPr id="1" xr6:uid="{00000000-0010-0000-5F02-000001000000}" uniqueName="ns2:Team7Diff19">
      <xmlPr mapId="4" xpath="/ns2:ScoreSheet/ns2:Diff1/ns2:Team7Diff19" xmlDataType="decimal"/>
    </xmlCellPr>
  </singleXmlCell>
  <singleXmlCell id="633" xr6:uid="{00000000-000C-0000-FFFF-FFFF60020000}" r="V19" connectionId="0">
    <xmlCellPr id="1" xr6:uid="{00000000-0010-0000-6002-000001000000}" uniqueName="ns2:Team7Diff20">
      <xmlPr mapId="4" xpath="/ns2:ScoreSheet/ns2:Diff1/ns2:Team7Diff20" xmlDataType="decimal"/>
    </xmlCellPr>
  </singleXmlCell>
  <singleXmlCell id="634" xr6:uid="{00000000-000C-0000-FFFF-FFFF61020000}" r="C18" connectionId="0">
    <xmlCellPr id="1" xr6:uid="{00000000-0010-0000-6102-000001000000}" uniqueName="ns2:Team7Consec1">
      <xmlPr mapId="4" xpath="/ns2:ScoreSheet/ns2:Diff1/ns2:Team7Consec1" xmlDataType="string"/>
    </xmlCellPr>
  </singleXmlCell>
  <singleXmlCell id="635" xr6:uid="{00000000-000C-0000-FFFF-FFFF62020000}" r="D18" connectionId="0">
    <xmlCellPr id="1" xr6:uid="{00000000-0010-0000-6202-000001000000}" uniqueName="ns2:Team7Consec2">
      <xmlPr mapId="4" xpath="/ns2:ScoreSheet/ns2:Diff1/ns2:Team7Consec2" xmlDataType="string"/>
    </xmlCellPr>
  </singleXmlCell>
  <singleXmlCell id="636" xr6:uid="{00000000-000C-0000-FFFF-FFFF63020000}" r="E18" connectionId="0">
    <xmlCellPr id="1" xr6:uid="{00000000-0010-0000-6302-000001000000}" uniqueName="ns2:Team7Consec3">
      <xmlPr mapId="4" xpath="/ns2:ScoreSheet/ns2:Diff1/ns2:Team7Consec3" xmlDataType="string"/>
    </xmlCellPr>
  </singleXmlCell>
  <singleXmlCell id="637" xr6:uid="{00000000-000C-0000-FFFF-FFFF64020000}" r="F18" connectionId="0">
    <xmlCellPr id="1" xr6:uid="{00000000-0010-0000-6402-000001000000}" uniqueName="ns2:Team7Consec4">
      <xmlPr mapId="4" xpath="/ns2:ScoreSheet/ns2:Diff1/ns2:Team7Consec4" xmlDataType="string"/>
    </xmlCellPr>
  </singleXmlCell>
  <singleXmlCell id="638" xr6:uid="{00000000-000C-0000-FFFF-FFFF65020000}" r="G18" connectionId="0">
    <xmlCellPr id="1" xr6:uid="{00000000-0010-0000-6502-000001000000}" uniqueName="ns2:Team7Consec5">
      <xmlPr mapId="4" xpath="/ns2:ScoreSheet/ns2:Diff1/ns2:Team7Consec5" xmlDataType="string"/>
    </xmlCellPr>
  </singleXmlCell>
  <singleXmlCell id="639" xr6:uid="{00000000-000C-0000-FFFF-FFFF66020000}" r="H18" connectionId="0">
    <xmlCellPr id="1" xr6:uid="{00000000-0010-0000-6602-000001000000}" uniqueName="ns2:Team7Consec6">
      <xmlPr mapId="4" xpath="/ns2:ScoreSheet/ns2:Diff1/ns2:Team7Consec6" xmlDataType="string"/>
    </xmlCellPr>
  </singleXmlCell>
  <singleXmlCell id="640" xr6:uid="{00000000-000C-0000-FFFF-FFFF67020000}" r="I18" connectionId="0">
    <xmlCellPr id="1" xr6:uid="{00000000-0010-0000-6702-000001000000}" uniqueName="ns2:Team7Consec7">
      <xmlPr mapId="4" xpath="/ns2:ScoreSheet/ns2:Diff1/ns2:Team7Consec7" xmlDataType="string"/>
    </xmlCellPr>
  </singleXmlCell>
  <singleXmlCell id="641" xr6:uid="{00000000-000C-0000-FFFF-FFFF68020000}" r="J18" connectionId="0">
    <xmlCellPr id="1" xr6:uid="{00000000-0010-0000-6802-000001000000}" uniqueName="ns2:Team7Consec8">
      <xmlPr mapId="4" xpath="/ns2:ScoreSheet/ns2:Diff1/ns2:Team7Consec8" xmlDataType="string"/>
    </xmlCellPr>
  </singleXmlCell>
  <singleXmlCell id="642" xr6:uid="{00000000-000C-0000-FFFF-FFFF69020000}" r="K18" connectionId="0">
    <xmlCellPr id="1" xr6:uid="{00000000-0010-0000-6902-000001000000}" uniqueName="ns2:Team7Consec9">
      <xmlPr mapId="4" xpath="/ns2:ScoreSheet/ns2:Diff1/ns2:Team7Consec9" xmlDataType="string"/>
    </xmlCellPr>
  </singleXmlCell>
  <singleXmlCell id="643" xr6:uid="{00000000-000C-0000-FFFF-FFFF6A020000}" r="L18" connectionId="0">
    <xmlCellPr id="1" xr6:uid="{00000000-0010-0000-6A02-000001000000}" uniqueName="ns2:Team7Consec10">
      <xmlPr mapId="4" xpath="/ns2:ScoreSheet/ns2:Diff1/ns2:Team7Consec10" xmlDataType="string"/>
    </xmlCellPr>
  </singleXmlCell>
  <singleXmlCell id="644" xr6:uid="{00000000-000C-0000-FFFF-FFFF6B020000}" r="M18" connectionId="0">
    <xmlCellPr id="1" xr6:uid="{00000000-0010-0000-6B02-000001000000}" uniqueName="ns2:Team7Consec11">
      <xmlPr mapId="4" xpath="/ns2:ScoreSheet/ns2:Diff1/ns2:Team7Consec11" xmlDataType="string"/>
    </xmlCellPr>
  </singleXmlCell>
  <singleXmlCell id="645" xr6:uid="{00000000-000C-0000-FFFF-FFFF6C020000}" r="N18" connectionId="0">
    <xmlCellPr id="1" xr6:uid="{00000000-0010-0000-6C02-000001000000}" uniqueName="ns2:Team7Consec12">
      <xmlPr mapId="4" xpath="/ns2:ScoreSheet/ns2:Diff1/ns2:Team7Consec12" xmlDataType="string"/>
    </xmlCellPr>
  </singleXmlCell>
  <singleXmlCell id="646" xr6:uid="{00000000-000C-0000-FFFF-FFFF6D020000}" r="O18" connectionId="0">
    <xmlCellPr id="1" xr6:uid="{00000000-0010-0000-6D02-000001000000}" uniqueName="ns2:Team7Consec13">
      <xmlPr mapId="4" xpath="/ns2:ScoreSheet/ns2:Diff1/ns2:Team7Consec13" xmlDataType="string"/>
    </xmlCellPr>
  </singleXmlCell>
  <singleXmlCell id="647" xr6:uid="{00000000-000C-0000-FFFF-FFFF6E020000}" r="P18" connectionId="0">
    <xmlCellPr id="1" xr6:uid="{00000000-0010-0000-6E02-000001000000}" uniqueName="ns2:Team7Consec14">
      <xmlPr mapId="4" xpath="/ns2:ScoreSheet/ns2:Diff1/ns2:Team7Consec14" xmlDataType="string"/>
    </xmlCellPr>
  </singleXmlCell>
  <singleXmlCell id="648" xr6:uid="{00000000-000C-0000-FFFF-FFFF6F020000}" r="Q18" connectionId="0">
    <xmlCellPr id="1" xr6:uid="{00000000-0010-0000-6F02-000001000000}" uniqueName="ns2:Team7Consec15">
      <xmlPr mapId="4" xpath="/ns2:ScoreSheet/ns2:Diff1/ns2:Team7Consec15" xmlDataType="string"/>
    </xmlCellPr>
  </singleXmlCell>
  <singleXmlCell id="649" xr6:uid="{00000000-000C-0000-FFFF-FFFF70020000}" r="R18" connectionId="0">
    <xmlCellPr id="1" xr6:uid="{00000000-0010-0000-7002-000001000000}" uniqueName="ns2:Team7Consec16">
      <xmlPr mapId="4" xpath="/ns2:ScoreSheet/ns2:Diff1/ns2:Team7Consec16" xmlDataType="string"/>
    </xmlCellPr>
  </singleXmlCell>
  <singleXmlCell id="650" xr6:uid="{00000000-000C-0000-FFFF-FFFF71020000}" r="S18" connectionId="0">
    <xmlCellPr id="1" xr6:uid="{00000000-0010-0000-7102-000001000000}" uniqueName="ns2:Team7Consec17">
      <xmlPr mapId="4" xpath="/ns2:ScoreSheet/ns2:Diff1/ns2:Team7Consec17" xmlDataType="string"/>
    </xmlCellPr>
  </singleXmlCell>
  <singleXmlCell id="651" xr6:uid="{00000000-000C-0000-FFFF-FFFF72020000}" r="T18" connectionId="0">
    <xmlCellPr id="1" xr6:uid="{00000000-0010-0000-7202-000001000000}" uniqueName="ns2:Team7Consec18">
      <xmlPr mapId="4" xpath="/ns2:ScoreSheet/ns2:Diff1/ns2:Team7Consec18" xmlDataType="string"/>
    </xmlCellPr>
  </singleXmlCell>
  <singleXmlCell id="652" xr6:uid="{00000000-000C-0000-FFFF-FFFF73020000}" r="U18" connectionId="0">
    <xmlCellPr id="1" xr6:uid="{00000000-0010-0000-7302-000001000000}" uniqueName="ns2:Team7Consec19">
      <xmlPr mapId="4" xpath="/ns2:ScoreSheet/ns2:Diff1/ns2:Team7Consec19" xmlDataType="string"/>
    </xmlCellPr>
  </singleXmlCell>
  <singleXmlCell id="653" xr6:uid="{00000000-000C-0000-FFFF-FFFF74020000}" r="V18" connectionId="0">
    <xmlCellPr id="1" xr6:uid="{00000000-0010-0000-7402-000001000000}" uniqueName="ns2:Team7Consec20">
      <xmlPr mapId="4" xpath="/ns2:ScoreSheet/ns2:Diff1/ns2:Team7Consec20" xmlDataType="string"/>
    </xmlCellPr>
  </singleXmlCell>
  <singleXmlCell id="654" xr6:uid="{00000000-000C-0000-FFFF-FFFF75020000}" r="C21" connectionId="0">
    <xmlCellPr id="1" xr6:uid="{00000000-0010-0000-7502-000001000000}" uniqueName="ns2:Team8Diff1">
      <xmlPr mapId="4" xpath="/ns2:ScoreSheet/ns2:Diff1/ns2:Team8Diff1" xmlDataType="decimal"/>
    </xmlCellPr>
  </singleXmlCell>
  <singleXmlCell id="655" xr6:uid="{00000000-000C-0000-FFFF-FFFF76020000}" r="D21" connectionId="0">
    <xmlCellPr id="1" xr6:uid="{00000000-0010-0000-7602-000001000000}" uniqueName="ns2:Team8Diff2">
      <xmlPr mapId="4" xpath="/ns2:ScoreSheet/ns2:Diff1/ns2:Team8Diff2" xmlDataType="decimal"/>
    </xmlCellPr>
  </singleXmlCell>
  <singleXmlCell id="656" xr6:uid="{00000000-000C-0000-FFFF-FFFF77020000}" r="E21" connectionId="0">
    <xmlCellPr id="1" xr6:uid="{00000000-0010-0000-7702-000001000000}" uniqueName="ns2:Team8Diff3">
      <xmlPr mapId="4" xpath="/ns2:ScoreSheet/ns2:Diff1/ns2:Team8Diff3" xmlDataType="decimal"/>
    </xmlCellPr>
  </singleXmlCell>
  <singleXmlCell id="657" xr6:uid="{00000000-000C-0000-FFFF-FFFF78020000}" r="F21" connectionId="0">
    <xmlCellPr id="1" xr6:uid="{00000000-0010-0000-7802-000001000000}" uniqueName="ns2:Team8Diff4">
      <xmlPr mapId="4" xpath="/ns2:ScoreSheet/ns2:Diff1/ns2:Team8Diff4" xmlDataType="decimal"/>
    </xmlCellPr>
  </singleXmlCell>
  <singleXmlCell id="658" xr6:uid="{00000000-000C-0000-FFFF-FFFF79020000}" r="G21" connectionId="0">
    <xmlCellPr id="1" xr6:uid="{00000000-0010-0000-7902-000001000000}" uniqueName="ns2:Team8Diff5">
      <xmlPr mapId="4" xpath="/ns2:ScoreSheet/ns2:Diff1/ns2:Team8Diff5" xmlDataType="decimal"/>
    </xmlCellPr>
  </singleXmlCell>
  <singleXmlCell id="659" xr6:uid="{00000000-000C-0000-FFFF-FFFF7A020000}" r="H21" connectionId="0">
    <xmlCellPr id="1" xr6:uid="{00000000-0010-0000-7A02-000001000000}" uniqueName="ns2:Team8Diff6">
      <xmlPr mapId="4" xpath="/ns2:ScoreSheet/ns2:Diff1/ns2:Team8Diff6" xmlDataType="decimal"/>
    </xmlCellPr>
  </singleXmlCell>
  <singleXmlCell id="660" xr6:uid="{00000000-000C-0000-FFFF-FFFF7B020000}" r="I21" connectionId="0">
    <xmlCellPr id="1" xr6:uid="{00000000-0010-0000-7B02-000001000000}" uniqueName="ns2:Team8Diff7">
      <xmlPr mapId="4" xpath="/ns2:ScoreSheet/ns2:Diff1/ns2:Team8Diff7" xmlDataType="decimal"/>
    </xmlCellPr>
  </singleXmlCell>
  <singleXmlCell id="661" xr6:uid="{00000000-000C-0000-FFFF-FFFF7C020000}" r="J21" connectionId="0">
    <xmlCellPr id="1" xr6:uid="{00000000-0010-0000-7C02-000001000000}" uniqueName="ns2:Team8Diff8">
      <xmlPr mapId="4" xpath="/ns2:ScoreSheet/ns2:Diff1/ns2:Team8Diff8" xmlDataType="decimal"/>
    </xmlCellPr>
  </singleXmlCell>
  <singleXmlCell id="662" xr6:uid="{00000000-000C-0000-FFFF-FFFF7D020000}" r="K21" connectionId="0">
    <xmlCellPr id="1" xr6:uid="{00000000-0010-0000-7D02-000001000000}" uniqueName="ns2:Team8Diff9">
      <xmlPr mapId="4" xpath="/ns2:ScoreSheet/ns2:Diff1/ns2:Team8Diff9" xmlDataType="decimal"/>
    </xmlCellPr>
  </singleXmlCell>
  <singleXmlCell id="663" xr6:uid="{00000000-000C-0000-FFFF-FFFF7E020000}" r="L21" connectionId="0">
    <xmlCellPr id="1" xr6:uid="{00000000-0010-0000-7E02-000001000000}" uniqueName="ns2:Team8Diff10">
      <xmlPr mapId="4" xpath="/ns2:ScoreSheet/ns2:Diff1/ns2:Team8Diff10" xmlDataType="decimal"/>
    </xmlCellPr>
  </singleXmlCell>
  <singleXmlCell id="664" xr6:uid="{00000000-000C-0000-FFFF-FFFF7F020000}" r="M21" connectionId="0">
    <xmlCellPr id="1" xr6:uid="{00000000-0010-0000-7F02-000001000000}" uniqueName="ns2:Team8Diff11">
      <xmlPr mapId="4" xpath="/ns2:ScoreSheet/ns2:Diff1/ns2:Team8Diff11" xmlDataType="decimal"/>
    </xmlCellPr>
  </singleXmlCell>
  <singleXmlCell id="665" xr6:uid="{00000000-000C-0000-FFFF-FFFF80020000}" r="N21" connectionId="0">
    <xmlCellPr id="1" xr6:uid="{00000000-0010-0000-8002-000001000000}" uniqueName="ns2:Team8Diff12">
      <xmlPr mapId="4" xpath="/ns2:ScoreSheet/ns2:Diff1/ns2:Team8Diff12" xmlDataType="decimal"/>
    </xmlCellPr>
  </singleXmlCell>
  <singleXmlCell id="666" xr6:uid="{00000000-000C-0000-FFFF-FFFF81020000}" r="O21" connectionId="0">
    <xmlCellPr id="1" xr6:uid="{00000000-0010-0000-8102-000001000000}" uniqueName="ns2:Team8Diff13">
      <xmlPr mapId="4" xpath="/ns2:ScoreSheet/ns2:Diff1/ns2:Team8Diff13" xmlDataType="decimal"/>
    </xmlCellPr>
  </singleXmlCell>
  <singleXmlCell id="667" xr6:uid="{00000000-000C-0000-FFFF-FFFF82020000}" r="P21" connectionId="0">
    <xmlCellPr id="1" xr6:uid="{00000000-0010-0000-8202-000001000000}" uniqueName="ns2:Team8Diff14">
      <xmlPr mapId="4" xpath="/ns2:ScoreSheet/ns2:Diff1/ns2:Team8Diff14" xmlDataType="decimal"/>
    </xmlCellPr>
  </singleXmlCell>
  <singleXmlCell id="668" xr6:uid="{00000000-000C-0000-FFFF-FFFF83020000}" r="Q21" connectionId="0">
    <xmlCellPr id="1" xr6:uid="{00000000-0010-0000-8302-000001000000}" uniqueName="ns2:Team8Diff15">
      <xmlPr mapId="4" xpath="/ns2:ScoreSheet/ns2:Diff1/ns2:Team8Diff15" xmlDataType="decimal"/>
    </xmlCellPr>
  </singleXmlCell>
  <singleXmlCell id="669" xr6:uid="{00000000-000C-0000-FFFF-FFFF84020000}" r="R21" connectionId="0">
    <xmlCellPr id="1" xr6:uid="{00000000-0010-0000-8402-000001000000}" uniqueName="ns2:Team8Diff16">
      <xmlPr mapId="4" xpath="/ns2:ScoreSheet/ns2:Diff1/ns2:Team8Diff16" xmlDataType="decimal"/>
    </xmlCellPr>
  </singleXmlCell>
  <singleXmlCell id="670" xr6:uid="{00000000-000C-0000-FFFF-FFFF85020000}" r="S21" connectionId="0">
    <xmlCellPr id="1" xr6:uid="{00000000-0010-0000-8502-000001000000}" uniqueName="ns2:Team8Diff17">
      <xmlPr mapId="4" xpath="/ns2:ScoreSheet/ns2:Diff1/ns2:Team8Diff17" xmlDataType="decimal"/>
    </xmlCellPr>
  </singleXmlCell>
  <singleXmlCell id="671" xr6:uid="{00000000-000C-0000-FFFF-FFFF86020000}" r="T21" connectionId="0">
    <xmlCellPr id="1" xr6:uid="{00000000-0010-0000-8602-000001000000}" uniqueName="ns2:Team8Diff18">
      <xmlPr mapId="4" xpath="/ns2:ScoreSheet/ns2:Diff1/ns2:Team8Diff18" xmlDataType="decimal"/>
    </xmlCellPr>
  </singleXmlCell>
  <singleXmlCell id="672" xr6:uid="{00000000-000C-0000-FFFF-FFFF87020000}" r="U21" connectionId="0">
    <xmlCellPr id="1" xr6:uid="{00000000-0010-0000-8702-000001000000}" uniqueName="ns2:Team8Diff19">
      <xmlPr mapId="4" xpath="/ns2:ScoreSheet/ns2:Diff1/ns2:Team8Diff19" xmlDataType="decimal"/>
    </xmlCellPr>
  </singleXmlCell>
  <singleXmlCell id="673" xr6:uid="{00000000-000C-0000-FFFF-FFFF88020000}" r="V21" connectionId="0">
    <xmlCellPr id="1" xr6:uid="{00000000-0010-0000-8802-000001000000}" uniqueName="ns2:Team8Diff20">
      <xmlPr mapId="4" xpath="/ns2:ScoreSheet/ns2:Diff1/ns2:Team8Diff20" xmlDataType="decimal"/>
    </xmlCellPr>
  </singleXmlCell>
  <singleXmlCell id="674" xr6:uid="{00000000-000C-0000-FFFF-FFFF89020000}" r="C20" connectionId="0">
    <xmlCellPr id="1" xr6:uid="{00000000-0010-0000-8902-000001000000}" uniqueName="ns2:Team8Consec1">
      <xmlPr mapId="4" xpath="/ns2:ScoreSheet/ns2:Diff1/ns2:Team8Consec1" xmlDataType="string"/>
    </xmlCellPr>
  </singleXmlCell>
  <singleXmlCell id="675" xr6:uid="{00000000-000C-0000-FFFF-FFFF8A020000}" r="D20" connectionId="0">
    <xmlCellPr id="1" xr6:uid="{00000000-0010-0000-8A02-000001000000}" uniqueName="ns2:Team8Consec2">
      <xmlPr mapId="4" xpath="/ns2:ScoreSheet/ns2:Diff1/ns2:Team8Consec2" xmlDataType="string"/>
    </xmlCellPr>
  </singleXmlCell>
  <singleXmlCell id="676" xr6:uid="{00000000-000C-0000-FFFF-FFFF8B020000}" r="E20" connectionId="0">
    <xmlCellPr id="1" xr6:uid="{00000000-0010-0000-8B02-000001000000}" uniqueName="ns2:Team8Consec3">
      <xmlPr mapId="4" xpath="/ns2:ScoreSheet/ns2:Diff1/ns2:Team8Consec3" xmlDataType="string"/>
    </xmlCellPr>
  </singleXmlCell>
  <singleXmlCell id="677" xr6:uid="{00000000-000C-0000-FFFF-FFFF8C020000}" r="F20" connectionId="0">
    <xmlCellPr id="1" xr6:uid="{00000000-0010-0000-8C02-000001000000}" uniqueName="ns2:Team8Consec4">
      <xmlPr mapId="4" xpath="/ns2:ScoreSheet/ns2:Diff1/ns2:Team8Consec4" xmlDataType="string"/>
    </xmlCellPr>
  </singleXmlCell>
  <singleXmlCell id="678" xr6:uid="{00000000-000C-0000-FFFF-FFFF8D020000}" r="G20" connectionId="0">
    <xmlCellPr id="1" xr6:uid="{00000000-0010-0000-8D02-000001000000}" uniqueName="ns2:Team8Consec5">
      <xmlPr mapId="4" xpath="/ns2:ScoreSheet/ns2:Diff1/ns2:Team8Consec5" xmlDataType="string"/>
    </xmlCellPr>
  </singleXmlCell>
  <singleXmlCell id="679" xr6:uid="{00000000-000C-0000-FFFF-FFFF8E020000}" r="H20" connectionId="0">
    <xmlCellPr id="1" xr6:uid="{00000000-0010-0000-8E02-000001000000}" uniqueName="ns2:Team8Consec6">
      <xmlPr mapId="4" xpath="/ns2:ScoreSheet/ns2:Diff1/ns2:Team8Consec6" xmlDataType="string"/>
    </xmlCellPr>
  </singleXmlCell>
  <singleXmlCell id="680" xr6:uid="{00000000-000C-0000-FFFF-FFFF8F020000}" r="I20" connectionId="0">
    <xmlCellPr id="1" xr6:uid="{00000000-0010-0000-8F02-000001000000}" uniqueName="ns2:Team8Consec7">
      <xmlPr mapId="4" xpath="/ns2:ScoreSheet/ns2:Diff1/ns2:Team8Consec7" xmlDataType="string"/>
    </xmlCellPr>
  </singleXmlCell>
  <singleXmlCell id="681" xr6:uid="{00000000-000C-0000-FFFF-FFFF90020000}" r="J20" connectionId="0">
    <xmlCellPr id="1" xr6:uid="{00000000-0010-0000-9002-000001000000}" uniqueName="ns2:Team8Consec8">
      <xmlPr mapId="4" xpath="/ns2:ScoreSheet/ns2:Diff1/ns2:Team8Consec8" xmlDataType="string"/>
    </xmlCellPr>
  </singleXmlCell>
  <singleXmlCell id="682" xr6:uid="{00000000-000C-0000-FFFF-FFFF91020000}" r="K20" connectionId="0">
    <xmlCellPr id="1" xr6:uid="{00000000-0010-0000-9102-000001000000}" uniqueName="ns2:Team8Consec9">
      <xmlPr mapId="4" xpath="/ns2:ScoreSheet/ns2:Diff1/ns2:Team8Consec9" xmlDataType="string"/>
    </xmlCellPr>
  </singleXmlCell>
  <singleXmlCell id="683" xr6:uid="{00000000-000C-0000-FFFF-FFFF92020000}" r="L20" connectionId="0">
    <xmlCellPr id="1" xr6:uid="{00000000-0010-0000-9202-000001000000}" uniqueName="ns2:Team8Consec10">
      <xmlPr mapId="4" xpath="/ns2:ScoreSheet/ns2:Diff1/ns2:Team8Consec10" xmlDataType="string"/>
    </xmlCellPr>
  </singleXmlCell>
  <singleXmlCell id="684" xr6:uid="{00000000-000C-0000-FFFF-FFFF93020000}" r="M20" connectionId="0">
    <xmlCellPr id="1" xr6:uid="{00000000-0010-0000-9302-000001000000}" uniqueName="ns2:Team8Consec11">
      <xmlPr mapId="4" xpath="/ns2:ScoreSheet/ns2:Diff1/ns2:Team8Consec11" xmlDataType="string"/>
    </xmlCellPr>
  </singleXmlCell>
  <singleXmlCell id="685" xr6:uid="{00000000-000C-0000-FFFF-FFFF94020000}" r="N20" connectionId="0">
    <xmlCellPr id="1" xr6:uid="{00000000-0010-0000-9402-000001000000}" uniqueName="ns2:Team8Consec12">
      <xmlPr mapId="4" xpath="/ns2:ScoreSheet/ns2:Diff1/ns2:Team8Consec12" xmlDataType="string"/>
    </xmlCellPr>
  </singleXmlCell>
  <singleXmlCell id="686" xr6:uid="{00000000-000C-0000-FFFF-FFFF95020000}" r="O20" connectionId="0">
    <xmlCellPr id="1" xr6:uid="{00000000-0010-0000-9502-000001000000}" uniqueName="ns2:Team8Consec13">
      <xmlPr mapId="4" xpath="/ns2:ScoreSheet/ns2:Diff1/ns2:Team8Consec13" xmlDataType="string"/>
    </xmlCellPr>
  </singleXmlCell>
  <singleXmlCell id="687" xr6:uid="{00000000-000C-0000-FFFF-FFFF96020000}" r="P20" connectionId="0">
    <xmlCellPr id="1" xr6:uid="{00000000-0010-0000-9602-000001000000}" uniqueName="ns2:Team8Consec14">
      <xmlPr mapId="4" xpath="/ns2:ScoreSheet/ns2:Diff1/ns2:Team8Consec14" xmlDataType="string"/>
    </xmlCellPr>
  </singleXmlCell>
  <singleXmlCell id="688" xr6:uid="{00000000-000C-0000-FFFF-FFFF97020000}" r="Q20" connectionId="0">
    <xmlCellPr id="1" xr6:uid="{00000000-0010-0000-9702-000001000000}" uniqueName="ns2:Team8Consec15">
      <xmlPr mapId="4" xpath="/ns2:ScoreSheet/ns2:Diff1/ns2:Team8Consec15" xmlDataType="string"/>
    </xmlCellPr>
  </singleXmlCell>
  <singleXmlCell id="689" xr6:uid="{00000000-000C-0000-FFFF-FFFF98020000}" r="R20" connectionId="0">
    <xmlCellPr id="1" xr6:uid="{00000000-0010-0000-9802-000001000000}" uniqueName="ns2:Team8Consec16">
      <xmlPr mapId="4" xpath="/ns2:ScoreSheet/ns2:Diff1/ns2:Team8Consec16" xmlDataType="string"/>
    </xmlCellPr>
  </singleXmlCell>
  <singleXmlCell id="690" xr6:uid="{00000000-000C-0000-FFFF-FFFF99020000}" r="S20" connectionId="0">
    <xmlCellPr id="1" xr6:uid="{00000000-0010-0000-9902-000001000000}" uniqueName="ns2:Team8Consec17">
      <xmlPr mapId="4" xpath="/ns2:ScoreSheet/ns2:Diff1/ns2:Team8Consec17" xmlDataType="string"/>
    </xmlCellPr>
  </singleXmlCell>
  <singleXmlCell id="691" xr6:uid="{00000000-000C-0000-FFFF-FFFF9A020000}" r="T20" connectionId="0">
    <xmlCellPr id="1" xr6:uid="{00000000-0010-0000-9A02-000001000000}" uniqueName="ns2:Team8Consec18">
      <xmlPr mapId="4" xpath="/ns2:ScoreSheet/ns2:Diff1/ns2:Team8Consec18" xmlDataType="string"/>
    </xmlCellPr>
  </singleXmlCell>
  <singleXmlCell id="692" xr6:uid="{00000000-000C-0000-FFFF-FFFF9B020000}" r="U20" connectionId="0">
    <xmlCellPr id="1" xr6:uid="{00000000-0010-0000-9B02-000001000000}" uniqueName="ns2:Team8Consec19">
      <xmlPr mapId="4" xpath="/ns2:ScoreSheet/ns2:Diff1/ns2:Team8Consec19" xmlDataType="string"/>
    </xmlCellPr>
  </singleXmlCell>
  <singleXmlCell id="693" xr6:uid="{00000000-000C-0000-FFFF-FFFF9C020000}" r="V20" connectionId="0">
    <xmlCellPr id="1" xr6:uid="{00000000-0010-0000-9C02-000001000000}" uniqueName="ns2:Team8Consec20">
      <xmlPr mapId="4" xpath="/ns2:ScoreSheet/ns2:Diff1/ns2:Team8Consec20" xmlDataType="string"/>
    </xmlCellPr>
  </singleXmlCell>
  <singleXmlCell id="694" xr6:uid="{00000000-000C-0000-FFFF-FFFF9D020000}" r="C23" connectionId="0">
    <xmlCellPr id="1" xr6:uid="{00000000-0010-0000-9D02-000001000000}" uniqueName="ns2:Team9Diff1">
      <xmlPr mapId="4" xpath="/ns2:ScoreSheet/ns2:Diff1/ns2:Team9Diff1" xmlDataType="decimal"/>
    </xmlCellPr>
  </singleXmlCell>
  <singleXmlCell id="695" xr6:uid="{00000000-000C-0000-FFFF-FFFF9E020000}" r="D23" connectionId="0">
    <xmlCellPr id="1" xr6:uid="{00000000-0010-0000-9E02-000001000000}" uniqueName="ns2:Team9Diff2">
      <xmlPr mapId="4" xpath="/ns2:ScoreSheet/ns2:Diff1/ns2:Team9Diff2" xmlDataType="decimal"/>
    </xmlCellPr>
  </singleXmlCell>
  <singleXmlCell id="696" xr6:uid="{00000000-000C-0000-FFFF-FFFF9F020000}" r="E23" connectionId="0">
    <xmlCellPr id="1" xr6:uid="{00000000-0010-0000-9F02-000001000000}" uniqueName="ns2:Team9Diff3">
      <xmlPr mapId="4" xpath="/ns2:ScoreSheet/ns2:Diff1/ns2:Team9Diff3" xmlDataType="decimal"/>
    </xmlCellPr>
  </singleXmlCell>
  <singleXmlCell id="697" xr6:uid="{00000000-000C-0000-FFFF-FFFFA0020000}" r="F23" connectionId="0">
    <xmlCellPr id="1" xr6:uid="{00000000-0010-0000-A002-000001000000}" uniqueName="ns2:Team9Diff4">
      <xmlPr mapId="4" xpath="/ns2:ScoreSheet/ns2:Diff1/ns2:Team9Diff4" xmlDataType="decimal"/>
    </xmlCellPr>
  </singleXmlCell>
  <singleXmlCell id="698" xr6:uid="{00000000-000C-0000-FFFF-FFFFA1020000}" r="G23" connectionId="0">
    <xmlCellPr id="1" xr6:uid="{00000000-0010-0000-A102-000001000000}" uniqueName="ns2:Team9Diff5">
      <xmlPr mapId="4" xpath="/ns2:ScoreSheet/ns2:Diff1/ns2:Team9Diff5" xmlDataType="decimal"/>
    </xmlCellPr>
  </singleXmlCell>
  <singleXmlCell id="699" xr6:uid="{00000000-000C-0000-FFFF-FFFFA2020000}" r="H23" connectionId="0">
    <xmlCellPr id="1" xr6:uid="{00000000-0010-0000-A202-000001000000}" uniqueName="ns2:Team9Diff6">
      <xmlPr mapId="4" xpath="/ns2:ScoreSheet/ns2:Diff1/ns2:Team9Diff6" xmlDataType="decimal"/>
    </xmlCellPr>
  </singleXmlCell>
  <singleXmlCell id="700" xr6:uid="{00000000-000C-0000-FFFF-FFFFA3020000}" r="I23" connectionId="0">
    <xmlCellPr id="1" xr6:uid="{00000000-0010-0000-A302-000001000000}" uniqueName="ns2:Team9Diff7">
      <xmlPr mapId="4" xpath="/ns2:ScoreSheet/ns2:Diff1/ns2:Team9Diff7" xmlDataType="decimal"/>
    </xmlCellPr>
  </singleXmlCell>
  <singleXmlCell id="701" xr6:uid="{00000000-000C-0000-FFFF-FFFFA4020000}" r="J23" connectionId="0">
    <xmlCellPr id="1" xr6:uid="{00000000-0010-0000-A402-000001000000}" uniqueName="ns2:Team9Diff8">
      <xmlPr mapId="4" xpath="/ns2:ScoreSheet/ns2:Diff1/ns2:Team9Diff8" xmlDataType="decimal"/>
    </xmlCellPr>
  </singleXmlCell>
  <singleXmlCell id="702" xr6:uid="{00000000-000C-0000-FFFF-FFFFA5020000}" r="K23" connectionId="0">
    <xmlCellPr id="1" xr6:uid="{00000000-0010-0000-A502-000001000000}" uniqueName="ns2:Team9Diff9">
      <xmlPr mapId="4" xpath="/ns2:ScoreSheet/ns2:Diff1/ns2:Team9Diff9" xmlDataType="decimal"/>
    </xmlCellPr>
  </singleXmlCell>
  <singleXmlCell id="703" xr6:uid="{00000000-000C-0000-FFFF-FFFFA6020000}" r="L23" connectionId="0">
    <xmlCellPr id="1" xr6:uid="{00000000-0010-0000-A602-000001000000}" uniqueName="ns2:Team9Diff10">
      <xmlPr mapId="4" xpath="/ns2:ScoreSheet/ns2:Diff1/ns2:Team9Diff10" xmlDataType="decimal"/>
    </xmlCellPr>
  </singleXmlCell>
  <singleXmlCell id="704" xr6:uid="{00000000-000C-0000-FFFF-FFFFA7020000}" r="M23" connectionId="0">
    <xmlCellPr id="1" xr6:uid="{00000000-0010-0000-A702-000001000000}" uniqueName="ns2:Team9Diff11">
      <xmlPr mapId="4" xpath="/ns2:ScoreSheet/ns2:Diff1/ns2:Team9Diff11" xmlDataType="decimal"/>
    </xmlCellPr>
  </singleXmlCell>
  <singleXmlCell id="705" xr6:uid="{00000000-000C-0000-FFFF-FFFFA8020000}" r="N23" connectionId="0">
    <xmlCellPr id="1" xr6:uid="{00000000-0010-0000-A802-000001000000}" uniqueName="ns2:Team9Diff12">
      <xmlPr mapId="4" xpath="/ns2:ScoreSheet/ns2:Diff1/ns2:Team9Diff12" xmlDataType="decimal"/>
    </xmlCellPr>
  </singleXmlCell>
  <singleXmlCell id="706" xr6:uid="{00000000-000C-0000-FFFF-FFFFA9020000}" r="O23" connectionId="0">
    <xmlCellPr id="1" xr6:uid="{00000000-0010-0000-A902-000001000000}" uniqueName="ns2:Team9Diff13">
      <xmlPr mapId="4" xpath="/ns2:ScoreSheet/ns2:Diff1/ns2:Team9Diff13" xmlDataType="decimal"/>
    </xmlCellPr>
  </singleXmlCell>
  <singleXmlCell id="707" xr6:uid="{00000000-000C-0000-FFFF-FFFFAA020000}" r="P23" connectionId="0">
    <xmlCellPr id="1" xr6:uid="{00000000-0010-0000-AA02-000001000000}" uniqueName="ns2:Team9Diff14">
      <xmlPr mapId="4" xpath="/ns2:ScoreSheet/ns2:Diff1/ns2:Team9Diff14" xmlDataType="decimal"/>
    </xmlCellPr>
  </singleXmlCell>
  <singleXmlCell id="708" xr6:uid="{00000000-000C-0000-FFFF-FFFFAB020000}" r="Q23" connectionId="0">
    <xmlCellPr id="1" xr6:uid="{00000000-0010-0000-AB02-000001000000}" uniqueName="ns2:Team9Diff15">
      <xmlPr mapId="4" xpath="/ns2:ScoreSheet/ns2:Diff1/ns2:Team9Diff15" xmlDataType="decimal"/>
    </xmlCellPr>
  </singleXmlCell>
  <singleXmlCell id="709" xr6:uid="{00000000-000C-0000-FFFF-FFFFAC020000}" r="R23" connectionId="0">
    <xmlCellPr id="1" xr6:uid="{00000000-0010-0000-AC02-000001000000}" uniqueName="ns2:Team9Diff16">
      <xmlPr mapId="4" xpath="/ns2:ScoreSheet/ns2:Diff1/ns2:Team9Diff16" xmlDataType="decimal"/>
    </xmlCellPr>
  </singleXmlCell>
  <singleXmlCell id="710" xr6:uid="{00000000-000C-0000-FFFF-FFFFAD020000}" r="S23" connectionId="0">
    <xmlCellPr id="1" xr6:uid="{00000000-0010-0000-AD02-000001000000}" uniqueName="ns2:Team9Diff17">
      <xmlPr mapId="4" xpath="/ns2:ScoreSheet/ns2:Diff1/ns2:Team9Diff17" xmlDataType="decimal"/>
    </xmlCellPr>
  </singleXmlCell>
  <singleXmlCell id="711" xr6:uid="{00000000-000C-0000-FFFF-FFFFAE020000}" r="T23" connectionId="0">
    <xmlCellPr id="1" xr6:uid="{00000000-0010-0000-AE02-000001000000}" uniqueName="ns2:Team9Diff18">
      <xmlPr mapId="4" xpath="/ns2:ScoreSheet/ns2:Diff1/ns2:Team9Diff18" xmlDataType="decimal"/>
    </xmlCellPr>
  </singleXmlCell>
  <singleXmlCell id="712" xr6:uid="{00000000-000C-0000-FFFF-FFFFAF020000}" r="U23" connectionId="0">
    <xmlCellPr id="1" xr6:uid="{00000000-0010-0000-AF02-000001000000}" uniqueName="ns2:Team9Diff19">
      <xmlPr mapId="4" xpath="/ns2:ScoreSheet/ns2:Diff1/ns2:Team9Diff19" xmlDataType="decimal"/>
    </xmlCellPr>
  </singleXmlCell>
  <singleXmlCell id="713" xr6:uid="{00000000-000C-0000-FFFF-FFFFB0020000}" r="V23" connectionId="0">
    <xmlCellPr id="1" xr6:uid="{00000000-0010-0000-B002-000001000000}" uniqueName="ns2:Team9Diff20">
      <xmlPr mapId="4" xpath="/ns2:ScoreSheet/ns2:Diff1/ns2:Team9Diff20" xmlDataType="decimal"/>
    </xmlCellPr>
  </singleXmlCell>
  <singleXmlCell id="714" xr6:uid="{00000000-000C-0000-FFFF-FFFFB1020000}" r="C22" connectionId="0">
    <xmlCellPr id="1" xr6:uid="{00000000-0010-0000-B102-000001000000}" uniqueName="ns2:Team9Consec1">
      <xmlPr mapId="4" xpath="/ns2:ScoreSheet/ns2:Diff1/ns2:Team9Consec1" xmlDataType="string"/>
    </xmlCellPr>
  </singleXmlCell>
  <singleXmlCell id="715" xr6:uid="{00000000-000C-0000-FFFF-FFFFB2020000}" r="D22" connectionId="0">
    <xmlCellPr id="1" xr6:uid="{00000000-0010-0000-B202-000001000000}" uniqueName="ns2:Team9Consec2">
      <xmlPr mapId="4" xpath="/ns2:ScoreSheet/ns2:Diff1/ns2:Team9Consec2" xmlDataType="string"/>
    </xmlCellPr>
  </singleXmlCell>
  <singleXmlCell id="716" xr6:uid="{00000000-000C-0000-FFFF-FFFFB3020000}" r="E22" connectionId="0">
    <xmlCellPr id="1" xr6:uid="{00000000-0010-0000-B302-000001000000}" uniqueName="ns2:Team9Consec3">
      <xmlPr mapId="4" xpath="/ns2:ScoreSheet/ns2:Diff1/ns2:Team9Consec3" xmlDataType="string"/>
    </xmlCellPr>
  </singleXmlCell>
  <singleXmlCell id="717" xr6:uid="{00000000-000C-0000-FFFF-FFFFB4020000}" r="F22" connectionId="0">
    <xmlCellPr id="1" xr6:uid="{00000000-0010-0000-B402-000001000000}" uniqueName="ns2:Team9Consec4">
      <xmlPr mapId="4" xpath="/ns2:ScoreSheet/ns2:Diff1/ns2:Team9Consec4" xmlDataType="string"/>
    </xmlCellPr>
  </singleXmlCell>
  <singleXmlCell id="718" xr6:uid="{00000000-000C-0000-FFFF-FFFFB5020000}" r="G22" connectionId="0">
    <xmlCellPr id="1" xr6:uid="{00000000-0010-0000-B502-000001000000}" uniqueName="ns2:Team9Consec5">
      <xmlPr mapId="4" xpath="/ns2:ScoreSheet/ns2:Diff1/ns2:Team9Consec5" xmlDataType="string"/>
    </xmlCellPr>
  </singleXmlCell>
  <singleXmlCell id="719" xr6:uid="{00000000-000C-0000-FFFF-FFFFB6020000}" r="H22" connectionId="0">
    <xmlCellPr id="1" xr6:uid="{00000000-0010-0000-B602-000001000000}" uniqueName="ns2:Team9Consec6">
      <xmlPr mapId="4" xpath="/ns2:ScoreSheet/ns2:Diff1/ns2:Team9Consec6" xmlDataType="string"/>
    </xmlCellPr>
  </singleXmlCell>
  <singleXmlCell id="720" xr6:uid="{00000000-000C-0000-FFFF-FFFFB7020000}" r="I22" connectionId="0">
    <xmlCellPr id="1" xr6:uid="{00000000-0010-0000-B702-000001000000}" uniqueName="ns2:Team9Consec7">
      <xmlPr mapId="4" xpath="/ns2:ScoreSheet/ns2:Diff1/ns2:Team9Consec7" xmlDataType="string"/>
    </xmlCellPr>
  </singleXmlCell>
  <singleXmlCell id="721" xr6:uid="{00000000-000C-0000-FFFF-FFFFB8020000}" r="J22" connectionId="0">
    <xmlCellPr id="1" xr6:uid="{00000000-0010-0000-B802-000001000000}" uniqueName="ns2:Team9Consec8">
      <xmlPr mapId="4" xpath="/ns2:ScoreSheet/ns2:Diff1/ns2:Team9Consec8" xmlDataType="string"/>
    </xmlCellPr>
  </singleXmlCell>
  <singleXmlCell id="722" xr6:uid="{00000000-000C-0000-FFFF-FFFFB9020000}" r="K22" connectionId="0">
    <xmlCellPr id="1" xr6:uid="{00000000-0010-0000-B902-000001000000}" uniqueName="ns2:Team9Consec9">
      <xmlPr mapId="4" xpath="/ns2:ScoreSheet/ns2:Diff1/ns2:Team9Consec9" xmlDataType="string"/>
    </xmlCellPr>
  </singleXmlCell>
  <singleXmlCell id="723" xr6:uid="{00000000-000C-0000-FFFF-FFFFBA020000}" r="L22" connectionId="0">
    <xmlCellPr id="1" xr6:uid="{00000000-0010-0000-BA02-000001000000}" uniqueName="ns2:Team9Consec10">
      <xmlPr mapId="4" xpath="/ns2:ScoreSheet/ns2:Diff1/ns2:Team9Consec10" xmlDataType="string"/>
    </xmlCellPr>
  </singleXmlCell>
  <singleXmlCell id="724" xr6:uid="{00000000-000C-0000-FFFF-FFFFBB020000}" r="M22" connectionId="0">
    <xmlCellPr id="1" xr6:uid="{00000000-0010-0000-BB02-000001000000}" uniqueName="ns2:Team9Consec11">
      <xmlPr mapId="4" xpath="/ns2:ScoreSheet/ns2:Diff1/ns2:Team9Consec11" xmlDataType="string"/>
    </xmlCellPr>
  </singleXmlCell>
  <singleXmlCell id="725" xr6:uid="{00000000-000C-0000-FFFF-FFFFBC020000}" r="N22" connectionId="0">
    <xmlCellPr id="1" xr6:uid="{00000000-0010-0000-BC02-000001000000}" uniqueName="ns2:Team9Consec12">
      <xmlPr mapId="4" xpath="/ns2:ScoreSheet/ns2:Diff1/ns2:Team9Consec12" xmlDataType="string"/>
    </xmlCellPr>
  </singleXmlCell>
  <singleXmlCell id="726" xr6:uid="{00000000-000C-0000-FFFF-FFFFBD020000}" r="O22" connectionId="0">
    <xmlCellPr id="1" xr6:uid="{00000000-0010-0000-BD02-000001000000}" uniqueName="ns2:Team9Consec13">
      <xmlPr mapId="4" xpath="/ns2:ScoreSheet/ns2:Diff1/ns2:Team9Consec13" xmlDataType="string"/>
    </xmlCellPr>
  </singleXmlCell>
  <singleXmlCell id="727" xr6:uid="{00000000-000C-0000-FFFF-FFFFBE020000}" r="P22" connectionId="0">
    <xmlCellPr id="1" xr6:uid="{00000000-0010-0000-BE02-000001000000}" uniqueName="ns2:Team9Consec14">
      <xmlPr mapId="4" xpath="/ns2:ScoreSheet/ns2:Diff1/ns2:Team9Consec14" xmlDataType="string"/>
    </xmlCellPr>
  </singleXmlCell>
  <singleXmlCell id="728" xr6:uid="{00000000-000C-0000-FFFF-FFFFBF020000}" r="Q22" connectionId="0">
    <xmlCellPr id="1" xr6:uid="{00000000-0010-0000-BF02-000001000000}" uniqueName="ns2:Team9Consec15">
      <xmlPr mapId="4" xpath="/ns2:ScoreSheet/ns2:Diff1/ns2:Team9Consec15" xmlDataType="string"/>
    </xmlCellPr>
  </singleXmlCell>
  <singleXmlCell id="729" xr6:uid="{00000000-000C-0000-FFFF-FFFFC0020000}" r="R22" connectionId="0">
    <xmlCellPr id="1" xr6:uid="{00000000-0010-0000-C002-000001000000}" uniqueName="ns2:Team9Consec16">
      <xmlPr mapId="4" xpath="/ns2:ScoreSheet/ns2:Diff1/ns2:Team9Consec16" xmlDataType="string"/>
    </xmlCellPr>
  </singleXmlCell>
  <singleXmlCell id="730" xr6:uid="{00000000-000C-0000-FFFF-FFFFC1020000}" r="S22" connectionId="0">
    <xmlCellPr id="1" xr6:uid="{00000000-0010-0000-C102-000001000000}" uniqueName="ns2:Team9Consec17">
      <xmlPr mapId="4" xpath="/ns2:ScoreSheet/ns2:Diff1/ns2:Team9Consec17" xmlDataType="string"/>
    </xmlCellPr>
  </singleXmlCell>
  <singleXmlCell id="731" xr6:uid="{00000000-000C-0000-FFFF-FFFFC2020000}" r="T22" connectionId="0">
    <xmlCellPr id="1" xr6:uid="{00000000-0010-0000-C202-000001000000}" uniqueName="ns2:Team9Consec18">
      <xmlPr mapId="4" xpath="/ns2:ScoreSheet/ns2:Diff1/ns2:Team9Consec18" xmlDataType="string"/>
    </xmlCellPr>
  </singleXmlCell>
  <singleXmlCell id="732" xr6:uid="{00000000-000C-0000-FFFF-FFFFC3020000}" r="U22" connectionId="0">
    <xmlCellPr id="1" xr6:uid="{00000000-0010-0000-C302-000001000000}" uniqueName="ns2:Team9Consec19">
      <xmlPr mapId="4" xpath="/ns2:ScoreSheet/ns2:Diff1/ns2:Team9Consec19" xmlDataType="string"/>
    </xmlCellPr>
  </singleXmlCell>
  <singleXmlCell id="733" xr6:uid="{00000000-000C-0000-FFFF-FFFFC4020000}" r="V22" connectionId="0">
    <xmlCellPr id="1" xr6:uid="{00000000-0010-0000-C402-000001000000}" uniqueName="ns2:Team9Consec20">
      <xmlPr mapId="4" xpath="/ns2:ScoreSheet/ns2:Diff1/ns2:Team9Consec20" xmlDataType="string"/>
    </xmlCellPr>
  </singleXmlCell>
  <singleXmlCell id="734" xr6:uid="{00000000-000C-0000-FFFF-FFFFC5020000}" r="C25" connectionId="0">
    <xmlCellPr id="1" xr6:uid="{00000000-0010-0000-C502-000001000000}" uniqueName="ns2:Team10Diff1">
      <xmlPr mapId="4" xpath="/ns2:ScoreSheet/ns2:Diff1/ns2:Team10Diff1" xmlDataType="decimal"/>
    </xmlCellPr>
  </singleXmlCell>
  <singleXmlCell id="735" xr6:uid="{00000000-000C-0000-FFFF-FFFFC6020000}" r="D25" connectionId="0">
    <xmlCellPr id="1" xr6:uid="{00000000-0010-0000-C602-000001000000}" uniqueName="ns2:Team10Diff2">
      <xmlPr mapId="4" xpath="/ns2:ScoreSheet/ns2:Diff1/ns2:Team10Diff2" xmlDataType="decimal"/>
    </xmlCellPr>
  </singleXmlCell>
  <singleXmlCell id="736" xr6:uid="{00000000-000C-0000-FFFF-FFFFC7020000}" r="E25" connectionId="0">
    <xmlCellPr id="1" xr6:uid="{00000000-0010-0000-C702-000001000000}" uniqueName="ns2:Team10Diff3">
      <xmlPr mapId="4" xpath="/ns2:ScoreSheet/ns2:Diff1/ns2:Team10Diff3" xmlDataType="decimal"/>
    </xmlCellPr>
  </singleXmlCell>
  <singleXmlCell id="737" xr6:uid="{00000000-000C-0000-FFFF-FFFFC8020000}" r="F25" connectionId="0">
    <xmlCellPr id="1" xr6:uid="{00000000-0010-0000-C802-000001000000}" uniqueName="ns2:Team10Diff4">
      <xmlPr mapId="4" xpath="/ns2:ScoreSheet/ns2:Diff1/ns2:Team10Diff4" xmlDataType="decimal"/>
    </xmlCellPr>
  </singleXmlCell>
  <singleXmlCell id="738" xr6:uid="{00000000-000C-0000-FFFF-FFFFC9020000}" r="G25" connectionId="0">
    <xmlCellPr id="1" xr6:uid="{00000000-0010-0000-C902-000001000000}" uniqueName="ns2:Team10Diff5">
      <xmlPr mapId="4" xpath="/ns2:ScoreSheet/ns2:Diff1/ns2:Team10Diff5" xmlDataType="decimal"/>
    </xmlCellPr>
  </singleXmlCell>
  <singleXmlCell id="739" xr6:uid="{00000000-000C-0000-FFFF-FFFFCA020000}" r="H25" connectionId="0">
    <xmlCellPr id="1" xr6:uid="{00000000-0010-0000-CA02-000001000000}" uniqueName="ns2:Team10Diff6">
      <xmlPr mapId="4" xpath="/ns2:ScoreSheet/ns2:Diff1/ns2:Team10Diff6" xmlDataType="decimal"/>
    </xmlCellPr>
  </singleXmlCell>
  <singleXmlCell id="740" xr6:uid="{00000000-000C-0000-FFFF-FFFFCB020000}" r="I25" connectionId="0">
    <xmlCellPr id="1" xr6:uid="{00000000-0010-0000-CB02-000001000000}" uniqueName="ns2:Team10Diff7">
      <xmlPr mapId="4" xpath="/ns2:ScoreSheet/ns2:Diff1/ns2:Team10Diff7" xmlDataType="decimal"/>
    </xmlCellPr>
  </singleXmlCell>
  <singleXmlCell id="741" xr6:uid="{00000000-000C-0000-FFFF-FFFFCC020000}" r="J25" connectionId="0">
    <xmlCellPr id="1" xr6:uid="{00000000-0010-0000-CC02-000001000000}" uniqueName="ns2:Team10Diff8">
      <xmlPr mapId="4" xpath="/ns2:ScoreSheet/ns2:Diff1/ns2:Team10Diff8" xmlDataType="decimal"/>
    </xmlCellPr>
  </singleXmlCell>
  <singleXmlCell id="742" xr6:uid="{00000000-000C-0000-FFFF-FFFFCD020000}" r="K25" connectionId="0">
    <xmlCellPr id="1" xr6:uid="{00000000-0010-0000-CD02-000001000000}" uniqueName="ns2:Team10Diff9">
      <xmlPr mapId="4" xpath="/ns2:ScoreSheet/ns2:Diff1/ns2:Team10Diff9" xmlDataType="decimal"/>
    </xmlCellPr>
  </singleXmlCell>
  <singleXmlCell id="743" xr6:uid="{00000000-000C-0000-FFFF-FFFFCE020000}" r="L25" connectionId="0">
    <xmlCellPr id="1" xr6:uid="{00000000-0010-0000-CE02-000001000000}" uniqueName="ns2:Team10Diff10">
      <xmlPr mapId="4" xpath="/ns2:ScoreSheet/ns2:Diff1/ns2:Team10Diff10" xmlDataType="decimal"/>
    </xmlCellPr>
  </singleXmlCell>
  <singleXmlCell id="744" xr6:uid="{00000000-000C-0000-FFFF-FFFFCF020000}" r="M25" connectionId="0">
    <xmlCellPr id="1" xr6:uid="{00000000-0010-0000-CF02-000001000000}" uniqueName="ns2:Team10Diff11">
      <xmlPr mapId="4" xpath="/ns2:ScoreSheet/ns2:Diff1/ns2:Team10Diff11" xmlDataType="decimal"/>
    </xmlCellPr>
  </singleXmlCell>
  <singleXmlCell id="745" xr6:uid="{00000000-000C-0000-FFFF-FFFFD0020000}" r="N25" connectionId="0">
    <xmlCellPr id="1" xr6:uid="{00000000-0010-0000-D002-000001000000}" uniqueName="ns2:Team10Diff12">
      <xmlPr mapId="4" xpath="/ns2:ScoreSheet/ns2:Diff1/ns2:Team10Diff12" xmlDataType="decimal"/>
    </xmlCellPr>
  </singleXmlCell>
  <singleXmlCell id="746" xr6:uid="{00000000-000C-0000-FFFF-FFFFD1020000}" r="O25" connectionId="0">
    <xmlCellPr id="1" xr6:uid="{00000000-0010-0000-D102-000001000000}" uniqueName="ns2:Team10Diff13">
      <xmlPr mapId="4" xpath="/ns2:ScoreSheet/ns2:Diff1/ns2:Team10Diff13" xmlDataType="decimal"/>
    </xmlCellPr>
  </singleXmlCell>
  <singleXmlCell id="747" xr6:uid="{00000000-000C-0000-FFFF-FFFFD2020000}" r="P25" connectionId="0">
    <xmlCellPr id="1" xr6:uid="{00000000-0010-0000-D202-000001000000}" uniqueName="ns2:Team10Diff14">
      <xmlPr mapId="4" xpath="/ns2:ScoreSheet/ns2:Diff1/ns2:Team10Diff14" xmlDataType="decimal"/>
    </xmlCellPr>
  </singleXmlCell>
  <singleXmlCell id="748" xr6:uid="{00000000-000C-0000-FFFF-FFFFD3020000}" r="Q25" connectionId="0">
    <xmlCellPr id="1" xr6:uid="{00000000-0010-0000-D302-000001000000}" uniqueName="ns2:Team10Diff15">
      <xmlPr mapId="4" xpath="/ns2:ScoreSheet/ns2:Diff1/ns2:Team10Diff15" xmlDataType="decimal"/>
    </xmlCellPr>
  </singleXmlCell>
  <singleXmlCell id="749" xr6:uid="{00000000-000C-0000-FFFF-FFFFD4020000}" r="R25" connectionId="0">
    <xmlCellPr id="1" xr6:uid="{00000000-0010-0000-D402-000001000000}" uniqueName="ns2:Team10Diff16">
      <xmlPr mapId="4" xpath="/ns2:ScoreSheet/ns2:Diff1/ns2:Team10Diff16" xmlDataType="decimal"/>
    </xmlCellPr>
  </singleXmlCell>
  <singleXmlCell id="750" xr6:uid="{00000000-000C-0000-FFFF-FFFFD5020000}" r="S25" connectionId="0">
    <xmlCellPr id="1" xr6:uid="{00000000-0010-0000-D502-000001000000}" uniqueName="ns2:Team10Diff17">
      <xmlPr mapId="4" xpath="/ns2:ScoreSheet/ns2:Diff1/ns2:Team10Diff17" xmlDataType="decimal"/>
    </xmlCellPr>
  </singleXmlCell>
  <singleXmlCell id="751" xr6:uid="{00000000-000C-0000-FFFF-FFFFD6020000}" r="T25" connectionId="0">
    <xmlCellPr id="1" xr6:uid="{00000000-0010-0000-D602-000001000000}" uniqueName="ns2:Team10Diff18">
      <xmlPr mapId="4" xpath="/ns2:ScoreSheet/ns2:Diff1/ns2:Team10Diff18" xmlDataType="decimal"/>
    </xmlCellPr>
  </singleXmlCell>
  <singleXmlCell id="752" xr6:uid="{00000000-000C-0000-FFFF-FFFFD7020000}" r="U25" connectionId="0">
    <xmlCellPr id="1" xr6:uid="{00000000-0010-0000-D702-000001000000}" uniqueName="ns2:Team10Diff19">
      <xmlPr mapId="4" xpath="/ns2:ScoreSheet/ns2:Diff1/ns2:Team10Diff19" xmlDataType="decimal"/>
    </xmlCellPr>
  </singleXmlCell>
  <singleXmlCell id="753" xr6:uid="{00000000-000C-0000-FFFF-FFFFD8020000}" r="V25" connectionId="0">
    <xmlCellPr id="1" xr6:uid="{00000000-0010-0000-D802-000001000000}" uniqueName="ns2:Team10Diff20">
      <xmlPr mapId="4" xpath="/ns2:ScoreSheet/ns2:Diff1/ns2:Team10Diff20" xmlDataType="decimal"/>
    </xmlCellPr>
  </singleXmlCell>
  <singleXmlCell id="754" xr6:uid="{00000000-000C-0000-FFFF-FFFFD9020000}" r="C24" connectionId="0">
    <xmlCellPr id="1" xr6:uid="{00000000-0010-0000-D902-000001000000}" uniqueName="ns2:Team10Consec1">
      <xmlPr mapId="4" xpath="/ns2:ScoreSheet/ns2:Diff1/ns2:Team10Consec1" xmlDataType="string"/>
    </xmlCellPr>
  </singleXmlCell>
  <singleXmlCell id="755" xr6:uid="{00000000-000C-0000-FFFF-FFFFDA020000}" r="D24" connectionId="0">
    <xmlCellPr id="1" xr6:uid="{00000000-0010-0000-DA02-000001000000}" uniqueName="ns2:Team10Consec2">
      <xmlPr mapId="4" xpath="/ns2:ScoreSheet/ns2:Diff1/ns2:Team10Consec2" xmlDataType="string"/>
    </xmlCellPr>
  </singleXmlCell>
  <singleXmlCell id="756" xr6:uid="{00000000-000C-0000-FFFF-FFFFDB020000}" r="E24" connectionId="0">
    <xmlCellPr id="1" xr6:uid="{00000000-0010-0000-DB02-000001000000}" uniqueName="ns2:Team10Consec3">
      <xmlPr mapId="4" xpath="/ns2:ScoreSheet/ns2:Diff1/ns2:Team10Consec3" xmlDataType="string"/>
    </xmlCellPr>
  </singleXmlCell>
  <singleXmlCell id="757" xr6:uid="{00000000-000C-0000-FFFF-FFFFDC020000}" r="F24" connectionId="0">
    <xmlCellPr id="1" xr6:uid="{00000000-0010-0000-DC02-000001000000}" uniqueName="ns2:Team10Consec4">
      <xmlPr mapId="4" xpath="/ns2:ScoreSheet/ns2:Diff1/ns2:Team10Consec4" xmlDataType="string"/>
    </xmlCellPr>
  </singleXmlCell>
  <singleXmlCell id="758" xr6:uid="{00000000-000C-0000-FFFF-FFFFDD020000}" r="G24" connectionId="0">
    <xmlCellPr id="1" xr6:uid="{00000000-0010-0000-DD02-000001000000}" uniqueName="ns2:Team10Consec5">
      <xmlPr mapId="4" xpath="/ns2:ScoreSheet/ns2:Diff1/ns2:Team10Consec5" xmlDataType="string"/>
    </xmlCellPr>
  </singleXmlCell>
  <singleXmlCell id="759" xr6:uid="{00000000-000C-0000-FFFF-FFFFDE020000}" r="H24" connectionId="0">
    <xmlCellPr id="1" xr6:uid="{00000000-0010-0000-DE02-000001000000}" uniqueName="ns2:Team10Consec6">
      <xmlPr mapId="4" xpath="/ns2:ScoreSheet/ns2:Diff1/ns2:Team10Consec6" xmlDataType="string"/>
    </xmlCellPr>
  </singleXmlCell>
  <singleXmlCell id="760" xr6:uid="{00000000-000C-0000-FFFF-FFFFDF020000}" r="I24" connectionId="0">
    <xmlCellPr id="1" xr6:uid="{00000000-0010-0000-DF02-000001000000}" uniqueName="ns2:Team10Consec7">
      <xmlPr mapId="4" xpath="/ns2:ScoreSheet/ns2:Diff1/ns2:Team10Consec7" xmlDataType="string"/>
    </xmlCellPr>
  </singleXmlCell>
  <singleXmlCell id="761" xr6:uid="{00000000-000C-0000-FFFF-FFFFE0020000}" r="J24" connectionId="0">
    <xmlCellPr id="1" xr6:uid="{00000000-0010-0000-E002-000001000000}" uniqueName="ns2:Team10Consec8">
      <xmlPr mapId="4" xpath="/ns2:ScoreSheet/ns2:Diff1/ns2:Team10Consec8" xmlDataType="string"/>
    </xmlCellPr>
  </singleXmlCell>
  <singleXmlCell id="762" xr6:uid="{00000000-000C-0000-FFFF-FFFFE1020000}" r="K24" connectionId="0">
    <xmlCellPr id="1" xr6:uid="{00000000-0010-0000-E102-000001000000}" uniqueName="ns2:Team10Consec9">
      <xmlPr mapId="4" xpath="/ns2:ScoreSheet/ns2:Diff1/ns2:Team10Consec9" xmlDataType="string"/>
    </xmlCellPr>
  </singleXmlCell>
  <singleXmlCell id="763" xr6:uid="{00000000-000C-0000-FFFF-FFFFE2020000}" r="L24" connectionId="0">
    <xmlCellPr id="1" xr6:uid="{00000000-0010-0000-E202-000001000000}" uniqueName="ns2:Team10Consec10">
      <xmlPr mapId="4" xpath="/ns2:ScoreSheet/ns2:Diff1/ns2:Team10Consec10" xmlDataType="string"/>
    </xmlCellPr>
  </singleXmlCell>
  <singleXmlCell id="764" xr6:uid="{00000000-000C-0000-FFFF-FFFFE3020000}" r="M24" connectionId="0">
    <xmlCellPr id="1" xr6:uid="{00000000-0010-0000-E302-000001000000}" uniqueName="ns2:Team10Consec11">
      <xmlPr mapId="4" xpath="/ns2:ScoreSheet/ns2:Diff1/ns2:Team10Consec11" xmlDataType="string"/>
    </xmlCellPr>
  </singleXmlCell>
  <singleXmlCell id="765" xr6:uid="{00000000-000C-0000-FFFF-FFFFE4020000}" r="N24" connectionId="0">
    <xmlCellPr id="1" xr6:uid="{00000000-0010-0000-E402-000001000000}" uniqueName="ns2:Team10Consec12">
      <xmlPr mapId="4" xpath="/ns2:ScoreSheet/ns2:Diff1/ns2:Team10Consec12" xmlDataType="string"/>
    </xmlCellPr>
  </singleXmlCell>
  <singleXmlCell id="766" xr6:uid="{00000000-000C-0000-FFFF-FFFFE5020000}" r="O24" connectionId="0">
    <xmlCellPr id="1" xr6:uid="{00000000-0010-0000-E502-000001000000}" uniqueName="ns2:Team10Consec13">
      <xmlPr mapId="4" xpath="/ns2:ScoreSheet/ns2:Diff1/ns2:Team10Consec13" xmlDataType="string"/>
    </xmlCellPr>
  </singleXmlCell>
  <singleXmlCell id="767" xr6:uid="{00000000-000C-0000-FFFF-FFFFE6020000}" r="P24" connectionId="0">
    <xmlCellPr id="1" xr6:uid="{00000000-0010-0000-E602-000001000000}" uniqueName="ns2:Team10Consec14">
      <xmlPr mapId="4" xpath="/ns2:ScoreSheet/ns2:Diff1/ns2:Team10Consec14" xmlDataType="string"/>
    </xmlCellPr>
  </singleXmlCell>
  <singleXmlCell id="768" xr6:uid="{00000000-000C-0000-FFFF-FFFFE7020000}" r="Q24" connectionId="0">
    <xmlCellPr id="1" xr6:uid="{00000000-0010-0000-E702-000001000000}" uniqueName="ns2:Team10Consec15">
      <xmlPr mapId="4" xpath="/ns2:ScoreSheet/ns2:Diff1/ns2:Team10Consec15" xmlDataType="string"/>
    </xmlCellPr>
  </singleXmlCell>
  <singleXmlCell id="769" xr6:uid="{00000000-000C-0000-FFFF-FFFFE8020000}" r="R24" connectionId="0">
    <xmlCellPr id="1" xr6:uid="{00000000-0010-0000-E802-000001000000}" uniqueName="ns2:Team10Consec16">
      <xmlPr mapId="4" xpath="/ns2:ScoreSheet/ns2:Diff1/ns2:Team10Consec16" xmlDataType="string"/>
    </xmlCellPr>
  </singleXmlCell>
  <singleXmlCell id="770" xr6:uid="{00000000-000C-0000-FFFF-FFFFE9020000}" r="S24" connectionId="0">
    <xmlCellPr id="1" xr6:uid="{00000000-0010-0000-E902-000001000000}" uniqueName="ns2:Team10Consec17">
      <xmlPr mapId="4" xpath="/ns2:ScoreSheet/ns2:Diff1/ns2:Team10Consec17" xmlDataType="string"/>
    </xmlCellPr>
  </singleXmlCell>
  <singleXmlCell id="771" xr6:uid="{00000000-000C-0000-FFFF-FFFFEA020000}" r="T24" connectionId="0">
    <xmlCellPr id="1" xr6:uid="{00000000-0010-0000-EA02-000001000000}" uniqueName="ns2:Team10Consec18">
      <xmlPr mapId="4" xpath="/ns2:ScoreSheet/ns2:Diff1/ns2:Team10Consec18" xmlDataType="string"/>
    </xmlCellPr>
  </singleXmlCell>
  <singleXmlCell id="772" xr6:uid="{00000000-000C-0000-FFFF-FFFFEB020000}" r="U24" connectionId="0">
    <xmlCellPr id="1" xr6:uid="{00000000-0010-0000-EB02-000001000000}" uniqueName="ns2:Team10Consec19">
      <xmlPr mapId="4" xpath="/ns2:ScoreSheet/ns2:Diff1/ns2:Team10Consec19" xmlDataType="string"/>
    </xmlCellPr>
  </singleXmlCell>
  <singleXmlCell id="773" xr6:uid="{00000000-000C-0000-FFFF-FFFFEC020000}" r="V24" connectionId="0">
    <xmlCellPr id="1" xr6:uid="{00000000-0010-0000-EC02-000001000000}" uniqueName="ns2:Team10Consec20">
      <xmlPr mapId="4" xpath="/ns2:ScoreSheet/ns2:Diff1/ns2:Team10Consec20" xmlDataType="string"/>
    </xmlCellPr>
  </singleXmlCell>
</singleXmlCells>
</file>

<file path=xl/tables/tableSingleCells9.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285" xr6:uid="{00000000-000C-0000-FFFF-FFFFED020000}" r="C7" connectionId="0">
    <xmlCellPr id="1" xr6:uid="{00000000-0010-0000-ED02-000001000000}" uniqueName="ns2:Team1Diff1">
      <xmlPr mapId="4" xpath="/ns2:ScoreSheet/ns2:Diff2/ns2:Team1Diff1" xmlDataType="decimal"/>
    </xmlCellPr>
  </singleXmlCell>
  <singleXmlCell id="286" xr6:uid="{00000000-000C-0000-FFFF-FFFFEE020000}" r="D7" connectionId="0">
    <xmlCellPr id="1" xr6:uid="{00000000-0010-0000-EE02-000001000000}" uniqueName="ns2:Team1Diff2">
      <xmlPr mapId="4" xpath="/ns2:ScoreSheet/ns2:Diff2/ns2:Team1Diff2" xmlDataType="decimal"/>
    </xmlCellPr>
  </singleXmlCell>
  <singleXmlCell id="287" xr6:uid="{00000000-000C-0000-FFFF-FFFFEF020000}" r="E7" connectionId="0">
    <xmlCellPr id="1" xr6:uid="{00000000-0010-0000-EF02-000001000000}" uniqueName="ns2:Team1Diff3">
      <xmlPr mapId="4" xpath="/ns2:ScoreSheet/ns2:Diff2/ns2:Team1Diff3" xmlDataType="decimal"/>
    </xmlCellPr>
  </singleXmlCell>
  <singleXmlCell id="474" xr6:uid="{00000000-000C-0000-FFFF-FFFFF0020000}" r="F7" connectionId="0">
    <xmlCellPr id="1" xr6:uid="{00000000-0010-0000-F002-000001000000}" uniqueName="ns2:Team1Diff4">
      <xmlPr mapId="4" xpath="/ns2:ScoreSheet/ns2:Diff2/ns2:Team1Diff4" xmlDataType="decimal"/>
    </xmlCellPr>
  </singleXmlCell>
  <singleXmlCell id="475" xr6:uid="{00000000-000C-0000-FFFF-FFFFF1020000}" r="G7" connectionId="0">
    <xmlCellPr id="1" xr6:uid="{00000000-0010-0000-F102-000001000000}" uniqueName="ns2:Team1Diff5">
      <xmlPr mapId="4" xpath="/ns2:ScoreSheet/ns2:Diff2/ns2:Team1Diff5" xmlDataType="decimal"/>
    </xmlCellPr>
  </singleXmlCell>
  <singleXmlCell id="476" xr6:uid="{00000000-000C-0000-FFFF-FFFFF2020000}" r="H7" connectionId="0">
    <xmlCellPr id="1" xr6:uid="{00000000-0010-0000-F202-000001000000}" uniqueName="ns2:Team1Diff6">
      <xmlPr mapId="4" xpath="/ns2:ScoreSheet/ns2:Diff2/ns2:Team1Diff6" xmlDataType="decimal"/>
    </xmlCellPr>
  </singleXmlCell>
  <singleXmlCell id="477" xr6:uid="{00000000-000C-0000-FFFF-FFFFF3020000}" r="I7" connectionId="0">
    <xmlCellPr id="1" xr6:uid="{00000000-0010-0000-F302-000001000000}" uniqueName="ns2:Team1Diff7">
      <xmlPr mapId="4" xpath="/ns2:ScoreSheet/ns2:Diff2/ns2:Team1Diff7" xmlDataType="decimal"/>
    </xmlCellPr>
  </singleXmlCell>
  <singleXmlCell id="478" xr6:uid="{00000000-000C-0000-FFFF-FFFFF4020000}" r="J7" connectionId="0">
    <xmlCellPr id="1" xr6:uid="{00000000-0010-0000-F402-000001000000}" uniqueName="ns2:Team1Diff8">
      <xmlPr mapId="4" xpath="/ns2:ScoreSheet/ns2:Diff2/ns2:Team1Diff8" xmlDataType="decimal"/>
    </xmlCellPr>
  </singleXmlCell>
  <singleXmlCell id="479" xr6:uid="{00000000-000C-0000-FFFF-FFFFF5020000}" r="K7" connectionId="0">
    <xmlCellPr id="1" xr6:uid="{00000000-0010-0000-F502-000001000000}" uniqueName="ns2:Team1Diff9">
      <xmlPr mapId="4" xpath="/ns2:ScoreSheet/ns2:Diff2/ns2:Team1Diff9" xmlDataType="decimal"/>
    </xmlCellPr>
  </singleXmlCell>
  <singleXmlCell id="480" xr6:uid="{00000000-000C-0000-FFFF-FFFFF6020000}" r="L7" connectionId="0">
    <xmlCellPr id="1" xr6:uid="{00000000-0010-0000-F602-000001000000}" uniqueName="ns2:Team1Diff10">
      <xmlPr mapId="4" xpath="/ns2:ScoreSheet/ns2:Diff2/ns2:Team1Diff10" xmlDataType="decimal"/>
    </xmlCellPr>
  </singleXmlCell>
  <singleXmlCell id="481" xr6:uid="{00000000-000C-0000-FFFF-FFFFF7020000}" r="M7" connectionId="0">
    <xmlCellPr id="1" xr6:uid="{00000000-0010-0000-F702-000001000000}" uniqueName="ns2:Team1Diff11">
      <xmlPr mapId="4" xpath="/ns2:ScoreSheet/ns2:Diff2/ns2:Team1Diff11" xmlDataType="decimal"/>
    </xmlCellPr>
  </singleXmlCell>
  <singleXmlCell id="482" xr6:uid="{00000000-000C-0000-FFFF-FFFFF8020000}" r="N7" connectionId="0">
    <xmlCellPr id="1" xr6:uid="{00000000-0010-0000-F802-000001000000}" uniqueName="ns2:Team1Diff12">
      <xmlPr mapId="4" xpath="/ns2:ScoreSheet/ns2:Diff2/ns2:Team1Diff12" xmlDataType="decimal"/>
    </xmlCellPr>
  </singleXmlCell>
  <singleXmlCell id="483" xr6:uid="{00000000-000C-0000-FFFF-FFFFF9020000}" r="O7" connectionId="0">
    <xmlCellPr id="1" xr6:uid="{00000000-0010-0000-F902-000001000000}" uniqueName="ns2:Team1Diff13">
      <xmlPr mapId="4" xpath="/ns2:ScoreSheet/ns2:Diff2/ns2:Team1Diff13" xmlDataType="decimal"/>
    </xmlCellPr>
  </singleXmlCell>
  <singleXmlCell id="484" xr6:uid="{00000000-000C-0000-FFFF-FFFFFA020000}" r="P7" connectionId="0">
    <xmlCellPr id="1" xr6:uid="{00000000-0010-0000-FA02-000001000000}" uniqueName="ns2:Team1Diff14">
      <xmlPr mapId="4" xpath="/ns2:ScoreSheet/ns2:Diff2/ns2:Team1Diff14" xmlDataType="decimal"/>
    </xmlCellPr>
  </singleXmlCell>
  <singleXmlCell id="485" xr6:uid="{00000000-000C-0000-FFFF-FFFFFB020000}" r="Q7" connectionId="0">
    <xmlCellPr id="1" xr6:uid="{00000000-0010-0000-FB02-000001000000}" uniqueName="ns2:Team1Diff15">
      <xmlPr mapId="4" xpath="/ns2:ScoreSheet/ns2:Diff2/ns2:Team1Diff15" xmlDataType="decimal"/>
    </xmlCellPr>
  </singleXmlCell>
  <singleXmlCell id="486" xr6:uid="{00000000-000C-0000-FFFF-FFFFFC020000}" r="R7" connectionId="0">
    <xmlCellPr id="1" xr6:uid="{00000000-0010-0000-FC02-000001000000}" uniqueName="ns2:Team1Diff16">
      <xmlPr mapId="4" xpath="/ns2:ScoreSheet/ns2:Diff2/ns2:Team1Diff16" xmlDataType="decimal"/>
    </xmlCellPr>
  </singleXmlCell>
  <singleXmlCell id="487" xr6:uid="{00000000-000C-0000-FFFF-FFFFFD020000}" r="S7" connectionId="0">
    <xmlCellPr id="1" xr6:uid="{00000000-0010-0000-FD02-000001000000}" uniqueName="ns2:Team1Diff17">
      <xmlPr mapId="4" xpath="/ns2:ScoreSheet/ns2:Diff2/ns2:Team1Diff17" xmlDataType="decimal"/>
    </xmlCellPr>
  </singleXmlCell>
  <singleXmlCell id="488" xr6:uid="{00000000-000C-0000-FFFF-FFFFFE020000}" r="T7" connectionId="0">
    <xmlCellPr id="1" xr6:uid="{00000000-0010-0000-FE02-000001000000}" uniqueName="ns2:Team1Diff18">
      <xmlPr mapId="4" xpath="/ns2:ScoreSheet/ns2:Diff2/ns2:Team1Diff18" xmlDataType="decimal"/>
    </xmlCellPr>
  </singleXmlCell>
  <singleXmlCell id="489" xr6:uid="{00000000-000C-0000-FFFF-FFFFFF020000}" r="U7" connectionId="0">
    <xmlCellPr id="1" xr6:uid="{00000000-0010-0000-FF02-000001000000}" uniqueName="ns2:Team1Diff19">
      <xmlPr mapId="4" xpath="/ns2:ScoreSheet/ns2:Diff2/ns2:Team1Diff19" xmlDataType="decimal"/>
    </xmlCellPr>
  </singleXmlCell>
  <singleXmlCell id="490" xr6:uid="{00000000-000C-0000-FFFF-FFFF00030000}" r="V7" connectionId="0">
    <xmlCellPr id="1" xr6:uid="{00000000-0010-0000-0003-000001000000}" uniqueName="ns2:Team1Diff20">
      <xmlPr mapId="4" xpath="/ns2:ScoreSheet/ns2:Diff2/ns2:Team1Diff20" xmlDataType="decimal"/>
    </xmlCellPr>
  </singleXmlCell>
  <singleXmlCell id="491" xr6:uid="{00000000-000C-0000-FFFF-FFFF01030000}" r="C6" connectionId="0">
    <xmlCellPr id="1" xr6:uid="{00000000-0010-0000-0103-000001000000}" uniqueName="ns2:Team1Consec1">
      <xmlPr mapId="4" xpath="/ns2:ScoreSheet/ns2:Diff2/ns2:Team1Consec1" xmlDataType="string"/>
    </xmlCellPr>
  </singleXmlCell>
  <singleXmlCell id="492" xr6:uid="{00000000-000C-0000-FFFF-FFFF02030000}" r="D6" connectionId="0">
    <xmlCellPr id="1" xr6:uid="{00000000-0010-0000-0203-000001000000}" uniqueName="ns2:Team1Consec2">
      <xmlPr mapId="4" xpath="/ns2:ScoreSheet/ns2:Diff2/ns2:Team1Consec2" xmlDataType="string"/>
    </xmlCellPr>
  </singleXmlCell>
  <singleXmlCell id="493" xr6:uid="{00000000-000C-0000-FFFF-FFFF03030000}" r="E6" connectionId="0">
    <xmlCellPr id="1" xr6:uid="{00000000-0010-0000-0303-000001000000}" uniqueName="ns2:Team1Consec3">
      <xmlPr mapId="4" xpath="/ns2:ScoreSheet/ns2:Diff2/ns2:Team1Consec3" xmlDataType="string"/>
    </xmlCellPr>
  </singleXmlCell>
  <singleXmlCell id="774" xr6:uid="{00000000-000C-0000-FFFF-FFFF04030000}" r="F6" connectionId="0">
    <xmlCellPr id="1" xr6:uid="{00000000-0010-0000-0403-000001000000}" uniqueName="ns2:Team1Consec4">
      <xmlPr mapId="4" xpath="/ns2:ScoreSheet/ns2:Diff2/ns2:Team1Consec4" xmlDataType="string"/>
    </xmlCellPr>
  </singleXmlCell>
  <singleXmlCell id="775" xr6:uid="{00000000-000C-0000-FFFF-FFFF05030000}" r="G6" connectionId="0">
    <xmlCellPr id="1" xr6:uid="{00000000-0010-0000-0503-000001000000}" uniqueName="ns2:Team1Consec5">
      <xmlPr mapId="4" xpath="/ns2:ScoreSheet/ns2:Diff2/ns2:Team1Consec5" xmlDataType="string"/>
    </xmlCellPr>
  </singleXmlCell>
  <singleXmlCell id="776" xr6:uid="{00000000-000C-0000-FFFF-FFFF06030000}" r="H6" connectionId="0">
    <xmlCellPr id="1" xr6:uid="{00000000-0010-0000-0603-000001000000}" uniqueName="ns2:Team1Consec6">
      <xmlPr mapId="4" xpath="/ns2:ScoreSheet/ns2:Diff2/ns2:Team1Consec6" xmlDataType="string"/>
    </xmlCellPr>
  </singleXmlCell>
  <singleXmlCell id="777" xr6:uid="{00000000-000C-0000-FFFF-FFFF07030000}" r="I6" connectionId="0">
    <xmlCellPr id="1" xr6:uid="{00000000-0010-0000-0703-000001000000}" uniqueName="ns2:Team1Consec7">
      <xmlPr mapId="4" xpath="/ns2:ScoreSheet/ns2:Diff2/ns2:Team1Consec7" xmlDataType="string"/>
    </xmlCellPr>
  </singleXmlCell>
  <singleXmlCell id="778" xr6:uid="{00000000-000C-0000-FFFF-FFFF08030000}" r="J6" connectionId="0">
    <xmlCellPr id="1" xr6:uid="{00000000-0010-0000-0803-000001000000}" uniqueName="ns2:Team1Consec8">
      <xmlPr mapId="4" xpath="/ns2:ScoreSheet/ns2:Diff2/ns2:Team1Consec8" xmlDataType="string"/>
    </xmlCellPr>
  </singleXmlCell>
  <singleXmlCell id="779" xr6:uid="{00000000-000C-0000-FFFF-FFFF09030000}" r="K6" connectionId="0">
    <xmlCellPr id="1" xr6:uid="{00000000-0010-0000-0903-000001000000}" uniqueName="ns2:Team1Consec9">
      <xmlPr mapId="4" xpath="/ns2:ScoreSheet/ns2:Diff2/ns2:Team1Consec9" xmlDataType="string"/>
    </xmlCellPr>
  </singleXmlCell>
  <singleXmlCell id="780" xr6:uid="{00000000-000C-0000-FFFF-FFFF0A030000}" r="L6" connectionId="0">
    <xmlCellPr id="1" xr6:uid="{00000000-0010-0000-0A03-000001000000}" uniqueName="ns2:Team1Consec10">
      <xmlPr mapId="4" xpath="/ns2:ScoreSheet/ns2:Diff2/ns2:Team1Consec10" xmlDataType="string"/>
    </xmlCellPr>
  </singleXmlCell>
  <singleXmlCell id="781" xr6:uid="{00000000-000C-0000-FFFF-FFFF0B030000}" r="M6" connectionId="0">
    <xmlCellPr id="1" xr6:uid="{00000000-0010-0000-0B03-000001000000}" uniqueName="ns2:Team1Consec11">
      <xmlPr mapId="4" xpath="/ns2:ScoreSheet/ns2:Diff2/ns2:Team1Consec11" xmlDataType="string"/>
    </xmlCellPr>
  </singleXmlCell>
  <singleXmlCell id="782" xr6:uid="{00000000-000C-0000-FFFF-FFFF0C030000}" r="N6" connectionId="0">
    <xmlCellPr id="1" xr6:uid="{00000000-0010-0000-0C03-000001000000}" uniqueName="ns2:Team1Consec12">
      <xmlPr mapId="4" xpath="/ns2:ScoreSheet/ns2:Diff2/ns2:Team1Consec12" xmlDataType="string"/>
    </xmlCellPr>
  </singleXmlCell>
  <singleXmlCell id="783" xr6:uid="{00000000-000C-0000-FFFF-FFFF0D030000}" r="O6" connectionId="0">
    <xmlCellPr id="1" xr6:uid="{00000000-0010-0000-0D03-000001000000}" uniqueName="ns2:Team1Consec13">
      <xmlPr mapId="4" xpath="/ns2:ScoreSheet/ns2:Diff2/ns2:Team1Consec13" xmlDataType="string"/>
    </xmlCellPr>
  </singleXmlCell>
  <singleXmlCell id="784" xr6:uid="{00000000-000C-0000-FFFF-FFFF0E030000}" r="P6" connectionId="0">
    <xmlCellPr id="1" xr6:uid="{00000000-0010-0000-0E03-000001000000}" uniqueName="ns2:Team1Consec14">
      <xmlPr mapId="4" xpath="/ns2:ScoreSheet/ns2:Diff2/ns2:Team1Consec14" xmlDataType="string"/>
    </xmlCellPr>
  </singleXmlCell>
  <singleXmlCell id="785" xr6:uid="{00000000-000C-0000-FFFF-FFFF0F030000}" r="Q6" connectionId="0">
    <xmlCellPr id="1" xr6:uid="{00000000-0010-0000-0F03-000001000000}" uniqueName="ns2:Team1Consec15">
      <xmlPr mapId="4" xpath="/ns2:ScoreSheet/ns2:Diff2/ns2:Team1Consec15" xmlDataType="string"/>
    </xmlCellPr>
  </singleXmlCell>
  <singleXmlCell id="786" xr6:uid="{00000000-000C-0000-FFFF-FFFF10030000}" r="R6" connectionId="0">
    <xmlCellPr id="1" xr6:uid="{00000000-0010-0000-1003-000001000000}" uniqueName="ns2:Team1Consec16">
      <xmlPr mapId="4" xpath="/ns2:ScoreSheet/ns2:Diff2/ns2:Team1Consec16" xmlDataType="string"/>
    </xmlCellPr>
  </singleXmlCell>
  <singleXmlCell id="787" xr6:uid="{00000000-000C-0000-FFFF-FFFF11030000}" r="S6" connectionId="0">
    <xmlCellPr id="1" xr6:uid="{00000000-0010-0000-1103-000001000000}" uniqueName="ns2:Team1Consec17">
      <xmlPr mapId="4" xpath="/ns2:ScoreSheet/ns2:Diff2/ns2:Team1Consec17" xmlDataType="string"/>
    </xmlCellPr>
  </singleXmlCell>
  <singleXmlCell id="788" xr6:uid="{00000000-000C-0000-FFFF-FFFF12030000}" r="T6" connectionId="0">
    <xmlCellPr id="1" xr6:uid="{00000000-0010-0000-1203-000001000000}" uniqueName="ns2:Team1Consec18">
      <xmlPr mapId="4" xpath="/ns2:ScoreSheet/ns2:Diff2/ns2:Team1Consec18" xmlDataType="string"/>
    </xmlCellPr>
  </singleXmlCell>
  <singleXmlCell id="789" xr6:uid="{00000000-000C-0000-FFFF-FFFF13030000}" r="U6" connectionId="0">
    <xmlCellPr id="1" xr6:uid="{00000000-0010-0000-1303-000001000000}" uniqueName="ns2:Team1Consec19">
      <xmlPr mapId="4" xpath="/ns2:ScoreSheet/ns2:Diff2/ns2:Team1Consec19" xmlDataType="string"/>
    </xmlCellPr>
  </singleXmlCell>
  <singleXmlCell id="790" xr6:uid="{00000000-000C-0000-FFFF-FFFF14030000}" r="V6" connectionId="0">
    <xmlCellPr id="1" xr6:uid="{00000000-0010-0000-1403-000001000000}" uniqueName="ns2:Team1Consec20">
      <xmlPr mapId="4" xpath="/ns2:ScoreSheet/ns2:Diff2/ns2:Team1Consec20" xmlDataType="string"/>
    </xmlCellPr>
  </singleXmlCell>
  <singleXmlCell id="791" xr6:uid="{00000000-000C-0000-FFFF-FFFF15030000}" r="C9" connectionId="0">
    <xmlCellPr id="1" xr6:uid="{00000000-0010-0000-1503-000001000000}" uniqueName="ns2:Team2Diff1">
      <xmlPr mapId="4" xpath="/ns2:ScoreSheet/ns2:Diff2/ns2:Team2Diff1" xmlDataType="decimal"/>
    </xmlCellPr>
  </singleXmlCell>
  <singleXmlCell id="792" xr6:uid="{00000000-000C-0000-FFFF-FFFF16030000}" r="D9" connectionId="0">
    <xmlCellPr id="1" xr6:uid="{00000000-0010-0000-1603-000001000000}" uniqueName="ns2:Team2Diff2">
      <xmlPr mapId="4" xpath="/ns2:ScoreSheet/ns2:Diff2/ns2:Team2Diff2" xmlDataType="decimal"/>
    </xmlCellPr>
  </singleXmlCell>
  <singleXmlCell id="793" xr6:uid="{00000000-000C-0000-FFFF-FFFF17030000}" r="E9" connectionId="0">
    <xmlCellPr id="1" xr6:uid="{00000000-0010-0000-1703-000001000000}" uniqueName="ns2:Team2Diff3">
      <xmlPr mapId="4" xpath="/ns2:ScoreSheet/ns2:Diff2/ns2:Team2Diff3" xmlDataType="decimal"/>
    </xmlCellPr>
  </singleXmlCell>
  <singleXmlCell id="794" xr6:uid="{00000000-000C-0000-FFFF-FFFF18030000}" r="F9" connectionId="0">
    <xmlCellPr id="1" xr6:uid="{00000000-0010-0000-1803-000001000000}" uniqueName="ns2:Team2Diff4">
      <xmlPr mapId="4" xpath="/ns2:ScoreSheet/ns2:Diff2/ns2:Team2Diff4" xmlDataType="decimal"/>
    </xmlCellPr>
  </singleXmlCell>
  <singleXmlCell id="795" xr6:uid="{00000000-000C-0000-FFFF-FFFF19030000}" r="G9" connectionId="0">
    <xmlCellPr id="1" xr6:uid="{00000000-0010-0000-1903-000001000000}" uniqueName="ns2:Team2Diff5">
      <xmlPr mapId="4" xpath="/ns2:ScoreSheet/ns2:Diff2/ns2:Team2Diff5" xmlDataType="decimal"/>
    </xmlCellPr>
  </singleXmlCell>
  <singleXmlCell id="796" xr6:uid="{00000000-000C-0000-FFFF-FFFF1A030000}" r="H9" connectionId="0">
    <xmlCellPr id="1" xr6:uid="{00000000-0010-0000-1A03-000001000000}" uniqueName="ns2:Team2Diff6">
      <xmlPr mapId="4" xpath="/ns2:ScoreSheet/ns2:Diff2/ns2:Team2Diff6" xmlDataType="decimal"/>
    </xmlCellPr>
  </singleXmlCell>
  <singleXmlCell id="797" xr6:uid="{00000000-000C-0000-FFFF-FFFF1B030000}" r="I9" connectionId="0">
    <xmlCellPr id="1" xr6:uid="{00000000-0010-0000-1B03-000001000000}" uniqueName="ns2:Team2Diff7">
      <xmlPr mapId="4" xpath="/ns2:ScoreSheet/ns2:Diff2/ns2:Team2Diff7" xmlDataType="decimal"/>
    </xmlCellPr>
  </singleXmlCell>
  <singleXmlCell id="798" xr6:uid="{00000000-000C-0000-FFFF-FFFF1C030000}" r="J9" connectionId="0">
    <xmlCellPr id="1" xr6:uid="{00000000-0010-0000-1C03-000001000000}" uniqueName="ns2:Team2Diff8">
      <xmlPr mapId="4" xpath="/ns2:ScoreSheet/ns2:Diff2/ns2:Team2Diff8" xmlDataType="decimal"/>
    </xmlCellPr>
  </singleXmlCell>
  <singleXmlCell id="799" xr6:uid="{00000000-000C-0000-FFFF-FFFF1D030000}" r="K9" connectionId="0">
    <xmlCellPr id="1" xr6:uid="{00000000-0010-0000-1D03-000001000000}" uniqueName="ns2:Team2Diff9">
      <xmlPr mapId="4" xpath="/ns2:ScoreSheet/ns2:Diff2/ns2:Team2Diff9" xmlDataType="decimal"/>
    </xmlCellPr>
  </singleXmlCell>
  <singleXmlCell id="800" xr6:uid="{00000000-000C-0000-FFFF-FFFF1E030000}" r="L9" connectionId="0">
    <xmlCellPr id="1" xr6:uid="{00000000-0010-0000-1E03-000001000000}" uniqueName="ns2:Team2Diff10">
      <xmlPr mapId="4" xpath="/ns2:ScoreSheet/ns2:Diff2/ns2:Team2Diff10" xmlDataType="decimal"/>
    </xmlCellPr>
  </singleXmlCell>
  <singleXmlCell id="801" xr6:uid="{00000000-000C-0000-FFFF-FFFF1F030000}" r="M9" connectionId="0">
    <xmlCellPr id="1" xr6:uid="{00000000-0010-0000-1F03-000001000000}" uniqueName="ns2:Team2Diff11">
      <xmlPr mapId="4" xpath="/ns2:ScoreSheet/ns2:Diff2/ns2:Team2Diff11" xmlDataType="decimal"/>
    </xmlCellPr>
  </singleXmlCell>
  <singleXmlCell id="802" xr6:uid="{00000000-000C-0000-FFFF-FFFF20030000}" r="N9" connectionId="0">
    <xmlCellPr id="1" xr6:uid="{00000000-0010-0000-2003-000001000000}" uniqueName="ns2:Team2Diff12">
      <xmlPr mapId="4" xpath="/ns2:ScoreSheet/ns2:Diff2/ns2:Team2Diff12" xmlDataType="decimal"/>
    </xmlCellPr>
  </singleXmlCell>
  <singleXmlCell id="803" xr6:uid="{00000000-000C-0000-FFFF-FFFF21030000}" r="O9" connectionId="0">
    <xmlCellPr id="1" xr6:uid="{00000000-0010-0000-2103-000001000000}" uniqueName="ns2:Team2Diff13">
      <xmlPr mapId="4" xpath="/ns2:ScoreSheet/ns2:Diff2/ns2:Team2Diff13" xmlDataType="decimal"/>
    </xmlCellPr>
  </singleXmlCell>
  <singleXmlCell id="804" xr6:uid="{00000000-000C-0000-FFFF-FFFF22030000}" r="P9" connectionId="0">
    <xmlCellPr id="1" xr6:uid="{00000000-0010-0000-2203-000001000000}" uniqueName="ns2:Team2Diff14">
      <xmlPr mapId="4" xpath="/ns2:ScoreSheet/ns2:Diff2/ns2:Team2Diff14" xmlDataType="decimal"/>
    </xmlCellPr>
  </singleXmlCell>
  <singleXmlCell id="805" xr6:uid="{00000000-000C-0000-FFFF-FFFF23030000}" r="Q9" connectionId="0">
    <xmlCellPr id="1" xr6:uid="{00000000-0010-0000-2303-000001000000}" uniqueName="ns2:Team2Diff15">
      <xmlPr mapId="4" xpath="/ns2:ScoreSheet/ns2:Diff2/ns2:Team2Diff15" xmlDataType="decimal"/>
    </xmlCellPr>
  </singleXmlCell>
  <singleXmlCell id="806" xr6:uid="{00000000-000C-0000-FFFF-FFFF24030000}" r="R9" connectionId="0">
    <xmlCellPr id="1" xr6:uid="{00000000-0010-0000-2403-000001000000}" uniqueName="ns2:Team2Diff16">
      <xmlPr mapId="4" xpath="/ns2:ScoreSheet/ns2:Diff2/ns2:Team2Diff16" xmlDataType="decimal"/>
    </xmlCellPr>
  </singleXmlCell>
  <singleXmlCell id="807" xr6:uid="{00000000-000C-0000-FFFF-FFFF25030000}" r="S9" connectionId="0">
    <xmlCellPr id="1" xr6:uid="{00000000-0010-0000-2503-000001000000}" uniqueName="ns2:Team2Diff17">
      <xmlPr mapId="4" xpath="/ns2:ScoreSheet/ns2:Diff2/ns2:Team2Diff17" xmlDataType="decimal"/>
    </xmlCellPr>
  </singleXmlCell>
  <singleXmlCell id="808" xr6:uid="{00000000-000C-0000-FFFF-FFFF26030000}" r="T9" connectionId="0">
    <xmlCellPr id="1" xr6:uid="{00000000-0010-0000-2603-000001000000}" uniqueName="ns2:Team2Diff18">
      <xmlPr mapId="4" xpath="/ns2:ScoreSheet/ns2:Diff2/ns2:Team2Diff18" xmlDataType="decimal"/>
    </xmlCellPr>
  </singleXmlCell>
  <singleXmlCell id="809" xr6:uid="{00000000-000C-0000-FFFF-FFFF27030000}" r="U9" connectionId="0">
    <xmlCellPr id="1" xr6:uid="{00000000-0010-0000-2703-000001000000}" uniqueName="ns2:Team2Diff19">
      <xmlPr mapId="4" xpath="/ns2:ScoreSheet/ns2:Diff2/ns2:Team2Diff19" xmlDataType="decimal"/>
    </xmlCellPr>
  </singleXmlCell>
  <singleXmlCell id="810" xr6:uid="{00000000-000C-0000-FFFF-FFFF28030000}" r="V9" connectionId="0">
    <xmlCellPr id="1" xr6:uid="{00000000-0010-0000-2803-000001000000}" uniqueName="ns2:Team2Diff20">
      <xmlPr mapId="4" xpath="/ns2:ScoreSheet/ns2:Diff2/ns2:Team2Diff20" xmlDataType="decimal"/>
    </xmlCellPr>
  </singleXmlCell>
  <singleXmlCell id="811" xr6:uid="{00000000-000C-0000-FFFF-FFFF29030000}" r="C8" connectionId="0">
    <xmlCellPr id="1" xr6:uid="{00000000-0010-0000-2903-000001000000}" uniqueName="ns2:Team2Consec1">
      <xmlPr mapId="4" xpath="/ns2:ScoreSheet/ns2:Diff2/ns2:Team2Consec1" xmlDataType="string"/>
    </xmlCellPr>
  </singleXmlCell>
  <singleXmlCell id="812" xr6:uid="{00000000-000C-0000-FFFF-FFFF2A030000}" r="D8" connectionId="0">
    <xmlCellPr id="1" xr6:uid="{00000000-0010-0000-2A03-000001000000}" uniqueName="ns2:Team2Consec2">
      <xmlPr mapId="4" xpath="/ns2:ScoreSheet/ns2:Diff2/ns2:Team2Consec2" xmlDataType="string"/>
    </xmlCellPr>
  </singleXmlCell>
  <singleXmlCell id="813" xr6:uid="{00000000-000C-0000-FFFF-FFFF2B030000}" r="E8" connectionId="0">
    <xmlCellPr id="1" xr6:uid="{00000000-0010-0000-2B03-000001000000}" uniqueName="ns2:Team2Consec3">
      <xmlPr mapId="4" xpath="/ns2:ScoreSheet/ns2:Diff2/ns2:Team2Consec3" xmlDataType="string"/>
    </xmlCellPr>
  </singleXmlCell>
  <singleXmlCell id="814" xr6:uid="{00000000-000C-0000-FFFF-FFFF2C030000}" r="F8" connectionId="0">
    <xmlCellPr id="1" xr6:uid="{00000000-0010-0000-2C03-000001000000}" uniqueName="ns2:Team2Consec4">
      <xmlPr mapId="4" xpath="/ns2:ScoreSheet/ns2:Diff2/ns2:Team2Consec4" xmlDataType="string"/>
    </xmlCellPr>
  </singleXmlCell>
  <singleXmlCell id="815" xr6:uid="{00000000-000C-0000-FFFF-FFFF2D030000}" r="G8" connectionId="0">
    <xmlCellPr id="1" xr6:uid="{00000000-0010-0000-2D03-000001000000}" uniqueName="ns2:Team2Consec5">
      <xmlPr mapId="4" xpath="/ns2:ScoreSheet/ns2:Diff2/ns2:Team2Consec5" xmlDataType="string"/>
    </xmlCellPr>
  </singleXmlCell>
  <singleXmlCell id="816" xr6:uid="{00000000-000C-0000-FFFF-FFFF2E030000}" r="H8" connectionId="0">
    <xmlCellPr id="1" xr6:uid="{00000000-0010-0000-2E03-000001000000}" uniqueName="ns2:Team2Consec6">
      <xmlPr mapId="4" xpath="/ns2:ScoreSheet/ns2:Diff2/ns2:Team2Consec6" xmlDataType="string"/>
    </xmlCellPr>
  </singleXmlCell>
  <singleXmlCell id="817" xr6:uid="{00000000-000C-0000-FFFF-FFFF2F030000}" r="I8" connectionId="0">
    <xmlCellPr id="1" xr6:uid="{00000000-0010-0000-2F03-000001000000}" uniqueName="ns2:Team2Consec7">
      <xmlPr mapId="4" xpath="/ns2:ScoreSheet/ns2:Diff2/ns2:Team2Consec7" xmlDataType="string"/>
    </xmlCellPr>
  </singleXmlCell>
  <singleXmlCell id="818" xr6:uid="{00000000-000C-0000-FFFF-FFFF30030000}" r="J8" connectionId="0">
    <xmlCellPr id="1" xr6:uid="{00000000-0010-0000-3003-000001000000}" uniqueName="ns2:Team2Consec8">
      <xmlPr mapId="4" xpath="/ns2:ScoreSheet/ns2:Diff2/ns2:Team2Consec8" xmlDataType="string"/>
    </xmlCellPr>
  </singleXmlCell>
  <singleXmlCell id="819" xr6:uid="{00000000-000C-0000-FFFF-FFFF31030000}" r="K8" connectionId="0">
    <xmlCellPr id="1" xr6:uid="{00000000-0010-0000-3103-000001000000}" uniqueName="ns2:Team2Consec9">
      <xmlPr mapId="4" xpath="/ns2:ScoreSheet/ns2:Diff2/ns2:Team2Consec9" xmlDataType="string"/>
    </xmlCellPr>
  </singleXmlCell>
  <singleXmlCell id="820" xr6:uid="{00000000-000C-0000-FFFF-FFFF32030000}" r="L8" connectionId="0">
    <xmlCellPr id="1" xr6:uid="{00000000-0010-0000-3203-000001000000}" uniqueName="ns2:Team2Consec10">
      <xmlPr mapId="4" xpath="/ns2:ScoreSheet/ns2:Diff2/ns2:Team2Consec10" xmlDataType="string"/>
    </xmlCellPr>
  </singleXmlCell>
  <singleXmlCell id="821" xr6:uid="{00000000-000C-0000-FFFF-FFFF33030000}" r="M8" connectionId="0">
    <xmlCellPr id="1" xr6:uid="{00000000-0010-0000-3303-000001000000}" uniqueName="ns2:Team2Consec11">
      <xmlPr mapId="4" xpath="/ns2:ScoreSheet/ns2:Diff2/ns2:Team2Consec11" xmlDataType="string"/>
    </xmlCellPr>
  </singleXmlCell>
  <singleXmlCell id="822" xr6:uid="{00000000-000C-0000-FFFF-FFFF34030000}" r="N8" connectionId="0">
    <xmlCellPr id="1" xr6:uid="{00000000-0010-0000-3403-000001000000}" uniqueName="ns2:Team2Consec12">
      <xmlPr mapId="4" xpath="/ns2:ScoreSheet/ns2:Diff2/ns2:Team2Consec12" xmlDataType="string"/>
    </xmlCellPr>
  </singleXmlCell>
  <singleXmlCell id="823" xr6:uid="{00000000-000C-0000-FFFF-FFFF35030000}" r="O8" connectionId="0">
    <xmlCellPr id="1" xr6:uid="{00000000-0010-0000-3503-000001000000}" uniqueName="ns2:Team2Consec13">
      <xmlPr mapId="4" xpath="/ns2:ScoreSheet/ns2:Diff2/ns2:Team2Consec13" xmlDataType="string"/>
    </xmlCellPr>
  </singleXmlCell>
  <singleXmlCell id="824" xr6:uid="{00000000-000C-0000-FFFF-FFFF36030000}" r="P8" connectionId="0">
    <xmlCellPr id="1" xr6:uid="{00000000-0010-0000-3603-000001000000}" uniqueName="ns2:Team2Consec14">
      <xmlPr mapId="4" xpath="/ns2:ScoreSheet/ns2:Diff2/ns2:Team2Consec14" xmlDataType="string"/>
    </xmlCellPr>
  </singleXmlCell>
  <singleXmlCell id="825" xr6:uid="{00000000-000C-0000-FFFF-FFFF37030000}" r="Q8" connectionId="0">
    <xmlCellPr id="1" xr6:uid="{00000000-0010-0000-3703-000001000000}" uniqueName="ns2:Team2Consec15">
      <xmlPr mapId="4" xpath="/ns2:ScoreSheet/ns2:Diff2/ns2:Team2Consec15" xmlDataType="string"/>
    </xmlCellPr>
  </singleXmlCell>
  <singleXmlCell id="826" xr6:uid="{00000000-000C-0000-FFFF-FFFF38030000}" r="R8" connectionId="0">
    <xmlCellPr id="1" xr6:uid="{00000000-0010-0000-3803-000001000000}" uniqueName="ns2:Team2Consec16">
      <xmlPr mapId="4" xpath="/ns2:ScoreSheet/ns2:Diff2/ns2:Team2Consec16" xmlDataType="string"/>
    </xmlCellPr>
  </singleXmlCell>
  <singleXmlCell id="827" xr6:uid="{00000000-000C-0000-FFFF-FFFF39030000}" r="S8" connectionId="0">
    <xmlCellPr id="1" xr6:uid="{00000000-0010-0000-3903-000001000000}" uniqueName="ns2:Team2Consec17">
      <xmlPr mapId="4" xpath="/ns2:ScoreSheet/ns2:Diff2/ns2:Team2Consec17" xmlDataType="string"/>
    </xmlCellPr>
  </singleXmlCell>
  <singleXmlCell id="828" xr6:uid="{00000000-000C-0000-FFFF-FFFF3A030000}" r="T8" connectionId="0">
    <xmlCellPr id="1" xr6:uid="{00000000-0010-0000-3A03-000001000000}" uniqueName="ns2:Team2Consec18">
      <xmlPr mapId="4" xpath="/ns2:ScoreSheet/ns2:Diff2/ns2:Team2Consec18" xmlDataType="string"/>
    </xmlCellPr>
  </singleXmlCell>
  <singleXmlCell id="829" xr6:uid="{00000000-000C-0000-FFFF-FFFF3B030000}" r="U8" connectionId="0">
    <xmlCellPr id="1" xr6:uid="{00000000-0010-0000-3B03-000001000000}" uniqueName="ns2:Team2Consec19">
      <xmlPr mapId="4" xpath="/ns2:ScoreSheet/ns2:Diff2/ns2:Team2Consec19" xmlDataType="string"/>
    </xmlCellPr>
  </singleXmlCell>
  <singleXmlCell id="830" xr6:uid="{00000000-000C-0000-FFFF-FFFF3C030000}" r="V8" connectionId="0">
    <xmlCellPr id="1" xr6:uid="{00000000-0010-0000-3C03-000001000000}" uniqueName="ns2:Team2Consec20">
      <xmlPr mapId="4" xpath="/ns2:ScoreSheet/ns2:Diff2/ns2:Team2Consec20" xmlDataType="string"/>
    </xmlCellPr>
  </singleXmlCell>
  <singleXmlCell id="831" xr6:uid="{00000000-000C-0000-FFFF-FFFF3D030000}" r="C11" connectionId="0">
    <xmlCellPr id="1" xr6:uid="{00000000-0010-0000-3D03-000001000000}" uniqueName="ns2:Team3Diff1">
      <xmlPr mapId="4" xpath="/ns2:ScoreSheet/ns2:Diff2/ns2:Team3Diff1" xmlDataType="decimal"/>
    </xmlCellPr>
  </singleXmlCell>
  <singleXmlCell id="832" xr6:uid="{00000000-000C-0000-FFFF-FFFF3E030000}" r="D11" connectionId="0">
    <xmlCellPr id="1" xr6:uid="{00000000-0010-0000-3E03-000001000000}" uniqueName="ns2:Team3Diff2">
      <xmlPr mapId="4" xpath="/ns2:ScoreSheet/ns2:Diff2/ns2:Team3Diff2" xmlDataType="decimal"/>
    </xmlCellPr>
  </singleXmlCell>
  <singleXmlCell id="833" xr6:uid="{00000000-000C-0000-FFFF-FFFF3F030000}" r="E11" connectionId="0">
    <xmlCellPr id="1" xr6:uid="{00000000-0010-0000-3F03-000001000000}" uniqueName="ns2:Team3Diff3">
      <xmlPr mapId="4" xpath="/ns2:ScoreSheet/ns2:Diff2/ns2:Team3Diff3" xmlDataType="decimal"/>
    </xmlCellPr>
  </singleXmlCell>
  <singleXmlCell id="834" xr6:uid="{00000000-000C-0000-FFFF-FFFF40030000}" r="F11" connectionId="0">
    <xmlCellPr id="1" xr6:uid="{00000000-0010-0000-4003-000001000000}" uniqueName="ns2:Team3Diff4">
      <xmlPr mapId="4" xpath="/ns2:ScoreSheet/ns2:Diff2/ns2:Team3Diff4" xmlDataType="decimal"/>
    </xmlCellPr>
  </singleXmlCell>
  <singleXmlCell id="835" xr6:uid="{00000000-000C-0000-FFFF-FFFF41030000}" r="G11" connectionId="0">
    <xmlCellPr id="1" xr6:uid="{00000000-0010-0000-4103-000001000000}" uniqueName="ns2:Team3Diff5">
      <xmlPr mapId="4" xpath="/ns2:ScoreSheet/ns2:Diff2/ns2:Team3Diff5" xmlDataType="decimal"/>
    </xmlCellPr>
  </singleXmlCell>
  <singleXmlCell id="836" xr6:uid="{00000000-000C-0000-FFFF-FFFF42030000}" r="H11" connectionId="0">
    <xmlCellPr id="1" xr6:uid="{00000000-0010-0000-4203-000001000000}" uniqueName="ns2:Team3Diff6">
      <xmlPr mapId="4" xpath="/ns2:ScoreSheet/ns2:Diff2/ns2:Team3Diff6" xmlDataType="decimal"/>
    </xmlCellPr>
  </singleXmlCell>
  <singleXmlCell id="837" xr6:uid="{00000000-000C-0000-FFFF-FFFF43030000}" r="I11" connectionId="0">
    <xmlCellPr id="1" xr6:uid="{00000000-0010-0000-4303-000001000000}" uniqueName="ns2:Team3Diff7">
      <xmlPr mapId="4" xpath="/ns2:ScoreSheet/ns2:Diff2/ns2:Team3Diff7" xmlDataType="decimal"/>
    </xmlCellPr>
  </singleXmlCell>
  <singleXmlCell id="838" xr6:uid="{00000000-000C-0000-FFFF-FFFF44030000}" r="J11" connectionId="0">
    <xmlCellPr id="1" xr6:uid="{00000000-0010-0000-4403-000001000000}" uniqueName="ns2:Team3Diff8">
      <xmlPr mapId="4" xpath="/ns2:ScoreSheet/ns2:Diff2/ns2:Team3Diff8" xmlDataType="decimal"/>
    </xmlCellPr>
  </singleXmlCell>
  <singleXmlCell id="839" xr6:uid="{00000000-000C-0000-FFFF-FFFF45030000}" r="K11" connectionId="0">
    <xmlCellPr id="1" xr6:uid="{00000000-0010-0000-4503-000001000000}" uniqueName="ns2:Team3Diff9">
      <xmlPr mapId="4" xpath="/ns2:ScoreSheet/ns2:Diff2/ns2:Team3Diff9" xmlDataType="decimal"/>
    </xmlCellPr>
  </singleXmlCell>
  <singleXmlCell id="840" xr6:uid="{00000000-000C-0000-FFFF-FFFF46030000}" r="L11" connectionId="0">
    <xmlCellPr id="1" xr6:uid="{00000000-0010-0000-4603-000001000000}" uniqueName="ns2:Team3Diff10">
      <xmlPr mapId="4" xpath="/ns2:ScoreSheet/ns2:Diff2/ns2:Team3Diff10" xmlDataType="decimal"/>
    </xmlCellPr>
  </singleXmlCell>
  <singleXmlCell id="841" xr6:uid="{00000000-000C-0000-FFFF-FFFF47030000}" r="M11" connectionId="0">
    <xmlCellPr id="1" xr6:uid="{00000000-0010-0000-4703-000001000000}" uniqueName="ns2:Team3Diff11">
      <xmlPr mapId="4" xpath="/ns2:ScoreSheet/ns2:Diff2/ns2:Team3Diff11" xmlDataType="decimal"/>
    </xmlCellPr>
  </singleXmlCell>
  <singleXmlCell id="842" xr6:uid="{00000000-000C-0000-FFFF-FFFF48030000}" r="N11" connectionId="0">
    <xmlCellPr id="1" xr6:uid="{00000000-0010-0000-4803-000001000000}" uniqueName="ns2:Team3Diff12">
      <xmlPr mapId="4" xpath="/ns2:ScoreSheet/ns2:Diff2/ns2:Team3Diff12" xmlDataType="decimal"/>
    </xmlCellPr>
  </singleXmlCell>
  <singleXmlCell id="843" xr6:uid="{00000000-000C-0000-FFFF-FFFF49030000}" r="O11" connectionId="0">
    <xmlCellPr id="1" xr6:uid="{00000000-0010-0000-4903-000001000000}" uniqueName="ns2:Team3Diff13">
      <xmlPr mapId="4" xpath="/ns2:ScoreSheet/ns2:Diff2/ns2:Team3Diff13" xmlDataType="decimal"/>
    </xmlCellPr>
  </singleXmlCell>
  <singleXmlCell id="844" xr6:uid="{00000000-000C-0000-FFFF-FFFF4A030000}" r="P11" connectionId="0">
    <xmlCellPr id="1" xr6:uid="{00000000-0010-0000-4A03-000001000000}" uniqueName="ns2:Team3Diff14">
      <xmlPr mapId="4" xpath="/ns2:ScoreSheet/ns2:Diff2/ns2:Team3Diff14" xmlDataType="decimal"/>
    </xmlCellPr>
  </singleXmlCell>
  <singleXmlCell id="845" xr6:uid="{00000000-000C-0000-FFFF-FFFF4B030000}" r="Q11" connectionId="0">
    <xmlCellPr id="1" xr6:uid="{00000000-0010-0000-4B03-000001000000}" uniqueName="ns2:Team3Diff15">
      <xmlPr mapId="4" xpath="/ns2:ScoreSheet/ns2:Diff2/ns2:Team3Diff15" xmlDataType="decimal"/>
    </xmlCellPr>
  </singleXmlCell>
  <singleXmlCell id="846" xr6:uid="{00000000-000C-0000-FFFF-FFFF4C030000}" r="R11" connectionId="0">
    <xmlCellPr id="1" xr6:uid="{00000000-0010-0000-4C03-000001000000}" uniqueName="ns2:Team3Diff16">
      <xmlPr mapId="4" xpath="/ns2:ScoreSheet/ns2:Diff2/ns2:Team3Diff16" xmlDataType="decimal"/>
    </xmlCellPr>
  </singleXmlCell>
  <singleXmlCell id="847" xr6:uid="{00000000-000C-0000-FFFF-FFFF4D030000}" r="S11" connectionId="0">
    <xmlCellPr id="1" xr6:uid="{00000000-0010-0000-4D03-000001000000}" uniqueName="ns2:Team3Diff17">
      <xmlPr mapId="4" xpath="/ns2:ScoreSheet/ns2:Diff2/ns2:Team3Diff17" xmlDataType="decimal"/>
    </xmlCellPr>
  </singleXmlCell>
  <singleXmlCell id="848" xr6:uid="{00000000-000C-0000-FFFF-FFFF4E030000}" r="T11" connectionId="0">
    <xmlCellPr id="1" xr6:uid="{00000000-0010-0000-4E03-000001000000}" uniqueName="ns2:Team3Diff18">
      <xmlPr mapId="4" xpath="/ns2:ScoreSheet/ns2:Diff2/ns2:Team3Diff18" xmlDataType="decimal"/>
    </xmlCellPr>
  </singleXmlCell>
  <singleXmlCell id="849" xr6:uid="{00000000-000C-0000-FFFF-FFFF4F030000}" r="U11" connectionId="0">
    <xmlCellPr id="1" xr6:uid="{00000000-0010-0000-4F03-000001000000}" uniqueName="ns2:Team3Diff19">
      <xmlPr mapId="4" xpath="/ns2:ScoreSheet/ns2:Diff2/ns2:Team3Diff19" xmlDataType="decimal"/>
    </xmlCellPr>
  </singleXmlCell>
  <singleXmlCell id="850" xr6:uid="{00000000-000C-0000-FFFF-FFFF50030000}" r="V11" connectionId="0">
    <xmlCellPr id="1" xr6:uid="{00000000-0010-0000-5003-000001000000}" uniqueName="ns2:Team3Diff20">
      <xmlPr mapId="4" xpath="/ns2:ScoreSheet/ns2:Diff2/ns2:Team3Diff20" xmlDataType="decimal"/>
    </xmlCellPr>
  </singleXmlCell>
  <singleXmlCell id="851" xr6:uid="{00000000-000C-0000-FFFF-FFFF51030000}" r="C10" connectionId="0">
    <xmlCellPr id="1" xr6:uid="{00000000-0010-0000-5103-000001000000}" uniqueName="ns2:Team3Consec1">
      <xmlPr mapId="4" xpath="/ns2:ScoreSheet/ns2:Diff2/ns2:Team3Consec1" xmlDataType="string"/>
    </xmlCellPr>
  </singleXmlCell>
  <singleXmlCell id="852" xr6:uid="{00000000-000C-0000-FFFF-FFFF52030000}" r="D10" connectionId="0">
    <xmlCellPr id="1" xr6:uid="{00000000-0010-0000-5203-000001000000}" uniqueName="ns2:Team3Consec2">
      <xmlPr mapId="4" xpath="/ns2:ScoreSheet/ns2:Diff2/ns2:Team3Consec2" xmlDataType="string"/>
    </xmlCellPr>
  </singleXmlCell>
  <singleXmlCell id="853" xr6:uid="{00000000-000C-0000-FFFF-FFFF53030000}" r="E10" connectionId="0">
    <xmlCellPr id="1" xr6:uid="{00000000-0010-0000-5303-000001000000}" uniqueName="ns2:Team3Consec3">
      <xmlPr mapId="4" xpath="/ns2:ScoreSheet/ns2:Diff2/ns2:Team3Consec3" xmlDataType="string"/>
    </xmlCellPr>
  </singleXmlCell>
  <singleXmlCell id="854" xr6:uid="{00000000-000C-0000-FFFF-FFFF54030000}" r="F10" connectionId="0">
    <xmlCellPr id="1" xr6:uid="{00000000-0010-0000-5403-000001000000}" uniqueName="ns2:Team3Consec4">
      <xmlPr mapId="4" xpath="/ns2:ScoreSheet/ns2:Diff2/ns2:Team3Consec4" xmlDataType="string"/>
    </xmlCellPr>
  </singleXmlCell>
  <singleXmlCell id="855" xr6:uid="{00000000-000C-0000-FFFF-FFFF55030000}" r="G10" connectionId="0">
    <xmlCellPr id="1" xr6:uid="{00000000-0010-0000-5503-000001000000}" uniqueName="ns2:Team3Consec5">
      <xmlPr mapId="4" xpath="/ns2:ScoreSheet/ns2:Diff2/ns2:Team3Consec5" xmlDataType="string"/>
    </xmlCellPr>
  </singleXmlCell>
  <singleXmlCell id="856" xr6:uid="{00000000-000C-0000-FFFF-FFFF56030000}" r="H10" connectionId="0">
    <xmlCellPr id="1" xr6:uid="{00000000-0010-0000-5603-000001000000}" uniqueName="ns2:Team3Consec6">
      <xmlPr mapId="4" xpath="/ns2:ScoreSheet/ns2:Diff2/ns2:Team3Consec6" xmlDataType="string"/>
    </xmlCellPr>
  </singleXmlCell>
  <singleXmlCell id="857" xr6:uid="{00000000-000C-0000-FFFF-FFFF57030000}" r="I10" connectionId="0">
    <xmlCellPr id="1" xr6:uid="{00000000-0010-0000-5703-000001000000}" uniqueName="ns2:Team3Consec7">
      <xmlPr mapId="4" xpath="/ns2:ScoreSheet/ns2:Diff2/ns2:Team3Consec7" xmlDataType="string"/>
    </xmlCellPr>
  </singleXmlCell>
  <singleXmlCell id="858" xr6:uid="{00000000-000C-0000-FFFF-FFFF58030000}" r="J10" connectionId="0">
    <xmlCellPr id="1" xr6:uid="{00000000-0010-0000-5803-000001000000}" uniqueName="ns2:Team3Consec8">
      <xmlPr mapId="4" xpath="/ns2:ScoreSheet/ns2:Diff2/ns2:Team3Consec8" xmlDataType="string"/>
    </xmlCellPr>
  </singleXmlCell>
  <singleXmlCell id="859" xr6:uid="{00000000-000C-0000-FFFF-FFFF59030000}" r="K10" connectionId="0">
    <xmlCellPr id="1" xr6:uid="{00000000-0010-0000-5903-000001000000}" uniqueName="ns2:Team3Consec9">
      <xmlPr mapId="4" xpath="/ns2:ScoreSheet/ns2:Diff2/ns2:Team3Consec9" xmlDataType="string"/>
    </xmlCellPr>
  </singleXmlCell>
  <singleXmlCell id="860" xr6:uid="{00000000-000C-0000-FFFF-FFFF5A030000}" r="L10" connectionId="0">
    <xmlCellPr id="1" xr6:uid="{00000000-0010-0000-5A03-000001000000}" uniqueName="ns2:Team3Consec10">
      <xmlPr mapId="4" xpath="/ns2:ScoreSheet/ns2:Diff2/ns2:Team3Consec10" xmlDataType="string"/>
    </xmlCellPr>
  </singleXmlCell>
  <singleXmlCell id="861" xr6:uid="{00000000-000C-0000-FFFF-FFFF5B030000}" r="M10" connectionId="0">
    <xmlCellPr id="1" xr6:uid="{00000000-0010-0000-5B03-000001000000}" uniqueName="ns2:Team3Consec11">
      <xmlPr mapId="4" xpath="/ns2:ScoreSheet/ns2:Diff2/ns2:Team3Consec11" xmlDataType="string"/>
    </xmlCellPr>
  </singleXmlCell>
  <singleXmlCell id="862" xr6:uid="{00000000-000C-0000-FFFF-FFFF5C030000}" r="N10" connectionId="0">
    <xmlCellPr id="1" xr6:uid="{00000000-0010-0000-5C03-000001000000}" uniqueName="ns2:Team3Consec12">
      <xmlPr mapId="4" xpath="/ns2:ScoreSheet/ns2:Diff2/ns2:Team3Consec12" xmlDataType="string"/>
    </xmlCellPr>
  </singleXmlCell>
  <singleXmlCell id="863" xr6:uid="{00000000-000C-0000-FFFF-FFFF5D030000}" r="O10" connectionId="0">
    <xmlCellPr id="1" xr6:uid="{00000000-0010-0000-5D03-000001000000}" uniqueName="ns2:Team3Consec13">
      <xmlPr mapId="4" xpath="/ns2:ScoreSheet/ns2:Diff2/ns2:Team3Consec13" xmlDataType="string"/>
    </xmlCellPr>
  </singleXmlCell>
  <singleXmlCell id="864" xr6:uid="{00000000-000C-0000-FFFF-FFFF5E030000}" r="P10" connectionId="0">
    <xmlCellPr id="1" xr6:uid="{00000000-0010-0000-5E03-000001000000}" uniqueName="ns2:Team3Consec14">
      <xmlPr mapId="4" xpath="/ns2:ScoreSheet/ns2:Diff2/ns2:Team3Consec14" xmlDataType="string"/>
    </xmlCellPr>
  </singleXmlCell>
  <singleXmlCell id="865" xr6:uid="{00000000-000C-0000-FFFF-FFFF5F030000}" r="Q10" connectionId="0">
    <xmlCellPr id="1" xr6:uid="{00000000-0010-0000-5F03-000001000000}" uniqueName="ns2:Team3Consec15">
      <xmlPr mapId="4" xpath="/ns2:ScoreSheet/ns2:Diff2/ns2:Team3Consec15" xmlDataType="string"/>
    </xmlCellPr>
  </singleXmlCell>
  <singleXmlCell id="866" xr6:uid="{00000000-000C-0000-FFFF-FFFF60030000}" r="R10" connectionId="0">
    <xmlCellPr id="1" xr6:uid="{00000000-0010-0000-6003-000001000000}" uniqueName="ns2:Team3Consec16">
      <xmlPr mapId="4" xpath="/ns2:ScoreSheet/ns2:Diff2/ns2:Team3Consec16" xmlDataType="string"/>
    </xmlCellPr>
  </singleXmlCell>
  <singleXmlCell id="867" xr6:uid="{00000000-000C-0000-FFFF-FFFF61030000}" r="S10" connectionId="0">
    <xmlCellPr id="1" xr6:uid="{00000000-0010-0000-6103-000001000000}" uniqueName="ns2:Team3Consec17">
      <xmlPr mapId="4" xpath="/ns2:ScoreSheet/ns2:Diff2/ns2:Team3Consec17" xmlDataType="string"/>
    </xmlCellPr>
  </singleXmlCell>
  <singleXmlCell id="868" xr6:uid="{00000000-000C-0000-FFFF-FFFF62030000}" r="T10" connectionId="0">
    <xmlCellPr id="1" xr6:uid="{00000000-0010-0000-6203-000001000000}" uniqueName="ns2:Team3Consec18">
      <xmlPr mapId="4" xpath="/ns2:ScoreSheet/ns2:Diff2/ns2:Team3Consec18" xmlDataType="string"/>
    </xmlCellPr>
  </singleXmlCell>
  <singleXmlCell id="869" xr6:uid="{00000000-000C-0000-FFFF-FFFF63030000}" r="U10" connectionId="0">
    <xmlCellPr id="1" xr6:uid="{00000000-0010-0000-6303-000001000000}" uniqueName="ns2:Team3Consec19">
      <xmlPr mapId="4" xpath="/ns2:ScoreSheet/ns2:Diff2/ns2:Team3Consec19" xmlDataType="string"/>
    </xmlCellPr>
  </singleXmlCell>
  <singleXmlCell id="870" xr6:uid="{00000000-000C-0000-FFFF-FFFF64030000}" r="V10" connectionId="0">
    <xmlCellPr id="1" xr6:uid="{00000000-0010-0000-6403-000001000000}" uniqueName="ns2:Team3Consec20">
      <xmlPr mapId="4" xpath="/ns2:ScoreSheet/ns2:Diff2/ns2:Team3Consec20" xmlDataType="string"/>
    </xmlCellPr>
  </singleXmlCell>
  <singleXmlCell id="871" xr6:uid="{00000000-000C-0000-FFFF-FFFF65030000}" r="C13" connectionId="0">
    <xmlCellPr id="1" xr6:uid="{00000000-0010-0000-6503-000001000000}" uniqueName="ns2:Team4Diff1">
      <xmlPr mapId="4" xpath="/ns2:ScoreSheet/ns2:Diff2/ns2:Team4Diff1" xmlDataType="decimal"/>
    </xmlCellPr>
  </singleXmlCell>
  <singleXmlCell id="872" xr6:uid="{00000000-000C-0000-FFFF-FFFF66030000}" r="D13" connectionId="0">
    <xmlCellPr id="1" xr6:uid="{00000000-0010-0000-6603-000001000000}" uniqueName="ns2:Team4Diff2">
      <xmlPr mapId="4" xpath="/ns2:ScoreSheet/ns2:Diff2/ns2:Team4Diff2" xmlDataType="decimal"/>
    </xmlCellPr>
  </singleXmlCell>
  <singleXmlCell id="873" xr6:uid="{00000000-000C-0000-FFFF-FFFF67030000}" r="E13" connectionId="0">
    <xmlCellPr id="1" xr6:uid="{00000000-0010-0000-6703-000001000000}" uniqueName="ns2:Team4Diff3">
      <xmlPr mapId="4" xpath="/ns2:ScoreSheet/ns2:Diff2/ns2:Team4Diff3" xmlDataType="decimal"/>
    </xmlCellPr>
  </singleXmlCell>
  <singleXmlCell id="874" xr6:uid="{00000000-000C-0000-FFFF-FFFF68030000}" r="F13" connectionId="0">
    <xmlCellPr id="1" xr6:uid="{00000000-0010-0000-6803-000001000000}" uniqueName="ns2:Team4Diff4">
      <xmlPr mapId="4" xpath="/ns2:ScoreSheet/ns2:Diff2/ns2:Team4Diff4" xmlDataType="decimal"/>
    </xmlCellPr>
  </singleXmlCell>
  <singleXmlCell id="875" xr6:uid="{00000000-000C-0000-FFFF-FFFF69030000}" r="G13" connectionId="0">
    <xmlCellPr id="1" xr6:uid="{00000000-0010-0000-6903-000001000000}" uniqueName="ns2:Team4Diff5">
      <xmlPr mapId="4" xpath="/ns2:ScoreSheet/ns2:Diff2/ns2:Team4Diff5" xmlDataType="decimal"/>
    </xmlCellPr>
  </singleXmlCell>
  <singleXmlCell id="876" xr6:uid="{00000000-000C-0000-FFFF-FFFF6A030000}" r="H13" connectionId="0">
    <xmlCellPr id="1" xr6:uid="{00000000-0010-0000-6A03-000001000000}" uniqueName="ns2:Team4Diff6">
      <xmlPr mapId="4" xpath="/ns2:ScoreSheet/ns2:Diff2/ns2:Team4Diff6" xmlDataType="decimal"/>
    </xmlCellPr>
  </singleXmlCell>
  <singleXmlCell id="877" xr6:uid="{00000000-000C-0000-FFFF-FFFF6B030000}" r="I13" connectionId="0">
    <xmlCellPr id="1" xr6:uid="{00000000-0010-0000-6B03-000001000000}" uniqueName="ns2:Team4Diff7">
      <xmlPr mapId="4" xpath="/ns2:ScoreSheet/ns2:Diff2/ns2:Team4Diff7" xmlDataType="decimal"/>
    </xmlCellPr>
  </singleXmlCell>
  <singleXmlCell id="878" xr6:uid="{00000000-000C-0000-FFFF-FFFF6C030000}" r="J13" connectionId="0">
    <xmlCellPr id="1" xr6:uid="{00000000-0010-0000-6C03-000001000000}" uniqueName="ns2:Team4Diff8">
      <xmlPr mapId="4" xpath="/ns2:ScoreSheet/ns2:Diff2/ns2:Team4Diff8" xmlDataType="decimal"/>
    </xmlCellPr>
  </singleXmlCell>
  <singleXmlCell id="879" xr6:uid="{00000000-000C-0000-FFFF-FFFF6D030000}" r="K13" connectionId="0">
    <xmlCellPr id="1" xr6:uid="{00000000-0010-0000-6D03-000001000000}" uniqueName="ns2:Team4Diff9">
      <xmlPr mapId="4" xpath="/ns2:ScoreSheet/ns2:Diff2/ns2:Team4Diff9" xmlDataType="decimal"/>
    </xmlCellPr>
  </singleXmlCell>
  <singleXmlCell id="880" xr6:uid="{00000000-000C-0000-FFFF-FFFF6E030000}" r="L13" connectionId="0">
    <xmlCellPr id="1" xr6:uid="{00000000-0010-0000-6E03-000001000000}" uniqueName="ns2:Team4Diff10">
      <xmlPr mapId="4" xpath="/ns2:ScoreSheet/ns2:Diff2/ns2:Team4Diff10" xmlDataType="decimal"/>
    </xmlCellPr>
  </singleXmlCell>
  <singleXmlCell id="881" xr6:uid="{00000000-000C-0000-FFFF-FFFF6F030000}" r="M13" connectionId="0">
    <xmlCellPr id="1" xr6:uid="{00000000-0010-0000-6F03-000001000000}" uniqueName="ns2:Team4Diff11">
      <xmlPr mapId="4" xpath="/ns2:ScoreSheet/ns2:Diff2/ns2:Team4Diff11" xmlDataType="decimal"/>
    </xmlCellPr>
  </singleXmlCell>
  <singleXmlCell id="882" xr6:uid="{00000000-000C-0000-FFFF-FFFF70030000}" r="N13" connectionId="0">
    <xmlCellPr id="1" xr6:uid="{00000000-0010-0000-7003-000001000000}" uniqueName="ns2:Team4Diff12">
      <xmlPr mapId="4" xpath="/ns2:ScoreSheet/ns2:Diff2/ns2:Team4Diff12" xmlDataType="decimal"/>
    </xmlCellPr>
  </singleXmlCell>
  <singleXmlCell id="883" xr6:uid="{00000000-000C-0000-FFFF-FFFF71030000}" r="O13" connectionId="0">
    <xmlCellPr id="1" xr6:uid="{00000000-0010-0000-7103-000001000000}" uniqueName="ns2:Team4Diff13">
      <xmlPr mapId="4" xpath="/ns2:ScoreSheet/ns2:Diff2/ns2:Team4Diff13" xmlDataType="decimal"/>
    </xmlCellPr>
  </singleXmlCell>
  <singleXmlCell id="884" xr6:uid="{00000000-000C-0000-FFFF-FFFF72030000}" r="P13" connectionId="0">
    <xmlCellPr id="1" xr6:uid="{00000000-0010-0000-7203-000001000000}" uniqueName="ns2:Team4Diff14">
      <xmlPr mapId="4" xpath="/ns2:ScoreSheet/ns2:Diff2/ns2:Team4Diff14" xmlDataType="decimal"/>
    </xmlCellPr>
  </singleXmlCell>
  <singleXmlCell id="885" xr6:uid="{00000000-000C-0000-FFFF-FFFF73030000}" r="Q13" connectionId="0">
    <xmlCellPr id="1" xr6:uid="{00000000-0010-0000-7303-000001000000}" uniqueName="ns2:Team4Diff15">
      <xmlPr mapId="4" xpath="/ns2:ScoreSheet/ns2:Diff2/ns2:Team4Diff15" xmlDataType="decimal"/>
    </xmlCellPr>
  </singleXmlCell>
  <singleXmlCell id="886" xr6:uid="{00000000-000C-0000-FFFF-FFFF74030000}" r="R13" connectionId="0">
    <xmlCellPr id="1" xr6:uid="{00000000-0010-0000-7403-000001000000}" uniqueName="ns2:Team4Diff16">
      <xmlPr mapId="4" xpath="/ns2:ScoreSheet/ns2:Diff2/ns2:Team4Diff16" xmlDataType="decimal"/>
    </xmlCellPr>
  </singleXmlCell>
  <singleXmlCell id="887" xr6:uid="{00000000-000C-0000-FFFF-FFFF75030000}" r="S13" connectionId="0">
    <xmlCellPr id="1" xr6:uid="{00000000-0010-0000-7503-000001000000}" uniqueName="ns2:Team4Diff17">
      <xmlPr mapId="4" xpath="/ns2:ScoreSheet/ns2:Diff2/ns2:Team4Diff17" xmlDataType="decimal"/>
    </xmlCellPr>
  </singleXmlCell>
  <singleXmlCell id="888" xr6:uid="{00000000-000C-0000-FFFF-FFFF76030000}" r="T13" connectionId="0">
    <xmlCellPr id="1" xr6:uid="{00000000-0010-0000-7603-000001000000}" uniqueName="ns2:Team4Diff18">
      <xmlPr mapId="4" xpath="/ns2:ScoreSheet/ns2:Diff2/ns2:Team4Diff18" xmlDataType="decimal"/>
    </xmlCellPr>
  </singleXmlCell>
  <singleXmlCell id="889" xr6:uid="{00000000-000C-0000-FFFF-FFFF77030000}" r="U13" connectionId="0">
    <xmlCellPr id="1" xr6:uid="{00000000-0010-0000-7703-000001000000}" uniqueName="ns2:Team4Diff19">
      <xmlPr mapId="4" xpath="/ns2:ScoreSheet/ns2:Diff2/ns2:Team4Diff19" xmlDataType="decimal"/>
    </xmlCellPr>
  </singleXmlCell>
  <singleXmlCell id="890" xr6:uid="{00000000-000C-0000-FFFF-FFFF78030000}" r="V13" connectionId="0">
    <xmlCellPr id="1" xr6:uid="{00000000-0010-0000-7803-000001000000}" uniqueName="ns2:Team4Diff20">
      <xmlPr mapId="4" xpath="/ns2:ScoreSheet/ns2:Diff2/ns2:Team4Diff20" xmlDataType="decimal"/>
    </xmlCellPr>
  </singleXmlCell>
  <singleXmlCell id="891" xr6:uid="{00000000-000C-0000-FFFF-FFFF79030000}" r="C12" connectionId="0">
    <xmlCellPr id="1" xr6:uid="{00000000-0010-0000-7903-000001000000}" uniqueName="ns2:Team4Consec1">
      <xmlPr mapId="4" xpath="/ns2:ScoreSheet/ns2:Diff2/ns2:Team4Consec1" xmlDataType="string"/>
    </xmlCellPr>
  </singleXmlCell>
  <singleXmlCell id="892" xr6:uid="{00000000-000C-0000-FFFF-FFFF7A030000}" r="D12" connectionId="0">
    <xmlCellPr id="1" xr6:uid="{00000000-0010-0000-7A03-000001000000}" uniqueName="ns2:Team4Consec2">
      <xmlPr mapId="4" xpath="/ns2:ScoreSheet/ns2:Diff2/ns2:Team4Consec2" xmlDataType="string"/>
    </xmlCellPr>
  </singleXmlCell>
  <singleXmlCell id="893" xr6:uid="{00000000-000C-0000-FFFF-FFFF7B030000}" r="E12" connectionId="0">
    <xmlCellPr id="1" xr6:uid="{00000000-0010-0000-7B03-000001000000}" uniqueName="ns2:Team4Consec3">
      <xmlPr mapId="4" xpath="/ns2:ScoreSheet/ns2:Diff2/ns2:Team4Consec3" xmlDataType="string"/>
    </xmlCellPr>
  </singleXmlCell>
  <singleXmlCell id="894" xr6:uid="{00000000-000C-0000-FFFF-FFFF7C030000}" r="F12" connectionId="0">
    <xmlCellPr id="1" xr6:uid="{00000000-0010-0000-7C03-000001000000}" uniqueName="ns2:Team4Consec4">
      <xmlPr mapId="4" xpath="/ns2:ScoreSheet/ns2:Diff2/ns2:Team4Consec4" xmlDataType="string"/>
    </xmlCellPr>
  </singleXmlCell>
  <singleXmlCell id="895" xr6:uid="{00000000-000C-0000-FFFF-FFFF7D030000}" r="G12" connectionId="0">
    <xmlCellPr id="1" xr6:uid="{00000000-0010-0000-7D03-000001000000}" uniqueName="ns2:Team4Consec5">
      <xmlPr mapId="4" xpath="/ns2:ScoreSheet/ns2:Diff2/ns2:Team4Consec5" xmlDataType="string"/>
    </xmlCellPr>
  </singleXmlCell>
  <singleXmlCell id="896" xr6:uid="{00000000-000C-0000-FFFF-FFFF7E030000}" r="H12" connectionId="0">
    <xmlCellPr id="1" xr6:uid="{00000000-0010-0000-7E03-000001000000}" uniqueName="ns2:Team4Consec6">
      <xmlPr mapId="4" xpath="/ns2:ScoreSheet/ns2:Diff2/ns2:Team4Consec6" xmlDataType="string"/>
    </xmlCellPr>
  </singleXmlCell>
  <singleXmlCell id="897" xr6:uid="{00000000-000C-0000-FFFF-FFFF7F030000}" r="I12" connectionId="0">
    <xmlCellPr id="1" xr6:uid="{00000000-0010-0000-7F03-000001000000}" uniqueName="ns2:Team4Consec7">
      <xmlPr mapId="4" xpath="/ns2:ScoreSheet/ns2:Diff2/ns2:Team4Consec7" xmlDataType="string"/>
    </xmlCellPr>
  </singleXmlCell>
  <singleXmlCell id="898" xr6:uid="{00000000-000C-0000-FFFF-FFFF80030000}" r="J12" connectionId="0">
    <xmlCellPr id="1" xr6:uid="{00000000-0010-0000-8003-000001000000}" uniqueName="ns2:Team4Consec8">
      <xmlPr mapId="4" xpath="/ns2:ScoreSheet/ns2:Diff2/ns2:Team4Consec8" xmlDataType="string"/>
    </xmlCellPr>
  </singleXmlCell>
  <singleXmlCell id="899" xr6:uid="{00000000-000C-0000-FFFF-FFFF81030000}" r="K12" connectionId="0">
    <xmlCellPr id="1" xr6:uid="{00000000-0010-0000-8103-000001000000}" uniqueName="ns2:Team4Consec9">
      <xmlPr mapId="4" xpath="/ns2:ScoreSheet/ns2:Diff2/ns2:Team4Consec9" xmlDataType="string"/>
    </xmlCellPr>
  </singleXmlCell>
  <singleXmlCell id="900" xr6:uid="{00000000-000C-0000-FFFF-FFFF82030000}" r="L12" connectionId="0">
    <xmlCellPr id="1" xr6:uid="{00000000-0010-0000-8203-000001000000}" uniqueName="ns2:Team4Consec10">
      <xmlPr mapId="4" xpath="/ns2:ScoreSheet/ns2:Diff2/ns2:Team4Consec10" xmlDataType="string"/>
    </xmlCellPr>
  </singleXmlCell>
  <singleXmlCell id="901" xr6:uid="{00000000-000C-0000-FFFF-FFFF83030000}" r="M12" connectionId="0">
    <xmlCellPr id="1" xr6:uid="{00000000-0010-0000-8303-000001000000}" uniqueName="ns2:Team4Consec11">
      <xmlPr mapId="4" xpath="/ns2:ScoreSheet/ns2:Diff2/ns2:Team4Consec11" xmlDataType="string"/>
    </xmlCellPr>
  </singleXmlCell>
  <singleXmlCell id="902" xr6:uid="{00000000-000C-0000-FFFF-FFFF84030000}" r="N12" connectionId="0">
    <xmlCellPr id="1" xr6:uid="{00000000-0010-0000-8403-000001000000}" uniqueName="ns2:Team4Consec12">
      <xmlPr mapId="4" xpath="/ns2:ScoreSheet/ns2:Diff2/ns2:Team4Consec12" xmlDataType="string"/>
    </xmlCellPr>
  </singleXmlCell>
  <singleXmlCell id="903" xr6:uid="{00000000-000C-0000-FFFF-FFFF85030000}" r="O12" connectionId="0">
    <xmlCellPr id="1" xr6:uid="{00000000-0010-0000-8503-000001000000}" uniqueName="ns2:Team4Consec13">
      <xmlPr mapId="4" xpath="/ns2:ScoreSheet/ns2:Diff2/ns2:Team4Consec13" xmlDataType="string"/>
    </xmlCellPr>
  </singleXmlCell>
  <singleXmlCell id="904" xr6:uid="{00000000-000C-0000-FFFF-FFFF86030000}" r="P12" connectionId="0">
    <xmlCellPr id="1" xr6:uid="{00000000-0010-0000-8603-000001000000}" uniqueName="ns2:Team4Consec14">
      <xmlPr mapId="4" xpath="/ns2:ScoreSheet/ns2:Diff2/ns2:Team4Consec14" xmlDataType="string"/>
    </xmlCellPr>
  </singleXmlCell>
  <singleXmlCell id="905" xr6:uid="{00000000-000C-0000-FFFF-FFFF87030000}" r="Q12" connectionId="0">
    <xmlCellPr id="1" xr6:uid="{00000000-0010-0000-8703-000001000000}" uniqueName="ns2:Team4Consec15">
      <xmlPr mapId="4" xpath="/ns2:ScoreSheet/ns2:Diff2/ns2:Team4Consec15" xmlDataType="string"/>
    </xmlCellPr>
  </singleXmlCell>
  <singleXmlCell id="906" xr6:uid="{00000000-000C-0000-FFFF-FFFF88030000}" r="R12" connectionId="0">
    <xmlCellPr id="1" xr6:uid="{00000000-0010-0000-8803-000001000000}" uniqueName="ns2:Team4Consec16">
      <xmlPr mapId="4" xpath="/ns2:ScoreSheet/ns2:Diff2/ns2:Team4Consec16" xmlDataType="string"/>
    </xmlCellPr>
  </singleXmlCell>
  <singleXmlCell id="907" xr6:uid="{00000000-000C-0000-FFFF-FFFF89030000}" r="S12" connectionId="0">
    <xmlCellPr id="1" xr6:uid="{00000000-0010-0000-8903-000001000000}" uniqueName="ns2:Team4Consec17">
      <xmlPr mapId="4" xpath="/ns2:ScoreSheet/ns2:Diff2/ns2:Team4Consec17" xmlDataType="string"/>
    </xmlCellPr>
  </singleXmlCell>
  <singleXmlCell id="908" xr6:uid="{00000000-000C-0000-FFFF-FFFF8A030000}" r="T12" connectionId="0">
    <xmlCellPr id="1" xr6:uid="{00000000-0010-0000-8A03-000001000000}" uniqueName="ns2:Team4Consec18">
      <xmlPr mapId="4" xpath="/ns2:ScoreSheet/ns2:Diff2/ns2:Team4Consec18" xmlDataType="string"/>
    </xmlCellPr>
  </singleXmlCell>
  <singleXmlCell id="909" xr6:uid="{00000000-000C-0000-FFFF-FFFF8B030000}" r="U12" connectionId="0">
    <xmlCellPr id="1" xr6:uid="{00000000-0010-0000-8B03-000001000000}" uniqueName="ns2:Team4Consec19">
      <xmlPr mapId="4" xpath="/ns2:ScoreSheet/ns2:Diff2/ns2:Team4Consec19" xmlDataType="string"/>
    </xmlCellPr>
  </singleXmlCell>
  <singleXmlCell id="910" xr6:uid="{00000000-000C-0000-FFFF-FFFF8C030000}" r="V12" connectionId="0">
    <xmlCellPr id="1" xr6:uid="{00000000-0010-0000-8C03-000001000000}" uniqueName="ns2:Team4Consec20">
      <xmlPr mapId="4" xpath="/ns2:ScoreSheet/ns2:Diff2/ns2:Team4Consec20" xmlDataType="string"/>
    </xmlCellPr>
  </singleXmlCell>
  <singleXmlCell id="911" xr6:uid="{00000000-000C-0000-FFFF-FFFF8D030000}" r="C15" connectionId="0">
    <xmlCellPr id="1" xr6:uid="{00000000-0010-0000-8D03-000001000000}" uniqueName="ns2:Team5Diff1">
      <xmlPr mapId="4" xpath="/ns2:ScoreSheet/ns2:Diff2/ns2:Team5Diff1" xmlDataType="decimal"/>
    </xmlCellPr>
  </singleXmlCell>
  <singleXmlCell id="912" xr6:uid="{00000000-000C-0000-FFFF-FFFF8E030000}" r="D15" connectionId="0">
    <xmlCellPr id="1" xr6:uid="{00000000-0010-0000-8E03-000001000000}" uniqueName="ns2:Team5Diff2">
      <xmlPr mapId="4" xpath="/ns2:ScoreSheet/ns2:Diff2/ns2:Team5Diff2" xmlDataType="decimal"/>
    </xmlCellPr>
  </singleXmlCell>
  <singleXmlCell id="913" xr6:uid="{00000000-000C-0000-FFFF-FFFF8F030000}" r="E15" connectionId="0">
    <xmlCellPr id="1" xr6:uid="{00000000-0010-0000-8F03-000001000000}" uniqueName="ns2:Team5Diff3">
      <xmlPr mapId="4" xpath="/ns2:ScoreSheet/ns2:Diff2/ns2:Team5Diff3" xmlDataType="decimal"/>
    </xmlCellPr>
  </singleXmlCell>
  <singleXmlCell id="914" xr6:uid="{00000000-000C-0000-FFFF-FFFF90030000}" r="F15" connectionId="0">
    <xmlCellPr id="1" xr6:uid="{00000000-0010-0000-9003-000001000000}" uniqueName="ns2:Team5Diff4">
      <xmlPr mapId="4" xpath="/ns2:ScoreSheet/ns2:Diff2/ns2:Team5Diff4" xmlDataType="decimal"/>
    </xmlCellPr>
  </singleXmlCell>
  <singleXmlCell id="915" xr6:uid="{00000000-000C-0000-FFFF-FFFF91030000}" r="G15" connectionId="0">
    <xmlCellPr id="1" xr6:uid="{00000000-0010-0000-9103-000001000000}" uniqueName="ns2:Team5Diff5">
      <xmlPr mapId="4" xpath="/ns2:ScoreSheet/ns2:Diff2/ns2:Team5Diff5" xmlDataType="decimal"/>
    </xmlCellPr>
  </singleXmlCell>
  <singleXmlCell id="916" xr6:uid="{00000000-000C-0000-FFFF-FFFF92030000}" r="H15" connectionId="0">
    <xmlCellPr id="1" xr6:uid="{00000000-0010-0000-9203-000001000000}" uniqueName="ns2:Team5Diff6">
      <xmlPr mapId="4" xpath="/ns2:ScoreSheet/ns2:Diff2/ns2:Team5Diff6" xmlDataType="decimal"/>
    </xmlCellPr>
  </singleXmlCell>
  <singleXmlCell id="917" xr6:uid="{00000000-000C-0000-FFFF-FFFF93030000}" r="I15" connectionId="0">
    <xmlCellPr id="1" xr6:uid="{00000000-0010-0000-9303-000001000000}" uniqueName="ns2:Team5Diff7">
      <xmlPr mapId="4" xpath="/ns2:ScoreSheet/ns2:Diff2/ns2:Team5Diff7" xmlDataType="decimal"/>
    </xmlCellPr>
  </singleXmlCell>
  <singleXmlCell id="918" xr6:uid="{00000000-000C-0000-FFFF-FFFF94030000}" r="J15" connectionId="0">
    <xmlCellPr id="1" xr6:uid="{00000000-0010-0000-9403-000001000000}" uniqueName="ns2:Team5Diff8">
      <xmlPr mapId="4" xpath="/ns2:ScoreSheet/ns2:Diff2/ns2:Team5Diff8" xmlDataType="decimal"/>
    </xmlCellPr>
  </singleXmlCell>
  <singleXmlCell id="919" xr6:uid="{00000000-000C-0000-FFFF-FFFF95030000}" r="K15" connectionId="0">
    <xmlCellPr id="1" xr6:uid="{00000000-0010-0000-9503-000001000000}" uniqueName="ns2:Team5Diff9">
      <xmlPr mapId="4" xpath="/ns2:ScoreSheet/ns2:Diff2/ns2:Team5Diff9" xmlDataType="decimal"/>
    </xmlCellPr>
  </singleXmlCell>
  <singleXmlCell id="920" xr6:uid="{00000000-000C-0000-FFFF-FFFF96030000}" r="L15" connectionId="0">
    <xmlCellPr id="1" xr6:uid="{00000000-0010-0000-9603-000001000000}" uniqueName="ns2:Team5Diff10">
      <xmlPr mapId="4" xpath="/ns2:ScoreSheet/ns2:Diff2/ns2:Team5Diff10" xmlDataType="decimal"/>
    </xmlCellPr>
  </singleXmlCell>
  <singleXmlCell id="921" xr6:uid="{00000000-000C-0000-FFFF-FFFF97030000}" r="M15" connectionId="0">
    <xmlCellPr id="1" xr6:uid="{00000000-0010-0000-9703-000001000000}" uniqueName="ns2:Team5Diff11">
      <xmlPr mapId="4" xpath="/ns2:ScoreSheet/ns2:Diff2/ns2:Team5Diff11" xmlDataType="decimal"/>
    </xmlCellPr>
  </singleXmlCell>
  <singleXmlCell id="922" xr6:uid="{00000000-000C-0000-FFFF-FFFF98030000}" r="N15" connectionId="0">
    <xmlCellPr id="1" xr6:uid="{00000000-0010-0000-9803-000001000000}" uniqueName="ns2:Team5Diff12">
      <xmlPr mapId="4" xpath="/ns2:ScoreSheet/ns2:Diff2/ns2:Team5Diff12" xmlDataType="decimal"/>
    </xmlCellPr>
  </singleXmlCell>
  <singleXmlCell id="923" xr6:uid="{00000000-000C-0000-FFFF-FFFF99030000}" r="O15" connectionId="0">
    <xmlCellPr id="1" xr6:uid="{00000000-0010-0000-9903-000001000000}" uniqueName="ns2:Team5Diff13">
      <xmlPr mapId="4" xpath="/ns2:ScoreSheet/ns2:Diff2/ns2:Team5Diff13" xmlDataType="decimal"/>
    </xmlCellPr>
  </singleXmlCell>
  <singleXmlCell id="924" xr6:uid="{00000000-000C-0000-FFFF-FFFF9A030000}" r="P15" connectionId="0">
    <xmlCellPr id="1" xr6:uid="{00000000-0010-0000-9A03-000001000000}" uniqueName="ns2:Team5Diff14">
      <xmlPr mapId="4" xpath="/ns2:ScoreSheet/ns2:Diff2/ns2:Team5Diff14" xmlDataType="decimal"/>
    </xmlCellPr>
  </singleXmlCell>
  <singleXmlCell id="925" xr6:uid="{00000000-000C-0000-FFFF-FFFF9B030000}" r="Q15" connectionId="0">
    <xmlCellPr id="1" xr6:uid="{00000000-0010-0000-9B03-000001000000}" uniqueName="ns2:Team5Diff15">
      <xmlPr mapId="4" xpath="/ns2:ScoreSheet/ns2:Diff2/ns2:Team5Diff15" xmlDataType="decimal"/>
    </xmlCellPr>
  </singleXmlCell>
  <singleXmlCell id="926" xr6:uid="{00000000-000C-0000-FFFF-FFFF9C030000}" r="R15" connectionId="0">
    <xmlCellPr id="1" xr6:uid="{00000000-0010-0000-9C03-000001000000}" uniqueName="ns2:Team5Diff16">
      <xmlPr mapId="4" xpath="/ns2:ScoreSheet/ns2:Diff2/ns2:Team5Diff16" xmlDataType="decimal"/>
    </xmlCellPr>
  </singleXmlCell>
  <singleXmlCell id="927" xr6:uid="{00000000-000C-0000-FFFF-FFFF9D030000}" r="S15" connectionId="0">
    <xmlCellPr id="1" xr6:uid="{00000000-0010-0000-9D03-000001000000}" uniqueName="ns2:Team5Diff17">
      <xmlPr mapId="4" xpath="/ns2:ScoreSheet/ns2:Diff2/ns2:Team5Diff17" xmlDataType="decimal"/>
    </xmlCellPr>
  </singleXmlCell>
  <singleXmlCell id="928" xr6:uid="{00000000-000C-0000-FFFF-FFFF9E030000}" r="T15" connectionId="0">
    <xmlCellPr id="1" xr6:uid="{00000000-0010-0000-9E03-000001000000}" uniqueName="ns2:Team5Diff18">
      <xmlPr mapId="4" xpath="/ns2:ScoreSheet/ns2:Diff2/ns2:Team5Diff18" xmlDataType="decimal"/>
    </xmlCellPr>
  </singleXmlCell>
  <singleXmlCell id="929" xr6:uid="{00000000-000C-0000-FFFF-FFFF9F030000}" r="U15" connectionId="0">
    <xmlCellPr id="1" xr6:uid="{00000000-0010-0000-9F03-000001000000}" uniqueName="ns2:Team5Diff19">
      <xmlPr mapId="4" xpath="/ns2:ScoreSheet/ns2:Diff2/ns2:Team5Diff19" xmlDataType="decimal"/>
    </xmlCellPr>
  </singleXmlCell>
  <singleXmlCell id="930" xr6:uid="{00000000-000C-0000-FFFF-FFFFA0030000}" r="V15" connectionId="0">
    <xmlCellPr id="1" xr6:uid="{00000000-0010-0000-A003-000001000000}" uniqueName="ns2:Team5Diff20">
      <xmlPr mapId="4" xpath="/ns2:ScoreSheet/ns2:Diff2/ns2:Team5Diff20" xmlDataType="decimal"/>
    </xmlCellPr>
  </singleXmlCell>
  <singleXmlCell id="931" xr6:uid="{00000000-000C-0000-FFFF-FFFFA1030000}" r="C14" connectionId="0">
    <xmlCellPr id="1" xr6:uid="{00000000-0010-0000-A103-000001000000}" uniqueName="ns2:Team5Consec1">
      <xmlPr mapId="4" xpath="/ns2:ScoreSheet/ns2:Diff2/ns2:Team5Consec1" xmlDataType="string"/>
    </xmlCellPr>
  </singleXmlCell>
  <singleXmlCell id="932" xr6:uid="{00000000-000C-0000-FFFF-FFFFA2030000}" r="D14" connectionId="0">
    <xmlCellPr id="1" xr6:uid="{00000000-0010-0000-A203-000001000000}" uniqueName="ns2:Team5Consec2">
      <xmlPr mapId="4" xpath="/ns2:ScoreSheet/ns2:Diff2/ns2:Team5Consec2" xmlDataType="string"/>
    </xmlCellPr>
  </singleXmlCell>
  <singleXmlCell id="933" xr6:uid="{00000000-000C-0000-FFFF-FFFFA3030000}" r="E14" connectionId="0">
    <xmlCellPr id="1" xr6:uid="{00000000-0010-0000-A303-000001000000}" uniqueName="ns2:Team5Consec3">
      <xmlPr mapId="4" xpath="/ns2:ScoreSheet/ns2:Diff2/ns2:Team5Consec3" xmlDataType="string"/>
    </xmlCellPr>
  </singleXmlCell>
  <singleXmlCell id="934" xr6:uid="{00000000-000C-0000-FFFF-FFFFA4030000}" r="F14" connectionId="0">
    <xmlCellPr id="1" xr6:uid="{00000000-0010-0000-A403-000001000000}" uniqueName="ns2:Team5Consec4">
      <xmlPr mapId="4" xpath="/ns2:ScoreSheet/ns2:Diff2/ns2:Team5Consec4" xmlDataType="string"/>
    </xmlCellPr>
  </singleXmlCell>
  <singleXmlCell id="935" xr6:uid="{00000000-000C-0000-FFFF-FFFFA5030000}" r="G14" connectionId="0">
    <xmlCellPr id="1" xr6:uid="{00000000-0010-0000-A503-000001000000}" uniqueName="ns2:Team5Consec5">
      <xmlPr mapId="4" xpath="/ns2:ScoreSheet/ns2:Diff2/ns2:Team5Consec5" xmlDataType="string"/>
    </xmlCellPr>
  </singleXmlCell>
  <singleXmlCell id="936" xr6:uid="{00000000-000C-0000-FFFF-FFFFA6030000}" r="H14" connectionId="0">
    <xmlCellPr id="1" xr6:uid="{00000000-0010-0000-A603-000001000000}" uniqueName="ns2:Team5Consec6">
      <xmlPr mapId="4" xpath="/ns2:ScoreSheet/ns2:Diff2/ns2:Team5Consec6" xmlDataType="string"/>
    </xmlCellPr>
  </singleXmlCell>
  <singleXmlCell id="937" xr6:uid="{00000000-000C-0000-FFFF-FFFFA7030000}" r="I14" connectionId="0">
    <xmlCellPr id="1" xr6:uid="{00000000-0010-0000-A703-000001000000}" uniqueName="ns2:Team5Consec7">
      <xmlPr mapId="4" xpath="/ns2:ScoreSheet/ns2:Diff2/ns2:Team5Consec7" xmlDataType="string"/>
    </xmlCellPr>
  </singleXmlCell>
  <singleXmlCell id="938" xr6:uid="{00000000-000C-0000-FFFF-FFFFA8030000}" r="J14" connectionId="0">
    <xmlCellPr id="1" xr6:uid="{00000000-0010-0000-A803-000001000000}" uniqueName="ns2:Team5Consec8">
      <xmlPr mapId="4" xpath="/ns2:ScoreSheet/ns2:Diff2/ns2:Team5Consec8" xmlDataType="string"/>
    </xmlCellPr>
  </singleXmlCell>
  <singleXmlCell id="939" xr6:uid="{00000000-000C-0000-FFFF-FFFFA9030000}" r="K14" connectionId="0">
    <xmlCellPr id="1" xr6:uid="{00000000-0010-0000-A903-000001000000}" uniqueName="ns2:Team5Consec9">
      <xmlPr mapId="4" xpath="/ns2:ScoreSheet/ns2:Diff2/ns2:Team5Consec9" xmlDataType="string"/>
    </xmlCellPr>
  </singleXmlCell>
  <singleXmlCell id="940" xr6:uid="{00000000-000C-0000-FFFF-FFFFAA030000}" r="L14" connectionId="0">
    <xmlCellPr id="1" xr6:uid="{00000000-0010-0000-AA03-000001000000}" uniqueName="ns2:Team5Consec10">
      <xmlPr mapId="4" xpath="/ns2:ScoreSheet/ns2:Diff2/ns2:Team5Consec10" xmlDataType="string"/>
    </xmlCellPr>
  </singleXmlCell>
  <singleXmlCell id="941" xr6:uid="{00000000-000C-0000-FFFF-FFFFAB030000}" r="M14" connectionId="0">
    <xmlCellPr id="1" xr6:uid="{00000000-0010-0000-AB03-000001000000}" uniqueName="ns2:Team5Consec11">
      <xmlPr mapId="4" xpath="/ns2:ScoreSheet/ns2:Diff2/ns2:Team5Consec11" xmlDataType="string"/>
    </xmlCellPr>
  </singleXmlCell>
  <singleXmlCell id="942" xr6:uid="{00000000-000C-0000-FFFF-FFFFAC030000}" r="N14" connectionId="0">
    <xmlCellPr id="1" xr6:uid="{00000000-0010-0000-AC03-000001000000}" uniqueName="ns2:Team5Consec12">
      <xmlPr mapId="4" xpath="/ns2:ScoreSheet/ns2:Diff2/ns2:Team5Consec12" xmlDataType="string"/>
    </xmlCellPr>
  </singleXmlCell>
  <singleXmlCell id="943" xr6:uid="{00000000-000C-0000-FFFF-FFFFAD030000}" r="O14" connectionId="0">
    <xmlCellPr id="1" xr6:uid="{00000000-0010-0000-AD03-000001000000}" uniqueName="ns2:Team5Consec13">
      <xmlPr mapId="4" xpath="/ns2:ScoreSheet/ns2:Diff2/ns2:Team5Consec13" xmlDataType="string"/>
    </xmlCellPr>
  </singleXmlCell>
  <singleXmlCell id="944" xr6:uid="{00000000-000C-0000-FFFF-FFFFAE030000}" r="P14" connectionId="0">
    <xmlCellPr id="1" xr6:uid="{00000000-0010-0000-AE03-000001000000}" uniqueName="ns2:Team5Consec14">
      <xmlPr mapId="4" xpath="/ns2:ScoreSheet/ns2:Diff2/ns2:Team5Consec14" xmlDataType="string"/>
    </xmlCellPr>
  </singleXmlCell>
  <singleXmlCell id="945" xr6:uid="{00000000-000C-0000-FFFF-FFFFAF030000}" r="Q14" connectionId="0">
    <xmlCellPr id="1" xr6:uid="{00000000-0010-0000-AF03-000001000000}" uniqueName="ns2:Team5Consec15">
      <xmlPr mapId="4" xpath="/ns2:ScoreSheet/ns2:Diff2/ns2:Team5Consec15" xmlDataType="string"/>
    </xmlCellPr>
  </singleXmlCell>
  <singleXmlCell id="946" xr6:uid="{00000000-000C-0000-FFFF-FFFFB0030000}" r="R14" connectionId="0">
    <xmlCellPr id="1" xr6:uid="{00000000-0010-0000-B003-000001000000}" uniqueName="ns2:Team5Consec16">
      <xmlPr mapId="4" xpath="/ns2:ScoreSheet/ns2:Diff2/ns2:Team5Consec16" xmlDataType="string"/>
    </xmlCellPr>
  </singleXmlCell>
  <singleXmlCell id="947" xr6:uid="{00000000-000C-0000-FFFF-FFFFB1030000}" r="S14" connectionId="0">
    <xmlCellPr id="1" xr6:uid="{00000000-0010-0000-B103-000001000000}" uniqueName="ns2:Team5Consec17">
      <xmlPr mapId="4" xpath="/ns2:ScoreSheet/ns2:Diff2/ns2:Team5Consec17" xmlDataType="string"/>
    </xmlCellPr>
  </singleXmlCell>
  <singleXmlCell id="948" xr6:uid="{00000000-000C-0000-FFFF-FFFFB2030000}" r="T14" connectionId="0">
    <xmlCellPr id="1" xr6:uid="{00000000-0010-0000-B203-000001000000}" uniqueName="ns2:Team5Consec18">
      <xmlPr mapId="4" xpath="/ns2:ScoreSheet/ns2:Diff2/ns2:Team5Consec18" xmlDataType="string"/>
    </xmlCellPr>
  </singleXmlCell>
  <singleXmlCell id="949" xr6:uid="{00000000-000C-0000-FFFF-FFFFB3030000}" r="U14" connectionId="0">
    <xmlCellPr id="1" xr6:uid="{00000000-0010-0000-B303-000001000000}" uniqueName="ns2:Team5Consec19">
      <xmlPr mapId="4" xpath="/ns2:ScoreSheet/ns2:Diff2/ns2:Team5Consec19" xmlDataType="string"/>
    </xmlCellPr>
  </singleXmlCell>
  <singleXmlCell id="950" xr6:uid="{00000000-000C-0000-FFFF-FFFFB4030000}" r="V14" connectionId="0">
    <xmlCellPr id="1" xr6:uid="{00000000-0010-0000-B403-000001000000}" uniqueName="ns2:Team5Consec20">
      <xmlPr mapId="4" xpath="/ns2:ScoreSheet/ns2:Diff2/ns2:Team5Consec20" xmlDataType="string"/>
    </xmlCellPr>
  </singleXmlCell>
  <singleXmlCell id="951" xr6:uid="{00000000-000C-0000-FFFF-FFFFB5030000}" r="C17" connectionId="0">
    <xmlCellPr id="1" xr6:uid="{00000000-0010-0000-B503-000001000000}" uniqueName="ns2:Team6Diff1">
      <xmlPr mapId="4" xpath="/ns2:ScoreSheet/ns2:Diff2/ns2:Team6Diff1" xmlDataType="decimal"/>
    </xmlCellPr>
  </singleXmlCell>
  <singleXmlCell id="952" xr6:uid="{00000000-000C-0000-FFFF-FFFFB6030000}" r="D17" connectionId="0">
    <xmlCellPr id="1" xr6:uid="{00000000-0010-0000-B603-000001000000}" uniqueName="ns2:Team6Diff2">
      <xmlPr mapId="4" xpath="/ns2:ScoreSheet/ns2:Diff2/ns2:Team6Diff2" xmlDataType="decimal"/>
    </xmlCellPr>
  </singleXmlCell>
  <singleXmlCell id="953" xr6:uid="{00000000-000C-0000-FFFF-FFFFB7030000}" r="E17" connectionId="0">
    <xmlCellPr id="1" xr6:uid="{00000000-0010-0000-B703-000001000000}" uniqueName="ns2:Team6Diff3">
      <xmlPr mapId="4" xpath="/ns2:ScoreSheet/ns2:Diff2/ns2:Team6Diff3" xmlDataType="decimal"/>
    </xmlCellPr>
  </singleXmlCell>
  <singleXmlCell id="954" xr6:uid="{00000000-000C-0000-FFFF-FFFFB8030000}" r="F17" connectionId="0">
    <xmlCellPr id="1" xr6:uid="{00000000-0010-0000-B803-000001000000}" uniqueName="ns2:Team6Diff4">
      <xmlPr mapId="4" xpath="/ns2:ScoreSheet/ns2:Diff2/ns2:Team6Diff4" xmlDataType="decimal"/>
    </xmlCellPr>
  </singleXmlCell>
  <singleXmlCell id="955" xr6:uid="{00000000-000C-0000-FFFF-FFFFB9030000}" r="G17" connectionId="0">
    <xmlCellPr id="1" xr6:uid="{00000000-0010-0000-B903-000001000000}" uniqueName="ns2:Team6Diff5">
      <xmlPr mapId="4" xpath="/ns2:ScoreSheet/ns2:Diff2/ns2:Team6Diff5" xmlDataType="decimal"/>
    </xmlCellPr>
  </singleXmlCell>
  <singleXmlCell id="956" xr6:uid="{00000000-000C-0000-FFFF-FFFFBA030000}" r="H17" connectionId="0">
    <xmlCellPr id="1" xr6:uid="{00000000-0010-0000-BA03-000001000000}" uniqueName="ns2:Team6Diff6">
      <xmlPr mapId="4" xpath="/ns2:ScoreSheet/ns2:Diff2/ns2:Team6Diff6" xmlDataType="decimal"/>
    </xmlCellPr>
  </singleXmlCell>
  <singleXmlCell id="957" xr6:uid="{00000000-000C-0000-FFFF-FFFFBB030000}" r="I17" connectionId="0">
    <xmlCellPr id="1" xr6:uid="{00000000-0010-0000-BB03-000001000000}" uniqueName="ns2:Team6Diff7">
      <xmlPr mapId="4" xpath="/ns2:ScoreSheet/ns2:Diff2/ns2:Team6Diff7" xmlDataType="decimal"/>
    </xmlCellPr>
  </singleXmlCell>
  <singleXmlCell id="958" xr6:uid="{00000000-000C-0000-FFFF-FFFFBC030000}" r="J17" connectionId="0">
    <xmlCellPr id="1" xr6:uid="{00000000-0010-0000-BC03-000001000000}" uniqueName="ns2:Team6Diff8">
      <xmlPr mapId="4" xpath="/ns2:ScoreSheet/ns2:Diff2/ns2:Team6Diff8" xmlDataType="decimal"/>
    </xmlCellPr>
  </singleXmlCell>
  <singleXmlCell id="959" xr6:uid="{00000000-000C-0000-FFFF-FFFFBD030000}" r="K17" connectionId="0">
    <xmlCellPr id="1" xr6:uid="{00000000-0010-0000-BD03-000001000000}" uniqueName="ns2:Team6Diff9">
      <xmlPr mapId="4" xpath="/ns2:ScoreSheet/ns2:Diff2/ns2:Team6Diff9" xmlDataType="decimal"/>
    </xmlCellPr>
  </singleXmlCell>
  <singleXmlCell id="960" xr6:uid="{00000000-000C-0000-FFFF-FFFFBE030000}" r="L17" connectionId="0">
    <xmlCellPr id="1" xr6:uid="{00000000-0010-0000-BE03-000001000000}" uniqueName="ns2:Team6Diff10">
      <xmlPr mapId="4" xpath="/ns2:ScoreSheet/ns2:Diff2/ns2:Team6Diff10" xmlDataType="decimal"/>
    </xmlCellPr>
  </singleXmlCell>
  <singleXmlCell id="961" xr6:uid="{00000000-000C-0000-FFFF-FFFFBF030000}" r="M17" connectionId="0">
    <xmlCellPr id="1" xr6:uid="{00000000-0010-0000-BF03-000001000000}" uniqueName="ns2:Team6Diff11">
      <xmlPr mapId="4" xpath="/ns2:ScoreSheet/ns2:Diff2/ns2:Team6Diff11" xmlDataType="decimal"/>
    </xmlCellPr>
  </singleXmlCell>
  <singleXmlCell id="962" xr6:uid="{00000000-000C-0000-FFFF-FFFFC0030000}" r="N17" connectionId="0">
    <xmlCellPr id="1" xr6:uid="{00000000-0010-0000-C003-000001000000}" uniqueName="ns2:Team6Diff12">
      <xmlPr mapId="4" xpath="/ns2:ScoreSheet/ns2:Diff2/ns2:Team6Diff12" xmlDataType="decimal"/>
    </xmlCellPr>
  </singleXmlCell>
  <singleXmlCell id="963" xr6:uid="{00000000-000C-0000-FFFF-FFFFC1030000}" r="O17" connectionId="0">
    <xmlCellPr id="1" xr6:uid="{00000000-0010-0000-C103-000001000000}" uniqueName="ns2:Team6Diff13">
      <xmlPr mapId="4" xpath="/ns2:ScoreSheet/ns2:Diff2/ns2:Team6Diff13" xmlDataType="decimal"/>
    </xmlCellPr>
  </singleXmlCell>
  <singleXmlCell id="964" xr6:uid="{00000000-000C-0000-FFFF-FFFFC2030000}" r="P17" connectionId="0">
    <xmlCellPr id="1" xr6:uid="{00000000-0010-0000-C203-000001000000}" uniqueName="ns2:Team6Diff14">
      <xmlPr mapId="4" xpath="/ns2:ScoreSheet/ns2:Diff2/ns2:Team6Diff14" xmlDataType="decimal"/>
    </xmlCellPr>
  </singleXmlCell>
  <singleXmlCell id="965" xr6:uid="{00000000-000C-0000-FFFF-FFFFC3030000}" r="Q17" connectionId="0">
    <xmlCellPr id="1" xr6:uid="{00000000-0010-0000-C303-000001000000}" uniqueName="ns2:Team6Diff15">
      <xmlPr mapId="4" xpath="/ns2:ScoreSheet/ns2:Diff2/ns2:Team6Diff15" xmlDataType="decimal"/>
    </xmlCellPr>
  </singleXmlCell>
  <singleXmlCell id="966" xr6:uid="{00000000-000C-0000-FFFF-FFFFC4030000}" r="R17" connectionId="0">
    <xmlCellPr id="1" xr6:uid="{00000000-0010-0000-C403-000001000000}" uniqueName="ns2:Team6Diff16">
      <xmlPr mapId="4" xpath="/ns2:ScoreSheet/ns2:Diff2/ns2:Team6Diff16" xmlDataType="decimal"/>
    </xmlCellPr>
  </singleXmlCell>
  <singleXmlCell id="967" xr6:uid="{00000000-000C-0000-FFFF-FFFFC5030000}" r="S17" connectionId="0">
    <xmlCellPr id="1" xr6:uid="{00000000-0010-0000-C503-000001000000}" uniqueName="ns2:Team6Diff17">
      <xmlPr mapId="4" xpath="/ns2:ScoreSheet/ns2:Diff2/ns2:Team6Diff17" xmlDataType="decimal"/>
    </xmlCellPr>
  </singleXmlCell>
  <singleXmlCell id="968" xr6:uid="{00000000-000C-0000-FFFF-FFFFC6030000}" r="T17" connectionId="0">
    <xmlCellPr id="1" xr6:uid="{00000000-0010-0000-C603-000001000000}" uniqueName="ns2:Team6Diff18">
      <xmlPr mapId="4" xpath="/ns2:ScoreSheet/ns2:Diff2/ns2:Team6Diff18" xmlDataType="decimal"/>
    </xmlCellPr>
  </singleXmlCell>
  <singleXmlCell id="969" xr6:uid="{00000000-000C-0000-FFFF-FFFFC7030000}" r="U17" connectionId="0">
    <xmlCellPr id="1" xr6:uid="{00000000-0010-0000-C703-000001000000}" uniqueName="ns2:Team6Diff19">
      <xmlPr mapId="4" xpath="/ns2:ScoreSheet/ns2:Diff2/ns2:Team6Diff19" xmlDataType="decimal"/>
    </xmlCellPr>
  </singleXmlCell>
  <singleXmlCell id="970" xr6:uid="{00000000-000C-0000-FFFF-FFFFC8030000}" r="V17" connectionId="0">
    <xmlCellPr id="1" xr6:uid="{00000000-0010-0000-C803-000001000000}" uniqueName="ns2:Team6Diff20">
      <xmlPr mapId="4" xpath="/ns2:ScoreSheet/ns2:Diff2/ns2:Team6Diff20" xmlDataType="decimal"/>
    </xmlCellPr>
  </singleXmlCell>
  <singleXmlCell id="971" xr6:uid="{00000000-000C-0000-FFFF-FFFFC9030000}" r="C16" connectionId="0">
    <xmlCellPr id="1" xr6:uid="{00000000-0010-0000-C903-000001000000}" uniqueName="ns2:Team6Consec1">
      <xmlPr mapId="4" xpath="/ns2:ScoreSheet/ns2:Diff2/ns2:Team6Consec1" xmlDataType="string"/>
    </xmlCellPr>
  </singleXmlCell>
  <singleXmlCell id="972" xr6:uid="{00000000-000C-0000-FFFF-FFFFCA030000}" r="D16" connectionId="0">
    <xmlCellPr id="1" xr6:uid="{00000000-0010-0000-CA03-000001000000}" uniqueName="ns2:Team6Consec2">
      <xmlPr mapId="4" xpath="/ns2:ScoreSheet/ns2:Diff2/ns2:Team6Consec2" xmlDataType="string"/>
    </xmlCellPr>
  </singleXmlCell>
  <singleXmlCell id="973" xr6:uid="{00000000-000C-0000-FFFF-FFFFCB030000}" r="E16" connectionId="0">
    <xmlCellPr id="1" xr6:uid="{00000000-0010-0000-CB03-000001000000}" uniqueName="ns2:Team6Consec3">
      <xmlPr mapId="4" xpath="/ns2:ScoreSheet/ns2:Diff2/ns2:Team6Consec3" xmlDataType="string"/>
    </xmlCellPr>
  </singleXmlCell>
  <singleXmlCell id="974" xr6:uid="{00000000-000C-0000-FFFF-FFFFCC030000}" r="F16" connectionId="0">
    <xmlCellPr id="1" xr6:uid="{00000000-0010-0000-CC03-000001000000}" uniqueName="ns2:Team6Consec4">
      <xmlPr mapId="4" xpath="/ns2:ScoreSheet/ns2:Diff2/ns2:Team6Consec4" xmlDataType="string"/>
    </xmlCellPr>
  </singleXmlCell>
  <singleXmlCell id="975" xr6:uid="{00000000-000C-0000-FFFF-FFFFCD030000}" r="G16" connectionId="0">
    <xmlCellPr id="1" xr6:uid="{00000000-0010-0000-CD03-000001000000}" uniqueName="ns2:Team6Consec5">
      <xmlPr mapId="4" xpath="/ns2:ScoreSheet/ns2:Diff2/ns2:Team6Consec5" xmlDataType="string"/>
    </xmlCellPr>
  </singleXmlCell>
  <singleXmlCell id="976" xr6:uid="{00000000-000C-0000-FFFF-FFFFCE030000}" r="H16" connectionId="0">
    <xmlCellPr id="1" xr6:uid="{00000000-0010-0000-CE03-000001000000}" uniqueName="ns2:Team6Consec6">
      <xmlPr mapId="4" xpath="/ns2:ScoreSheet/ns2:Diff2/ns2:Team6Consec6" xmlDataType="string"/>
    </xmlCellPr>
  </singleXmlCell>
  <singleXmlCell id="977" xr6:uid="{00000000-000C-0000-FFFF-FFFFCF030000}" r="I16" connectionId="0">
    <xmlCellPr id="1" xr6:uid="{00000000-0010-0000-CF03-000001000000}" uniqueName="ns2:Team6Consec7">
      <xmlPr mapId="4" xpath="/ns2:ScoreSheet/ns2:Diff2/ns2:Team6Consec7" xmlDataType="string"/>
    </xmlCellPr>
  </singleXmlCell>
  <singleXmlCell id="978" xr6:uid="{00000000-000C-0000-FFFF-FFFFD0030000}" r="J16" connectionId="0">
    <xmlCellPr id="1" xr6:uid="{00000000-0010-0000-D003-000001000000}" uniqueName="ns2:Team6Consec8">
      <xmlPr mapId="4" xpath="/ns2:ScoreSheet/ns2:Diff2/ns2:Team6Consec8" xmlDataType="string"/>
    </xmlCellPr>
  </singleXmlCell>
  <singleXmlCell id="979" xr6:uid="{00000000-000C-0000-FFFF-FFFFD1030000}" r="K16" connectionId="0">
    <xmlCellPr id="1" xr6:uid="{00000000-0010-0000-D103-000001000000}" uniqueName="ns2:Team6Consec9">
      <xmlPr mapId="4" xpath="/ns2:ScoreSheet/ns2:Diff2/ns2:Team6Consec9" xmlDataType="string"/>
    </xmlCellPr>
  </singleXmlCell>
  <singleXmlCell id="980" xr6:uid="{00000000-000C-0000-FFFF-FFFFD2030000}" r="L16" connectionId="0">
    <xmlCellPr id="1" xr6:uid="{00000000-0010-0000-D203-000001000000}" uniqueName="ns2:Team6Consec10">
      <xmlPr mapId="4" xpath="/ns2:ScoreSheet/ns2:Diff2/ns2:Team6Consec10" xmlDataType="string"/>
    </xmlCellPr>
  </singleXmlCell>
  <singleXmlCell id="981" xr6:uid="{00000000-000C-0000-FFFF-FFFFD3030000}" r="M16" connectionId="0">
    <xmlCellPr id="1" xr6:uid="{00000000-0010-0000-D303-000001000000}" uniqueName="ns2:Team6Consec11">
      <xmlPr mapId="4" xpath="/ns2:ScoreSheet/ns2:Diff2/ns2:Team6Consec11" xmlDataType="string"/>
    </xmlCellPr>
  </singleXmlCell>
  <singleXmlCell id="982" xr6:uid="{00000000-000C-0000-FFFF-FFFFD4030000}" r="N16" connectionId="0">
    <xmlCellPr id="1" xr6:uid="{00000000-0010-0000-D403-000001000000}" uniqueName="ns2:Team6Consec12">
      <xmlPr mapId="4" xpath="/ns2:ScoreSheet/ns2:Diff2/ns2:Team6Consec12" xmlDataType="string"/>
    </xmlCellPr>
  </singleXmlCell>
  <singleXmlCell id="983" xr6:uid="{00000000-000C-0000-FFFF-FFFFD5030000}" r="O16" connectionId="0">
    <xmlCellPr id="1" xr6:uid="{00000000-0010-0000-D503-000001000000}" uniqueName="ns2:Team6Consec13">
      <xmlPr mapId="4" xpath="/ns2:ScoreSheet/ns2:Diff2/ns2:Team6Consec13" xmlDataType="string"/>
    </xmlCellPr>
  </singleXmlCell>
  <singleXmlCell id="984" xr6:uid="{00000000-000C-0000-FFFF-FFFFD6030000}" r="P16" connectionId="0">
    <xmlCellPr id="1" xr6:uid="{00000000-0010-0000-D603-000001000000}" uniqueName="ns2:Team6Consec14">
      <xmlPr mapId="4" xpath="/ns2:ScoreSheet/ns2:Diff2/ns2:Team6Consec14" xmlDataType="string"/>
    </xmlCellPr>
  </singleXmlCell>
  <singleXmlCell id="985" xr6:uid="{00000000-000C-0000-FFFF-FFFFD7030000}" r="Q16" connectionId="0">
    <xmlCellPr id="1" xr6:uid="{00000000-0010-0000-D703-000001000000}" uniqueName="ns2:Team6Consec15">
      <xmlPr mapId="4" xpath="/ns2:ScoreSheet/ns2:Diff2/ns2:Team6Consec15" xmlDataType="string"/>
    </xmlCellPr>
  </singleXmlCell>
  <singleXmlCell id="986" xr6:uid="{00000000-000C-0000-FFFF-FFFFD8030000}" r="R16" connectionId="0">
    <xmlCellPr id="1" xr6:uid="{00000000-0010-0000-D803-000001000000}" uniqueName="ns2:Team6Consec16">
      <xmlPr mapId="4" xpath="/ns2:ScoreSheet/ns2:Diff2/ns2:Team6Consec16" xmlDataType="string"/>
    </xmlCellPr>
  </singleXmlCell>
  <singleXmlCell id="987" xr6:uid="{00000000-000C-0000-FFFF-FFFFD9030000}" r="S16" connectionId="0">
    <xmlCellPr id="1" xr6:uid="{00000000-0010-0000-D903-000001000000}" uniqueName="ns2:Team6Consec17">
      <xmlPr mapId="4" xpath="/ns2:ScoreSheet/ns2:Diff2/ns2:Team6Consec17" xmlDataType="string"/>
    </xmlCellPr>
  </singleXmlCell>
  <singleXmlCell id="988" xr6:uid="{00000000-000C-0000-FFFF-FFFFDA030000}" r="T16" connectionId="0">
    <xmlCellPr id="1" xr6:uid="{00000000-0010-0000-DA03-000001000000}" uniqueName="ns2:Team6Consec18">
      <xmlPr mapId="4" xpath="/ns2:ScoreSheet/ns2:Diff2/ns2:Team6Consec18" xmlDataType="string"/>
    </xmlCellPr>
  </singleXmlCell>
  <singleXmlCell id="989" xr6:uid="{00000000-000C-0000-FFFF-FFFFDB030000}" r="U16" connectionId="0">
    <xmlCellPr id="1" xr6:uid="{00000000-0010-0000-DB03-000001000000}" uniqueName="ns2:Team6Consec19">
      <xmlPr mapId="4" xpath="/ns2:ScoreSheet/ns2:Diff2/ns2:Team6Consec19" xmlDataType="string"/>
    </xmlCellPr>
  </singleXmlCell>
  <singleXmlCell id="990" xr6:uid="{00000000-000C-0000-FFFF-FFFFDC030000}" r="V16" connectionId="0">
    <xmlCellPr id="1" xr6:uid="{00000000-0010-0000-DC03-000001000000}" uniqueName="ns2:Team6Consec20">
      <xmlPr mapId="4" xpath="/ns2:ScoreSheet/ns2:Diff2/ns2:Team6Consec20" xmlDataType="string"/>
    </xmlCellPr>
  </singleXmlCell>
  <singleXmlCell id="991" xr6:uid="{00000000-000C-0000-FFFF-FFFFDD030000}" r="C19" connectionId="0">
    <xmlCellPr id="1" xr6:uid="{00000000-0010-0000-DD03-000001000000}" uniqueName="ns2:Team7Diff1">
      <xmlPr mapId="4" xpath="/ns2:ScoreSheet/ns2:Diff2/ns2:Team7Diff1" xmlDataType="decimal"/>
    </xmlCellPr>
  </singleXmlCell>
  <singleXmlCell id="992" xr6:uid="{00000000-000C-0000-FFFF-FFFFDE030000}" r="D19" connectionId="0">
    <xmlCellPr id="1" xr6:uid="{00000000-0010-0000-DE03-000001000000}" uniqueName="ns2:Team7Diff2">
      <xmlPr mapId="4" xpath="/ns2:ScoreSheet/ns2:Diff2/ns2:Team7Diff2" xmlDataType="decimal"/>
    </xmlCellPr>
  </singleXmlCell>
  <singleXmlCell id="993" xr6:uid="{00000000-000C-0000-FFFF-FFFFDF030000}" r="E19" connectionId="0">
    <xmlCellPr id="1" xr6:uid="{00000000-0010-0000-DF03-000001000000}" uniqueName="ns2:Team7Diff3">
      <xmlPr mapId="4" xpath="/ns2:ScoreSheet/ns2:Diff2/ns2:Team7Diff3" xmlDataType="decimal"/>
    </xmlCellPr>
  </singleXmlCell>
  <singleXmlCell id="994" xr6:uid="{00000000-000C-0000-FFFF-FFFFE0030000}" r="F19" connectionId="0">
    <xmlCellPr id="1" xr6:uid="{00000000-0010-0000-E003-000001000000}" uniqueName="ns2:Team7Diff4">
      <xmlPr mapId="4" xpath="/ns2:ScoreSheet/ns2:Diff2/ns2:Team7Diff4" xmlDataType="decimal"/>
    </xmlCellPr>
  </singleXmlCell>
  <singleXmlCell id="995" xr6:uid="{00000000-000C-0000-FFFF-FFFFE1030000}" r="G19" connectionId="0">
    <xmlCellPr id="1" xr6:uid="{00000000-0010-0000-E103-000001000000}" uniqueName="ns2:Team7Diff5">
      <xmlPr mapId="4" xpath="/ns2:ScoreSheet/ns2:Diff2/ns2:Team7Diff5" xmlDataType="decimal"/>
    </xmlCellPr>
  </singleXmlCell>
  <singleXmlCell id="996" xr6:uid="{00000000-000C-0000-FFFF-FFFFE2030000}" r="H19" connectionId="0">
    <xmlCellPr id="1" xr6:uid="{00000000-0010-0000-E203-000001000000}" uniqueName="ns2:Team7Diff6">
      <xmlPr mapId="4" xpath="/ns2:ScoreSheet/ns2:Diff2/ns2:Team7Diff6" xmlDataType="decimal"/>
    </xmlCellPr>
  </singleXmlCell>
  <singleXmlCell id="997" xr6:uid="{00000000-000C-0000-FFFF-FFFFE3030000}" r="I19" connectionId="0">
    <xmlCellPr id="1" xr6:uid="{00000000-0010-0000-E303-000001000000}" uniqueName="ns2:Team7Diff7">
      <xmlPr mapId="4" xpath="/ns2:ScoreSheet/ns2:Diff2/ns2:Team7Diff7" xmlDataType="decimal"/>
    </xmlCellPr>
  </singleXmlCell>
  <singleXmlCell id="998" xr6:uid="{00000000-000C-0000-FFFF-FFFFE4030000}" r="J19" connectionId="0">
    <xmlCellPr id="1" xr6:uid="{00000000-0010-0000-E403-000001000000}" uniqueName="ns2:Team7Diff8">
      <xmlPr mapId="4" xpath="/ns2:ScoreSheet/ns2:Diff2/ns2:Team7Diff8" xmlDataType="decimal"/>
    </xmlCellPr>
  </singleXmlCell>
  <singleXmlCell id="999" xr6:uid="{00000000-000C-0000-FFFF-FFFFE5030000}" r="K19" connectionId="0">
    <xmlCellPr id="1" xr6:uid="{00000000-0010-0000-E503-000001000000}" uniqueName="ns2:Team7Diff9">
      <xmlPr mapId="4" xpath="/ns2:ScoreSheet/ns2:Diff2/ns2:Team7Diff9" xmlDataType="decimal"/>
    </xmlCellPr>
  </singleXmlCell>
  <singleXmlCell id="1000" xr6:uid="{00000000-000C-0000-FFFF-FFFFE6030000}" r="L19" connectionId="0">
    <xmlCellPr id="1" xr6:uid="{00000000-0010-0000-E603-000001000000}" uniqueName="ns2:Team7Diff10">
      <xmlPr mapId="4" xpath="/ns2:ScoreSheet/ns2:Diff2/ns2:Team7Diff10" xmlDataType="decimal"/>
    </xmlCellPr>
  </singleXmlCell>
  <singleXmlCell id="1001" xr6:uid="{00000000-000C-0000-FFFF-FFFFE7030000}" r="M19" connectionId="0">
    <xmlCellPr id="1" xr6:uid="{00000000-0010-0000-E703-000001000000}" uniqueName="ns2:Team7Diff11">
      <xmlPr mapId="4" xpath="/ns2:ScoreSheet/ns2:Diff2/ns2:Team7Diff11" xmlDataType="decimal"/>
    </xmlCellPr>
  </singleXmlCell>
  <singleXmlCell id="1002" xr6:uid="{00000000-000C-0000-FFFF-FFFFE8030000}" r="N19" connectionId="0">
    <xmlCellPr id="1" xr6:uid="{00000000-0010-0000-E803-000001000000}" uniqueName="ns2:Team7Diff12">
      <xmlPr mapId="4" xpath="/ns2:ScoreSheet/ns2:Diff2/ns2:Team7Diff12" xmlDataType="decimal"/>
    </xmlCellPr>
  </singleXmlCell>
  <singleXmlCell id="1003" xr6:uid="{00000000-000C-0000-FFFF-FFFFE9030000}" r="O19" connectionId="0">
    <xmlCellPr id="1" xr6:uid="{00000000-0010-0000-E903-000001000000}" uniqueName="ns2:Team7Diff13">
      <xmlPr mapId="4" xpath="/ns2:ScoreSheet/ns2:Diff2/ns2:Team7Diff13" xmlDataType="decimal"/>
    </xmlCellPr>
  </singleXmlCell>
  <singleXmlCell id="1004" xr6:uid="{00000000-000C-0000-FFFF-FFFFEA030000}" r="P19" connectionId="0">
    <xmlCellPr id="1" xr6:uid="{00000000-0010-0000-EA03-000001000000}" uniqueName="ns2:Team7Diff14">
      <xmlPr mapId="4" xpath="/ns2:ScoreSheet/ns2:Diff2/ns2:Team7Diff14" xmlDataType="decimal"/>
    </xmlCellPr>
  </singleXmlCell>
  <singleXmlCell id="1005" xr6:uid="{00000000-000C-0000-FFFF-FFFFEB030000}" r="Q19" connectionId="0">
    <xmlCellPr id="1" xr6:uid="{00000000-0010-0000-EB03-000001000000}" uniqueName="ns2:Team7Diff15">
      <xmlPr mapId="4" xpath="/ns2:ScoreSheet/ns2:Diff2/ns2:Team7Diff15" xmlDataType="decimal"/>
    </xmlCellPr>
  </singleXmlCell>
  <singleXmlCell id="1006" xr6:uid="{00000000-000C-0000-FFFF-FFFFEC030000}" r="R19" connectionId="0">
    <xmlCellPr id="1" xr6:uid="{00000000-0010-0000-EC03-000001000000}" uniqueName="ns2:Team7Diff16">
      <xmlPr mapId="4" xpath="/ns2:ScoreSheet/ns2:Diff2/ns2:Team7Diff16" xmlDataType="decimal"/>
    </xmlCellPr>
  </singleXmlCell>
  <singleXmlCell id="1007" xr6:uid="{00000000-000C-0000-FFFF-FFFFED030000}" r="S19" connectionId="0">
    <xmlCellPr id="1" xr6:uid="{00000000-0010-0000-ED03-000001000000}" uniqueName="ns2:Team7Diff17">
      <xmlPr mapId="4" xpath="/ns2:ScoreSheet/ns2:Diff2/ns2:Team7Diff17" xmlDataType="decimal"/>
    </xmlCellPr>
  </singleXmlCell>
  <singleXmlCell id="1008" xr6:uid="{00000000-000C-0000-FFFF-FFFFEE030000}" r="T19" connectionId="0">
    <xmlCellPr id="1" xr6:uid="{00000000-0010-0000-EE03-000001000000}" uniqueName="ns2:Team7Diff18">
      <xmlPr mapId="4" xpath="/ns2:ScoreSheet/ns2:Diff2/ns2:Team7Diff18" xmlDataType="decimal"/>
    </xmlCellPr>
  </singleXmlCell>
  <singleXmlCell id="1009" xr6:uid="{00000000-000C-0000-FFFF-FFFFEF030000}" r="U19" connectionId="0">
    <xmlCellPr id="1" xr6:uid="{00000000-0010-0000-EF03-000001000000}" uniqueName="ns2:Team7Diff19">
      <xmlPr mapId="4" xpath="/ns2:ScoreSheet/ns2:Diff2/ns2:Team7Diff19" xmlDataType="decimal"/>
    </xmlCellPr>
  </singleXmlCell>
  <singleXmlCell id="1010" xr6:uid="{00000000-000C-0000-FFFF-FFFFF0030000}" r="V19" connectionId="0">
    <xmlCellPr id="1" xr6:uid="{00000000-0010-0000-F003-000001000000}" uniqueName="ns2:Team7Diff20">
      <xmlPr mapId="4" xpath="/ns2:ScoreSheet/ns2:Diff2/ns2:Team7Diff20" xmlDataType="decimal"/>
    </xmlCellPr>
  </singleXmlCell>
  <singleXmlCell id="1011" xr6:uid="{00000000-000C-0000-FFFF-FFFFF1030000}" r="C18" connectionId="0">
    <xmlCellPr id="1" xr6:uid="{00000000-0010-0000-F103-000001000000}" uniqueName="ns2:Team7Consec1">
      <xmlPr mapId="4" xpath="/ns2:ScoreSheet/ns2:Diff2/ns2:Team7Consec1" xmlDataType="string"/>
    </xmlCellPr>
  </singleXmlCell>
  <singleXmlCell id="1012" xr6:uid="{00000000-000C-0000-FFFF-FFFFF2030000}" r="D18" connectionId="0">
    <xmlCellPr id="1" xr6:uid="{00000000-0010-0000-F203-000001000000}" uniqueName="ns2:Team7Consec2">
      <xmlPr mapId="4" xpath="/ns2:ScoreSheet/ns2:Diff2/ns2:Team7Consec2" xmlDataType="string"/>
    </xmlCellPr>
  </singleXmlCell>
  <singleXmlCell id="1013" xr6:uid="{00000000-000C-0000-FFFF-FFFFF3030000}" r="E18" connectionId="0">
    <xmlCellPr id="1" xr6:uid="{00000000-0010-0000-F303-000001000000}" uniqueName="ns2:Team7Consec3">
      <xmlPr mapId="4" xpath="/ns2:ScoreSheet/ns2:Diff2/ns2:Team7Consec3" xmlDataType="string"/>
    </xmlCellPr>
  </singleXmlCell>
  <singleXmlCell id="1014" xr6:uid="{00000000-000C-0000-FFFF-FFFFF4030000}" r="F18" connectionId="0">
    <xmlCellPr id="1" xr6:uid="{00000000-0010-0000-F403-000001000000}" uniqueName="ns2:Team7Consec4">
      <xmlPr mapId="4" xpath="/ns2:ScoreSheet/ns2:Diff2/ns2:Team7Consec4" xmlDataType="string"/>
    </xmlCellPr>
  </singleXmlCell>
  <singleXmlCell id="1015" xr6:uid="{00000000-000C-0000-FFFF-FFFFF5030000}" r="G18" connectionId="0">
    <xmlCellPr id="1" xr6:uid="{00000000-0010-0000-F503-000001000000}" uniqueName="ns2:Team7Consec5">
      <xmlPr mapId="4" xpath="/ns2:ScoreSheet/ns2:Diff2/ns2:Team7Consec5" xmlDataType="string"/>
    </xmlCellPr>
  </singleXmlCell>
  <singleXmlCell id="1016" xr6:uid="{00000000-000C-0000-FFFF-FFFFF6030000}" r="H18" connectionId="0">
    <xmlCellPr id="1" xr6:uid="{00000000-0010-0000-F603-000001000000}" uniqueName="ns2:Team7Consec6">
      <xmlPr mapId="4" xpath="/ns2:ScoreSheet/ns2:Diff2/ns2:Team7Consec6" xmlDataType="string"/>
    </xmlCellPr>
  </singleXmlCell>
  <singleXmlCell id="1017" xr6:uid="{00000000-000C-0000-FFFF-FFFFF7030000}" r="I18" connectionId="0">
    <xmlCellPr id="1" xr6:uid="{00000000-0010-0000-F703-000001000000}" uniqueName="ns2:Team7Consec7">
      <xmlPr mapId="4" xpath="/ns2:ScoreSheet/ns2:Diff2/ns2:Team7Consec7" xmlDataType="string"/>
    </xmlCellPr>
  </singleXmlCell>
  <singleXmlCell id="1018" xr6:uid="{00000000-000C-0000-FFFF-FFFFF8030000}" r="J18" connectionId="0">
    <xmlCellPr id="1" xr6:uid="{00000000-0010-0000-F803-000001000000}" uniqueName="ns2:Team7Consec8">
      <xmlPr mapId="4" xpath="/ns2:ScoreSheet/ns2:Diff2/ns2:Team7Consec8" xmlDataType="string"/>
    </xmlCellPr>
  </singleXmlCell>
  <singleXmlCell id="1019" xr6:uid="{00000000-000C-0000-FFFF-FFFFF9030000}" r="K18" connectionId="0">
    <xmlCellPr id="1" xr6:uid="{00000000-0010-0000-F903-000001000000}" uniqueName="ns2:Team7Consec9">
      <xmlPr mapId="4" xpath="/ns2:ScoreSheet/ns2:Diff2/ns2:Team7Consec9" xmlDataType="string"/>
    </xmlCellPr>
  </singleXmlCell>
  <singleXmlCell id="1020" xr6:uid="{00000000-000C-0000-FFFF-FFFFFA030000}" r="L18" connectionId="0">
    <xmlCellPr id="1" xr6:uid="{00000000-0010-0000-FA03-000001000000}" uniqueName="ns2:Team7Consec10">
      <xmlPr mapId="4" xpath="/ns2:ScoreSheet/ns2:Diff2/ns2:Team7Consec10" xmlDataType="string"/>
    </xmlCellPr>
  </singleXmlCell>
  <singleXmlCell id="1021" xr6:uid="{00000000-000C-0000-FFFF-FFFFFB030000}" r="M18" connectionId="0">
    <xmlCellPr id="1" xr6:uid="{00000000-0010-0000-FB03-000001000000}" uniqueName="ns2:Team7Consec11">
      <xmlPr mapId="4" xpath="/ns2:ScoreSheet/ns2:Diff2/ns2:Team7Consec11" xmlDataType="string"/>
    </xmlCellPr>
  </singleXmlCell>
  <singleXmlCell id="1022" xr6:uid="{00000000-000C-0000-FFFF-FFFFFC030000}" r="N18" connectionId="0">
    <xmlCellPr id="1" xr6:uid="{00000000-0010-0000-FC03-000001000000}" uniqueName="ns2:Team7Consec12">
      <xmlPr mapId="4" xpath="/ns2:ScoreSheet/ns2:Diff2/ns2:Team7Consec12" xmlDataType="string"/>
    </xmlCellPr>
  </singleXmlCell>
  <singleXmlCell id="1023" xr6:uid="{00000000-000C-0000-FFFF-FFFFFD030000}" r="O18" connectionId="0">
    <xmlCellPr id="1" xr6:uid="{00000000-0010-0000-FD03-000001000000}" uniqueName="ns2:Team7Consec13">
      <xmlPr mapId="4" xpath="/ns2:ScoreSheet/ns2:Diff2/ns2:Team7Consec13" xmlDataType="string"/>
    </xmlCellPr>
  </singleXmlCell>
  <singleXmlCell id="1024" xr6:uid="{00000000-000C-0000-FFFF-FFFFFE030000}" r="P18" connectionId="0">
    <xmlCellPr id="1" xr6:uid="{00000000-0010-0000-FE03-000001000000}" uniqueName="ns2:Team7Consec14">
      <xmlPr mapId="4" xpath="/ns2:ScoreSheet/ns2:Diff2/ns2:Team7Consec14" xmlDataType="string"/>
    </xmlCellPr>
  </singleXmlCell>
  <singleXmlCell id="1025" xr6:uid="{00000000-000C-0000-FFFF-FFFFFF030000}" r="Q18" connectionId="0">
    <xmlCellPr id="1" xr6:uid="{00000000-0010-0000-FF03-000001000000}" uniqueName="ns2:Team7Consec15">
      <xmlPr mapId="4" xpath="/ns2:ScoreSheet/ns2:Diff2/ns2:Team7Consec15" xmlDataType="string"/>
    </xmlCellPr>
  </singleXmlCell>
  <singleXmlCell id="1026" xr6:uid="{00000000-000C-0000-FFFF-FFFF00040000}" r="R18" connectionId="0">
    <xmlCellPr id="1" xr6:uid="{00000000-0010-0000-0004-000001000000}" uniqueName="ns2:Team7Consec16">
      <xmlPr mapId="4" xpath="/ns2:ScoreSheet/ns2:Diff2/ns2:Team7Consec16" xmlDataType="string"/>
    </xmlCellPr>
  </singleXmlCell>
  <singleXmlCell id="1027" xr6:uid="{00000000-000C-0000-FFFF-FFFF01040000}" r="S18" connectionId="0">
    <xmlCellPr id="1" xr6:uid="{00000000-0010-0000-0104-000001000000}" uniqueName="ns2:Team7Consec17">
      <xmlPr mapId="4" xpath="/ns2:ScoreSheet/ns2:Diff2/ns2:Team7Consec17" xmlDataType="string"/>
    </xmlCellPr>
  </singleXmlCell>
  <singleXmlCell id="1028" xr6:uid="{00000000-000C-0000-FFFF-FFFF02040000}" r="T18" connectionId="0">
    <xmlCellPr id="1" xr6:uid="{00000000-0010-0000-0204-000001000000}" uniqueName="ns2:Team7Consec18">
      <xmlPr mapId="4" xpath="/ns2:ScoreSheet/ns2:Diff2/ns2:Team7Consec18" xmlDataType="string"/>
    </xmlCellPr>
  </singleXmlCell>
  <singleXmlCell id="1029" xr6:uid="{00000000-000C-0000-FFFF-FFFF03040000}" r="U18" connectionId="0">
    <xmlCellPr id="1" xr6:uid="{00000000-0010-0000-0304-000001000000}" uniqueName="ns2:Team7Consec19">
      <xmlPr mapId="4" xpath="/ns2:ScoreSheet/ns2:Diff2/ns2:Team7Consec19" xmlDataType="string"/>
    </xmlCellPr>
  </singleXmlCell>
  <singleXmlCell id="1030" xr6:uid="{00000000-000C-0000-FFFF-FFFF04040000}" r="V18" connectionId="0">
    <xmlCellPr id="1" xr6:uid="{00000000-0010-0000-0404-000001000000}" uniqueName="ns2:Team7Consec20">
      <xmlPr mapId="4" xpath="/ns2:ScoreSheet/ns2:Diff2/ns2:Team7Consec20" xmlDataType="string"/>
    </xmlCellPr>
  </singleXmlCell>
  <singleXmlCell id="1031" xr6:uid="{00000000-000C-0000-FFFF-FFFF05040000}" r="C21" connectionId="0">
    <xmlCellPr id="1" xr6:uid="{00000000-0010-0000-0504-000001000000}" uniqueName="ns2:Team8Diff1">
      <xmlPr mapId="4" xpath="/ns2:ScoreSheet/ns2:Diff2/ns2:Team8Diff1" xmlDataType="decimal"/>
    </xmlCellPr>
  </singleXmlCell>
  <singleXmlCell id="1032" xr6:uid="{00000000-000C-0000-FFFF-FFFF06040000}" r="D21" connectionId="0">
    <xmlCellPr id="1" xr6:uid="{00000000-0010-0000-0604-000001000000}" uniqueName="ns2:Team8Diff2">
      <xmlPr mapId="4" xpath="/ns2:ScoreSheet/ns2:Diff2/ns2:Team8Diff2" xmlDataType="decimal"/>
    </xmlCellPr>
  </singleXmlCell>
  <singleXmlCell id="1033" xr6:uid="{00000000-000C-0000-FFFF-FFFF07040000}" r="E21" connectionId="0">
    <xmlCellPr id="1" xr6:uid="{00000000-0010-0000-0704-000001000000}" uniqueName="ns2:Team8Diff3">
      <xmlPr mapId="4" xpath="/ns2:ScoreSheet/ns2:Diff2/ns2:Team8Diff3" xmlDataType="decimal"/>
    </xmlCellPr>
  </singleXmlCell>
  <singleXmlCell id="1034" xr6:uid="{00000000-000C-0000-FFFF-FFFF08040000}" r="F21" connectionId="0">
    <xmlCellPr id="1" xr6:uid="{00000000-0010-0000-0804-000001000000}" uniqueName="ns2:Team8Diff4">
      <xmlPr mapId="4" xpath="/ns2:ScoreSheet/ns2:Diff2/ns2:Team8Diff4" xmlDataType="decimal"/>
    </xmlCellPr>
  </singleXmlCell>
  <singleXmlCell id="1035" xr6:uid="{00000000-000C-0000-FFFF-FFFF09040000}" r="G21" connectionId="0">
    <xmlCellPr id="1" xr6:uid="{00000000-0010-0000-0904-000001000000}" uniqueName="ns2:Team8Diff5">
      <xmlPr mapId="4" xpath="/ns2:ScoreSheet/ns2:Diff2/ns2:Team8Diff5" xmlDataType="decimal"/>
    </xmlCellPr>
  </singleXmlCell>
  <singleXmlCell id="1036" xr6:uid="{00000000-000C-0000-FFFF-FFFF0A040000}" r="H21" connectionId="0">
    <xmlCellPr id="1" xr6:uid="{00000000-0010-0000-0A04-000001000000}" uniqueName="ns2:Team8Diff6">
      <xmlPr mapId="4" xpath="/ns2:ScoreSheet/ns2:Diff2/ns2:Team8Diff6" xmlDataType="decimal"/>
    </xmlCellPr>
  </singleXmlCell>
  <singleXmlCell id="1037" xr6:uid="{00000000-000C-0000-FFFF-FFFF0B040000}" r="I21" connectionId="0">
    <xmlCellPr id="1" xr6:uid="{00000000-0010-0000-0B04-000001000000}" uniqueName="ns2:Team8Diff7">
      <xmlPr mapId="4" xpath="/ns2:ScoreSheet/ns2:Diff2/ns2:Team8Diff7" xmlDataType="decimal"/>
    </xmlCellPr>
  </singleXmlCell>
  <singleXmlCell id="1038" xr6:uid="{00000000-000C-0000-FFFF-FFFF0C040000}" r="J21" connectionId="0">
    <xmlCellPr id="1" xr6:uid="{00000000-0010-0000-0C04-000001000000}" uniqueName="ns2:Team8Diff8">
      <xmlPr mapId="4" xpath="/ns2:ScoreSheet/ns2:Diff2/ns2:Team8Diff8" xmlDataType="decimal"/>
    </xmlCellPr>
  </singleXmlCell>
  <singleXmlCell id="1039" xr6:uid="{00000000-000C-0000-FFFF-FFFF0D040000}" r="K21" connectionId="0">
    <xmlCellPr id="1" xr6:uid="{00000000-0010-0000-0D04-000001000000}" uniqueName="ns2:Team8Diff9">
      <xmlPr mapId="4" xpath="/ns2:ScoreSheet/ns2:Diff2/ns2:Team8Diff9" xmlDataType="decimal"/>
    </xmlCellPr>
  </singleXmlCell>
  <singleXmlCell id="1040" xr6:uid="{00000000-000C-0000-FFFF-FFFF0E040000}" r="L21" connectionId="0">
    <xmlCellPr id="1" xr6:uid="{00000000-0010-0000-0E04-000001000000}" uniqueName="ns2:Team8Diff10">
      <xmlPr mapId="4" xpath="/ns2:ScoreSheet/ns2:Diff2/ns2:Team8Diff10" xmlDataType="decimal"/>
    </xmlCellPr>
  </singleXmlCell>
  <singleXmlCell id="1041" xr6:uid="{00000000-000C-0000-FFFF-FFFF0F040000}" r="M21" connectionId="0">
    <xmlCellPr id="1" xr6:uid="{00000000-0010-0000-0F04-000001000000}" uniqueName="ns2:Team8Diff11">
      <xmlPr mapId="4" xpath="/ns2:ScoreSheet/ns2:Diff2/ns2:Team8Diff11" xmlDataType="decimal"/>
    </xmlCellPr>
  </singleXmlCell>
  <singleXmlCell id="1042" xr6:uid="{00000000-000C-0000-FFFF-FFFF10040000}" r="N21" connectionId="0">
    <xmlCellPr id="1" xr6:uid="{00000000-0010-0000-1004-000001000000}" uniqueName="ns2:Team8Diff12">
      <xmlPr mapId="4" xpath="/ns2:ScoreSheet/ns2:Diff2/ns2:Team8Diff12" xmlDataType="decimal"/>
    </xmlCellPr>
  </singleXmlCell>
  <singleXmlCell id="1043" xr6:uid="{00000000-000C-0000-FFFF-FFFF11040000}" r="O21" connectionId="0">
    <xmlCellPr id="1" xr6:uid="{00000000-0010-0000-1104-000001000000}" uniqueName="ns2:Team8Diff13">
      <xmlPr mapId="4" xpath="/ns2:ScoreSheet/ns2:Diff2/ns2:Team8Diff13" xmlDataType="decimal"/>
    </xmlCellPr>
  </singleXmlCell>
  <singleXmlCell id="1044" xr6:uid="{00000000-000C-0000-FFFF-FFFF12040000}" r="P21" connectionId="0">
    <xmlCellPr id="1" xr6:uid="{00000000-0010-0000-1204-000001000000}" uniqueName="ns2:Team8Diff14">
      <xmlPr mapId="4" xpath="/ns2:ScoreSheet/ns2:Diff2/ns2:Team8Diff14" xmlDataType="decimal"/>
    </xmlCellPr>
  </singleXmlCell>
  <singleXmlCell id="1045" xr6:uid="{00000000-000C-0000-FFFF-FFFF13040000}" r="Q21" connectionId="0">
    <xmlCellPr id="1" xr6:uid="{00000000-0010-0000-1304-000001000000}" uniqueName="ns2:Team8Diff15">
      <xmlPr mapId="4" xpath="/ns2:ScoreSheet/ns2:Diff2/ns2:Team8Diff15" xmlDataType="decimal"/>
    </xmlCellPr>
  </singleXmlCell>
  <singleXmlCell id="1046" xr6:uid="{00000000-000C-0000-FFFF-FFFF14040000}" r="R21" connectionId="0">
    <xmlCellPr id="1" xr6:uid="{00000000-0010-0000-1404-000001000000}" uniqueName="ns2:Team8Diff16">
      <xmlPr mapId="4" xpath="/ns2:ScoreSheet/ns2:Diff2/ns2:Team8Diff16" xmlDataType="decimal"/>
    </xmlCellPr>
  </singleXmlCell>
  <singleXmlCell id="1047" xr6:uid="{00000000-000C-0000-FFFF-FFFF15040000}" r="S21" connectionId="0">
    <xmlCellPr id="1" xr6:uid="{00000000-0010-0000-1504-000001000000}" uniqueName="ns2:Team8Diff17">
      <xmlPr mapId="4" xpath="/ns2:ScoreSheet/ns2:Diff2/ns2:Team8Diff17" xmlDataType="decimal"/>
    </xmlCellPr>
  </singleXmlCell>
  <singleXmlCell id="1048" xr6:uid="{00000000-000C-0000-FFFF-FFFF16040000}" r="T21" connectionId="0">
    <xmlCellPr id="1" xr6:uid="{00000000-0010-0000-1604-000001000000}" uniqueName="ns2:Team8Diff18">
      <xmlPr mapId="4" xpath="/ns2:ScoreSheet/ns2:Diff2/ns2:Team8Diff18" xmlDataType="decimal"/>
    </xmlCellPr>
  </singleXmlCell>
  <singleXmlCell id="1049" xr6:uid="{00000000-000C-0000-FFFF-FFFF17040000}" r="U21" connectionId="0">
    <xmlCellPr id="1" xr6:uid="{00000000-0010-0000-1704-000001000000}" uniqueName="ns2:Team8Diff19">
      <xmlPr mapId="4" xpath="/ns2:ScoreSheet/ns2:Diff2/ns2:Team8Diff19" xmlDataType="decimal"/>
    </xmlCellPr>
  </singleXmlCell>
  <singleXmlCell id="1050" xr6:uid="{00000000-000C-0000-FFFF-FFFF18040000}" r="V21" connectionId="0">
    <xmlCellPr id="1" xr6:uid="{00000000-0010-0000-1804-000001000000}" uniqueName="ns2:Team8Diff20">
      <xmlPr mapId="4" xpath="/ns2:ScoreSheet/ns2:Diff2/ns2:Team8Diff20" xmlDataType="decimal"/>
    </xmlCellPr>
  </singleXmlCell>
  <singleXmlCell id="1051" xr6:uid="{00000000-000C-0000-FFFF-FFFF19040000}" r="C20" connectionId="0">
    <xmlCellPr id="1" xr6:uid="{00000000-0010-0000-1904-000001000000}" uniqueName="ns2:Team8Consec1">
      <xmlPr mapId="4" xpath="/ns2:ScoreSheet/ns2:Diff2/ns2:Team8Consec1" xmlDataType="string"/>
    </xmlCellPr>
  </singleXmlCell>
  <singleXmlCell id="1052" xr6:uid="{00000000-000C-0000-FFFF-FFFF1A040000}" r="D20" connectionId="0">
    <xmlCellPr id="1" xr6:uid="{00000000-0010-0000-1A04-000001000000}" uniqueName="ns2:Team8Consec2">
      <xmlPr mapId="4" xpath="/ns2:ScoreSheet/ns2:Diff2/ns2:Team8Consec2" xmlDataType="string"/>
    </xmlCellPr>
  </singleXmlCell>
  <singleXmlCell id="1053" xr6:uid="{00000000-000C-0000-FFFF-FFFF1B040000}" r="E20" connectionId="0">
    <xmlCellPr id="1" xr6:uid="{00000000-0010-0000-1B04-000001000000}" uniqueName="ns2:Team8Consec3">
      <xmlPr mapId="4" xpath="/ns2:ScoreSheet/ns2:Diff2/ns2:Team8Consec3" xmlDataType="string"/>
    </xmlCellPr>
  </singleXmlCell>
  <singleXmlCell id="1054" xr6:uid="{00000000-000C-0000-FFFF-FFFF1C040000}" r="F20" connectionId="0">
    <xmlCellPr id="1" xr6:uid="{00000000-0010-0000-1C04-000001000000}" uniqueName="ns2:Team8Consec4">
      <xmlPr mapId="4" xpath="/ns2:ScoreSheet/ns2:Diff2/ns2:Team8Consec4" xmlDataType="string"/>
    </xmlCellPr>
  </singleXmlCell>
  <singleXmlCell id="1055" xr6:uid="{00000000-000C-0000-FFFF-FFFF1D040000}" r="G20" connectionId="0">
    <xmlCellPr id="1" xr6:uid="{00000000-0010-0000-1D04-000001000000}" uniqueName="ns2:Team8Consec5">
      <xmlPr mapId="4" xpath="/ns2:ScoreSheet/ns2:Diff2/ns2:Team8Consec5" xmlDataType="string"/>
    </xmlCellPr>
  </singleXmlCell>
  <singleXmlCell id="1056" xr6:uid="{00000000-000C-0000-FFFF-FFFF1E040000}" r="H20" connectionId="0">
    <xmlCellPr id="1" xr6:uid="{00000000-0010-0000-1E04-000001000000}" uniqueName="ns2:Team8Consec6">
      <xmlPr mapId="4" xpath="/ns2:ScoreSheet/ns2:Diff2/ns2:Team8Consec6" xmlDataType="string"/>
    </xmlCellPr>
  </singleXmlCell>
  <singleXmlCell id="1057" xr6:uid="{00000000-000C-0000-FFFF-FFFF1F040000}" r="I20" connectionId="0">
    <xmlCellPr id="1" xr6:uid="{00000000-0010-0000-1F04-000001000000}" uniqueName="ns2:Team8Consec7">
      <xmlPr mapId="4" xpath="/ns2:ScoreSheet/ns2:Diff2/ns2:Team8Consec7" xmlDataType="string"/>
    </xmlCellPr>
  </singleXmlCell>
  <singleXmlCell id="1058" xr6:uid="{00000000-000C-0000-FFFF-FFFF20040000}" r="J20" connectionId="0">
    <xmlCellPr id="1" xr6:uid="{00000000-0010-0000-2004-000001000000}" uniqueName="ns2:Team8Consec8">
      <xmlPr mapId="4" xpath="/ns2:ScoreSheet/ns2:Diff2/ns2:Team8Consec8" xmlDataType="string"/>
    </xmlCellPr>
  </singleXmlCell>
  <singleXmlCell id="1059" xr6:uid="{00000000-000C-0000-FFFF-FFFF21040000}" r="K20" connectionId="0">
    <xmlCellPr id="1" xr6:uid="{00000000-0010-0000-2104-000001000000}" uniqueName="ns2:Team8Consec9">
      <xmlPr mapId="4" xpath="/ns2:ScoreSheet/ns2:Diff2/ns2:Team8Consec9" xmlDataType="string"/>
    </xmlCellPr>
  </singleXmlCell>
  <singleXmlCell id="1060" xr6:uid="{00000000-000C-0000-FFFF-FFFF22040000}" r="L20" connectionId="0">
    <xmlCellPr id="1" xr6:uid="{00000000-0010-0000-2204-000001000000}" uniqueName="ns2:Team8Consec10">
      <xmlPr mapId="4" xpath="/ns2:ScoreSheet/ns2:Diff2/ns2:Team8Consec10" xmlDataType="string"/>
    </xmlCellPr>
  </singleXmlCell>
  <singleXmlCell id="1061" xr6:uid="{00000000-000C-0000-FFFF-FFFF23040000}" r="M20" connectionId="0">
    <xmlCellPr id="1" xr6:uid="{00000000-0010-0000-2304-000001000000}" uniqueName="ns2:Team8Consec11">
      <xmlPr mapId="4" xpath="/ns2:ScoreSheet/ns2:Diff2/ns2:Team8Consec11" xmlDataType="string"/>
    </xmlCellPr>
  </singleXmlCell>
  <singleXmlCell id="1062" xr6:uid="{00000000-000C-0000-FFFF-FFFF24040000}" r="N20" connectionId="0">
    <xmlCellPr id="1" xr6:uid="{00000000-0010-0000-2404-000001000000}" uniqueName="ns2:Team8Consec12">
      <xmlPr mapId="4" xpath="/ns2:ScoreSheet/ns2:Diff2/ns2:Team8Consec12" xmlDataType="string"/>
    </xmlCellPr>
  </singleXmlCell>
  <singleXmlCell id="1063" xr6:uid="{00000000-000C-0000-FFFF-FFFF25040000}" r="O20" connectionId="0">
    <xmlCellPr id="1" xr6:uid="{00000000-0010-0000-2504-000001000000}" uniqueName="ns2:Team8Consec13">
      <xmlPr mapId="4" xpath="/ns2:ScoreSheet/ns2:Diff2/ns2:Team8Consec13" xmlDataType="string"/>
    </xmlCellPr>
  </singleXmlCell>
  <singleXmlCell id="1064" xr6:uid="{00000000-000C-0000-FFFF-FFFF26040000}" r="P20" connectionId="0">
    <xmlCellPr id="1" xr6:uid="{00000000-0010-0000-2604-000001000000}" uniqueName="ns2:Team8Consec14">
      <xmlPr mapId="4" xpath="/ns2:ScoreSheet/ns2:Diff2/ns2:Team8Consec14" xmlDataType="string"/>
    </xmlCellPr>
  </singleXmlCell>
  <singleXmlCell id="1065" xr6:uid="{00000000-000C-0000-FFFF-FFFF27040000}" r="Q20" connectionId="0">
    <xmlCellPr id="1" xr6:uid="{00000000-0010-0000-2704-000001000000}" uniqueName="ns2:Team8Consec15">
      <xmlPr mapId="4" xpath="/ns2:ScoreSheet/ns2:Diff2/ns2:Team8Consec15" xmlDataType="string"/>
    </xmlCellPr>
  </singleXmlCell>
  <singleXmlCell id="1066" xr6:uid="{00000000-000C-0000-FFFF-FFFF28040000}" r="R20" connectionId="0">
    <xmlCellPr id="1" xr6:uid="{00000000-0010-0000-2804-000001000000}" uniqueName="ns2:Team8Consec16">
      <xmlPr mapId="4" xpath="/ns2:ScoreSheet/ns2:Diff2/ns2:Team8Consec16" xmlDataType="string"/>
    </xmlCellPr>
  </singleXmlCell>
  <singleXmlCell id="1067" xr6:uid="{00000000-000C-0000-FFFF-FFFF29040000}" r="S20" connectionId="0">
    <xmlCellPr id="1" xr6:uid="{00000000-0010-0000-2904-000001000000}" uniqueName="ns2:Team8Consec17">
      <xmlPr mapId="4" xpath="/ns2:ScoreSheet/ns2:Diff2/ns2:Team8Consec17" xmlDataType="string"/>
    </xmlCellPr>
  </singleXmlCell>
  <singleXmlCell id="1068" xr6:uid="{00000000-000C-0000-FFFF-FFFF2A040000}" r="T20" connectionId="0">
    <xmlCellPr id="1" xr6:uid="{00000000-0010-0000-2A04-000001000000}" uniqueName="ns2:Team8Consec18">
      <xmlPr mapId="4" xpath="/ns2:ScoreSheet/ns2:Diff2/ns2:Team8Consec18" xmlDataType="string"/>
    </xmlCellPr>
  </singleXmlCell>
  <singleXmlCell id="1069" xr6:uid="{00000000-000C-0000-FFFF-FFFF2B040000}" r="U20" connectionId="0">
    <xmlCellPr id="1" xr6:uid="{00000000-0010-0000-2B04-000001000000}" uniqueName="ns2:Team8Consec19">
      <xmlPr mapId="4" xpath="/ns2:ScoreSheet/ns2:Diff2/ns2:Team8Consec19" xmlDataType="string"/>
    </xmlCellPr>
  </singleXmlCell>
  <singleXmlCell id="1070" xr6:uid="{00000000-000C-0000-FFFF-FFFF2C040000}" r="V20" connectionId="0">
    <xmlCellPr id="1" xr6:uid="{00000000-0010-0000-2C04-000001000000}" uniqueName="ns2:Team8Consec20">
      <xmlPr mapId="4" xpath="/ns2:ScoreSheet/ns2:Diff2/ns2:Team8Consec20" xmlDataType="string"/>
    </xmlCellPr>
  </singleXmlCell>
  <singleXmlCell id="1071" xr6:uid="{00000000-000C-0000-FFFF-FFFF2D040000}" r="C23" connectionId="0">
    <xmlCellPr id="1" xr6:uid="{00000000-0010-0000-2D04-000001000000}" uniqueName="ns2:Team9Diff1">
      <xmlPr mapId="4" xpath="/ns2:ScoreSheet/ns2:Diff2/ns2:Team9Diff1" xmlDataType="decimal"/>
    </xmlCellPr>
  </singleXmlCell>
  <singleXmlCell id="1072" xr6:uid="{00000000-000C-0000-FFFF-FFFF2E040000}" r="D23" connectionId="0">
    <xmlCellPr id="1" xr6:uid="{00000000-0010-0000-2E04-000001000000}" uniqueName="ns2:Team9Diff2">
      <xmlPr mapId="4" xpath="/ns2:ScoreSheet/ns2:Diff2/ns2:Team9Diff2" xmlDataType="decimal"/>
    </xmlCellPr>
  </singleXmlCell>
  <singleXmlCell id="1073" xr6:uid="{00000000-000C-0000-FFFF-FFFF2F040000}" r="E23" connectionId="0">
    <xmlCellPr id="1" xr6:uid="{00000000-0010-0000-2F04-000001000000}" uniqueName="ns2:Team9Diff3">
      <xmlPr mapId="4" xpath="/ns2:ScoreSheet/ns2:Diff2/ns2:Team9Diff3" xmlDataType="decimal"/>
    </xmlCellPr>
  </singleXmlCell>
  <singleXmlCell id="1074" xr6:uid="{00000000-000C-0000-FFFF-FFFF30040000}" r="F23" connectionId="0">
    <xmlCellPr id="1" xr6:uid="{00000000-0010-0000-3004-000001000000}" uniqueName="ns2:Team9Diff4">
      <xmlPr mapId="4" xpath="/ns2:ScoreSheet/ns2:Diff2/ns2:Team9Diff4" xmlDataType="decimal"/>
    </xmlCellPr>
  </singleXmlCell>
  <singleXmlCell id="1075" xr6:uid="{00000000-000C-0000-FFFF-FFFF31040000}" r="G23" connectionId="0">
    <xmlCellPr id="1" xr6:uid="{00000000-0010-0000-3104-000001000000}" uniqueName="ns2:Team9Diff5">
      <xmlPr mapId="4" xpath="/ns2:ScoreSheet/ns2:Diff2/ns2:Team9Diff5" xmlDataType="decimal"/>
    </xmlCellPr>
  </singleXmlCell>
  <singleXmlCell id="1076" xr6:uid="{00000000-000C-0000-FFFF-FFFF32040000}" r="H23" connectionId="0">
    <xmlCellPr id="1" xr6:uid="{00000000-0010-0000-3204-000001000000}" uniqueName="ns2:Team9Diff6">
      <xmlPr mapId="4" xpath="/ns2:ScoreSheet/ns2:Diff2/ns2:Team9Diff6" xmlDataType="decimal"/>
    </xmlCellPr>
  </singleXmlCell>
  <singleXmlCell id="1077" xr6:uid="{00000000-000C-0000-FFFF-FFFF33040000}" r="I23" connectionId="0">
    <xmlCellPr id="1" xr6:uid="{00000000-0010-0000-3304-000001000000}" uniqueName="ns2:Team9Diff7">
      <xmlPr mapId="4" xpath="/ns2:ScoreSheet/ns2:Diff2/ns2:Team9Diff7" xmlDataType="decimal"/>
    </xmlCellPr>
  </singleXmlCell>
  <singleXmlCell id="1078" xr6:uid="{00000000-000C-0000-FFFF-FFFF34040000}" r="J23" connectionId="0">
    <xmlCellPr id="1" xr6:uid="{00000000-0010-0000-3404-000001000000}" uniqueName="ns2:Team9Diff8">
      <xmlPr mapId="4" xpath="/ns2:ScoreSheet/ns2:Diff2/ns2:Team9Diff8" xmlDataType="decimal"/>
    </xmlCellPr>
  </singleXmlCell>
  <singleXmlCell id="1079" xr6:uid="{00000000-000C-0000-FFFF-FFFF35040000}" r="K23" connectionId="0">
    <xmlCellPr id="1" xr6:uid="{00000000-0010-0000-3504-000001000000}" uniqueName="ns2:Team9Diff9">
      <xmlPr mapId="4" xpath="/ns2:ScoreSheet/ns2:Diff2/ns2:Team9Diff9" xmlDataType="decimal"/>
    </xmlCellPr>
  </singleXmlCell>
  <singleXmlCell id="1080" xr6:uid="{00000000-000C-0000-FFFF-FFFF36040000}" r="L23" connectionId="0">
    <xmlCellPr id="1" xr6:uid="{00000000-0010-0000-3604-000001000000}" uniqueName="ns2:Team9Diff10">
      <xmlPr mapId="4" xpath="/ns2:ScoreSheet/ns2:Diff2/ns2:Team9Diff10" xmlDataType="decimal"/>
    </xmlCellPr>
  </singleXmlCell>
  <singleXmlCell id="1081" xr6:uid="{00000000-000C-0000-FFFF-FFFF37040000}" r="M23" connectionId="0">
    <xmlCellPr id="1" xr6:uid="{00000000-0010-0000-3704-000001000000}" uniqueName="ns2:Team9Diff11">
      <xmlPr mapId="4" xpath="/ns2:ScoreSheet/ns2:Diff2/ns2:Team9Diff11" xmlDataType="decimal"/>
    </xmlCellPr>
  </singleXmlCell>
  <singleXmlCell id="1082" xr6:uid="{00000000-000C-0000-FFFF-FFFF38040000}" r="N23" connectionId="0">
    <xmlCellPr id="1" xr6:uid="{00000000-0010-0000-3804-000001000000}" uniqueName="ns2:Team9Diff12">
      <xmlPr mapId="4" xpath="/ns2:ScoreSheet/ns2:Diff2/ns2:Team9Diff12" xmlDataType="decimal"/>
    </xmlCellPr>
  </singleXmlCell>
  <singleXmlCell id="1083" xr6:uid="{00000000-000C-0000-FFFF-FFFF39040000}" r="O23" connectionId="0">
    <xmlCellPr id="1" xr6:uid="{00000000-0010-0000-3904-000001000000}" uniqueName="ns2:Team9Diff13">
      <xmlPr mapId="4" xpath="/ns2:ScoreSheet/ns2:Diff2/ns2:Team9Diff13" xmlDataType="decimal"/>
    </xmlCellPr>
  </singleXmlCell>
  <singleXmlCell id="1084" xr6:uid="{00000000-000C-0000-FFFF-FFFF3A040000}" r="P23" connectionId="0">
    <xmlCellPr id="1" xr6:uid="{00000000-0010-0000-3A04-000001000000}" uniqueName="ns2:Team9Diff14">
      <xmlPr mapId="4" xpath="/ns2:ScoreSheet/ns2:Diff2/ns2:Team9Diff14" xmlDataType="decimal"/>
    </xmlCellPr>
  </singleXmlCell>
  <singleXmlCell id="1085" xr6:uid="{00000000-000C-0000-FFFF-FFFF3B040000}" r="Q23" connectionId="0">
    <xmlCellPr id="1" xr6:uid="{00000000-0010-0000-3B04-000001000000}" uniqueName="ns2:Team9Diff15">
      <xmlPr mapId="4" xpath="/ns2:ScoreSheet/ns2:Diff2/ns2:Team9Diff15" xmlDataType="decimal"/>
    </xmlCellPr>
  </singleXmlCell>
  <singleXmlCell id="1086" xr6:uid="{00000000-000C-0000-FFFF-FFFF3C040000}" r="R23" connectionId="0">
    <xmlCellPr id="1" xr6:uid="{00000000-0010-0000-3C04-000001000000}" uniqueName="ns2:Team9Diff16">
      <xmlPr mapId="4" xpath="/ns2:ScoreSheet/ns2:Diff2/ns2:Team9Diff16" xmlDataType="decimal"/>
    </xmlCellPr>
  </singleXmlCell>
  <singleXmlCell id="1087" xr6:uid="{00000000-000C-0000-FFFF-FFFF3D040000}" r="S23" connectionId="0">
    <xmlCellPr id="1" xr6:uid="{00000000-0010-0000-3D04-000001000000}" uniqueName="ns2:Team9Diff17">
      <xmlPr mapId="4" xpath="/ns2:ScoreSheet/ns2:Diff2/ns2:Team9Diff17" xmlDataType="decimal"/>
    </xmlCellPr>
  </singleXmlCell>
  <singleXmlCell id="1088" xr6:uid="{00000000-000C-0000-FFFF-FFFF3E040000}" r="T23" connectionId="0">
    <xmlCellPr id="1" xr6:uid="{00000000-0010-0000-3E04-000001000000}" uniqueName="ns2:Team9Diff18">
      <xmlPr mapId="4" xpath="/ns2:ScoreSheet/ns2:Diff2/ns2:Team9Diff18" xmlDataType="decimal"/>
    </xmlCellPr>
  </singleXmlCell>
  <singleXmlCell id="1089" xr6:uid="{00000000-000C-0000-FFFF-FFFF3F040000}" r="U23" connectionId="0">
    <xmlCellPr id="1" xr6:uid="{00000000-0010-0000-3F04-000001000000}" uniqueName="ns2:Team9Diff19">
      <xmlPr mapId="4" xpath="/ns2:ScoreSheet/ns2:Diff2/ns2:Team9Diff19" xmlDataType="decimal"/>
    </xmlCellPr>
  </singleXmlCell>
  <singleXmlCell id="1090" xr6:uid="{00000000-000C-0000-FFFF-FFFF40040000}" r="V23" connectionId="0">
    <xmlCellPr id="1" xr6:uid="{00000000-0010-0000-4004-000001000000}" uniqueName="ns2:Team9Diff20">
      <xmlPr mapId="4" xpath="/ns2:ScoreSheet/ns2:Diff2/ns2:Team9Diff20" xmlDataType="decimal"/>
    </xmlCellPr>
  </singleXmlCell>
  <singleXmlCell id="1091" xr6:uid="{00000000-000C-0000-FFFF-FFFF41040000}" r="C22" connectionId="0">
    <xmlCellPr id="1" xr6:uid="{00000000-0010-0000-4104-000001000000}" uniqueName="ns2:Team9Consec1">
      <xmlPr mapId="4" xpath="/ns2:ScoreSheet/ns2:Diff2/ns2:Team9Consec1" xmlDataType="string"/>
    </xmlCellPr>
  </singleXmlCell>
  <singleXmlCell id="1092" xr6:uid="{00000000-000C-0000-FFFF-FFFF42040000}" r="D22" connectionId="0">
    <xmlCellPr id="1" xr6:uid="{00000000-0010-0000-4204-000001000000}" uniqueName="ns2:Team9Consec2">
      <xmlPr mapId="4" xpath="/ns2:ScoreSheet/ns2:Diff2/ns2:Team9Consec2" xmlDataType="string"/>
    </xmlCellPr>
  </singleXmlCell>
  <singleXmlCell id="1093" xr6:uid="{00000000-000C-0000-FFFF-FFFF43040000}" r="E22" connectionId="0">
    <xmlCellPr id="1" xr6:uid="{00000000-0010-0000-4304-000001000000}" uniqueName="ns2:Team9Consec3">
      <xmlPr mapId="4" xpath="/ns2:ScoreSheet/ns2:Diff2/ns2:Team9Consec3" xmlDataType="string"/>
    </xmlCellPr>
  </singleXmlCell>
  <singleXmlCell id="1094" xr6:uid="{00000000-000C-0000-FFFF-FFFF44040000}" r="F22" connectionId="0">
    <xmlCellPr id="1" xr6:uid="{00000000-0010-0000-4404-000001000000}" uniqueName="ns2:Team9Consec4">
      <xmlPr mapId="4" xpath="/ns2:ScoreSheet/ns2:Diff2/ns2:Team9Consec4" xmlDataType="string"/>
    </xmlCellPr>
  </singleXmlCell>
  <singleXmlCell id="1095" xr6:uid="{00000000-000C-0000-FFFF-FFFF45040000}" r="G22" connectionId="0">
    <xmlCellPr id="1" xr6:uid="{00000000-0010-0000-4504-000001000000}" uniqueName="ns2:Team9Consec5">
      <xmlPr mapId="4" xpath="/ns2:ScoreSheet/ns2:Diff2/ns2:Team9Consec5" xmlDataType="string"/>
    </xmlCellPr>
  </singleXmlCell>
  <singleXmlCell id="1096" xr6:uid="{00000000-000C-0000-FFFF-FFFF46040000}" r="H22" connectionId="0">
    <xmlCellPr id="1" xr6:uid="{00000000-0010-0000-4604-000001000000}" uniqueName="ns2:Team9Consec6">
      <xmlPr mapId="4" xpath="/ns2:ScoreSheet/ns2:Diff2/ns2:Team9Consec6" xmlDataType="string"/>
    </xmlCellPr>
  </singleXmlCell>
  <singleXmlCell id="1097" xr6:uid="{00000000-000C-0000-FFFF-FFFF47040000}" r="I22" connectionId="0">
    <xmlCellPr id="1" xr6:uid="{00000000-0010-0000-4704-000001000000}" uniqueName="ns2:Team9Consec7">
      <xmlPr mapId="4" xpath="/ns2:ScoreSheet/ns2:Diff2/ns2:Team9Consec7" xmlDataType="string"/>
    </xmlCellPr>
  </singleXmlCell>
  <singleXmlCell id="1098" xr6:uid="{00000000-000C-0000-FFFF-FFFF48040000}" r="J22" connectionId="0">
    <xmlCellPr id="1" xr6:uid="{00000000-0010-0000-4804-000001000000}" uniqueName="ns2:Team9Consec8">
      <xmlPr mapId="4" xpath="/ns2:ScoreSheet/ns2:Diff2/ns2:Team9Consec8" xmlDataType="string"/>
    </xmlCellPr>
  </singleXmlCell>
  <singleXmlCell id="1099" xr6:uid="{00000000-000C-0000-FFFF-FFFF49040000}" r="K22" connectionId="0">
    <xmlCellPr id="1" xr6:uid="{00000000-0010-0000-4904-000001000000}" uniqueName="ns2:Team9Consec9">
      <xmlPr mapId="4" xpath="/ns2:ScoreSheet/ns2:Diff2/ns2:Team9Consec9" xmlDataType="string"/>
    </xmlCellPr>
  </singleXmlCell>
  <singleXmlCell id="1100" xr6:uid="{00000000-000C-0000-FFFF-FFFF4A040000}" r="L22" connectionId="0">
    <xmlCellPr id="1" xr6:uid="{00000000-0010-0000-4A04-000001000000}" uniqueName="ns2:Team9Consec10">
      <xmlPr mapId="4" xpath="/ns2:ScoreSheet/ns2:Diff2/ns2:Team9Consec10" xmlDataType="string"/>
    </xmlCellPr>
  </singleXmlCell>
  <singleXmlCell id="1101" xr6:uid="{00000000-000C-0000-FFFF-FFFF4B040000}" r="M22" connectionId="0">
    <xmlCellPr id="1" xr6:uid="{00000000-0010-0000-4B04-000001000000}" uniqueName="ns2:Team9Consec11">
      <xmlPr mapId="4" xpath="/ns2:ScoreSheet/ns2:Diff2/ns2:Team9Consec11" xmlDataType="string"/>
    </xmlCellPr>
  </singleXmlCell>
  <singleXmlCell id="1102" xr6:uid="{00000000-000C-0000-FFFF-FFFF4C040000}" r="N22" connectionId="0">
    <xmlCellPr id="1" xr6:uid="{00000000-0010-0000-4C04-000001000000}" uniqueName="ns2:Team9Consec12">
      <xmlPr mapId="4" xpath="/ns2:ScoreSheet/ns2:Diff2/ns2:Team9Consec12" xmlDataType="string"/>
    </xmlCellPr>
  </singleXmlCell>
  <singleXmlCell id="1103" xr6:uid="{00000000-000C-0000-FFFF-FFFF4D040000}" r="O22" connectionId="0">
    <xmlCellPr id="1" xr6:uid="{00000000-0010-0000-4D04-000001000000}" uniqueName="ns2:Team9Consec13">
      <xmlPr mapId="4" xpath="/ns2:ScoreSheet/ns2:Diff2/ns2:Team9Consec13" xmlDataType="string"/>
    </xmlCellPr>
  </singleXmlCell>
  <singleXmlCell id="1104" xr6:uid="{00000000-000C-0000-FFFF-FFFF4E040000}" r="P22" connectionId="0">
    <xmlCellPr id="1" xr6:uid="{00000000-0010-0000-4E04-000001000000}" uniqueName="ns2:Team9Consec14">
      <xmlPr mapId="4" xpath="/ns2:ScoreSheet/ns2:Diff2/ns2:Team9Consec14" xmlDataType="string"/>
    </xmlCellPr>
  </singleXmlCell>
  <singleXmlCell id="1105" xr6:uid="{00000000-000C-0000-FFFF-FFFF4F040000}" r="Q22" connectionId="0">
    <xmlCellPr id="1" xr6:uid="{00000000-0010-0000-4F04-000001000000}" uniqueName="ns2:Team9Consec15">
      <xmlPr mapId="4" xpath="/ns2:ScoreSheet/ns2:Diff2/ns2:Team9Consec15" xmlDataType="string"/>
    </xmlCellPr>
  </singleXmlCell>
  <singleXmlCell id="1106" xr6:uid="{00000000-000C-0000-FFFF-FFFF50040000}" r="R22" connectionId="0">
    <xmlCellPr id="1" xr6:uid="{00000000-0010-0000-5004-000001000000}" uniqueName="ns2:Team9Consec16">
      <xmlPr mapId="4" xpath="/ns2:ScoreSheet/ns2:Diff2/ns2:Team9Consec16" xmlDataType="string"/>
    </xmlCellPr>
  </singleXmlCell>
  <singleXmlCell id="1107" xr6:uid="{00000000-000C-0000-FFFF-FFFF51040000}" r="S22" connectionId="0">
    <xmlCellPr id="1" xr6:uid="{00000000-0010-0000-5104-000001000000}" uniqueName="ns2:Team9Consec17">
      <xmlPr mapId="4" xpath="/ns2:ScoreSheet/ns2:Diff2/ns2:Team9Consec17" xmlDataType="string"/>
    </xmlCellPr>
  </singleXmlCell>
  <singleXmlCell id="1108" xr6:uid="{00000000-000C-0000-FFFF-FFFF52040000}" r="T22" connectionId="0">
    <xmlCellPr id="1" xr6:uid="{00000000-0010-0000-5204-000001000000}" uniqueName="ns2:Team9Consec18">
      <xmlPr mapId="4" xpath="/ns2:ScoreSheet/ns2:Diff2/ns2:Team9Consec18" xmlDataType="string"/>
    </xmlCellPr>
  </singleXmlCell>
  <singleXmlCell id="1109" xr6:uid="{00000000-000C-0000-FFFF-FFFF53040000}" r="U22" connectionId="0">
    <xmlCellPr id="1" xr6:uid="{00000000-0010-0000-5304-000001000000}" uniqueName="ns2:Team9Consec19">
      <xmlPr mapId="4" xpath="/ns2:ScoreSheet/ns2:Diff2/ns2:Team9Consec19" xmlDataType="string"/>
    </xmlCellPr>
  </singleXmlCell>
  <singleXmlCell id="1110" xr6:uid="{00000000-000C-0000-FFFF-FFFF54040000}" r="V22" connectionId="0">
    <xmlCellPr id="1" xr6:uid="{00000000-0010-0000-5404-000001000000}" uniqueName="ns2:Team9Consec20">
      <xmlPr mapId="4" xpath="/ns2:ScoreSheet/ns2:Diff2/ns2:Team9Consec20" xmlDataType="string"/>
    </xmlCellPr>
  </singleXmlCell>
  <singleXmlCell id="1111" xr6:uid="{00000000-000C-0000-FFFF-FFFF55040000}" r="C25" connectionId="0">
    <xmlCellPr id="1" xr6:uid="{00000000-0010-0000-5504-000001000000}" uniqueName="ns2:Team10Diff1">
      <xmlPr mapId="4" xpath="/ns2:ScoreSheet/ns2:Diff2/ns2:Team10Diff1" xmlDataType="decimal"/>
    </xmlCellPr>
  </singleXmlCell>
  <singleXmlCell id="1112" xr6:uid="{00000000-000C-0000-FFFF-FFFF56040000}" r="D25" connectionId="0">
    <xmlCellPr id="1" xr6:uid="{00000000-0010-0000-5604-000001000000}" uniqueName="ns2:Team10Diff2">
      <xmlPr mapId="4" xpath="/ns2:ScoreSheet/ns2:Diff2/ns2:Team10Diff2" xmlDataType="decimal"/>
    </xmlCellPr>
  </singleXmlCell>
  <singleXmlCell id="1113" xr6:uid="{00000000-000C-0000-FFFF-FFFF57040000}" r="E25" connectionId="0">
    <xmlCellPr id="1" xr6:uid="{00000000-0010-0000-5704-000001000000}" uniqueName="ns2:Team10Diff3">
      <xmlPr mapId="4" xpath="/ns2:ScoreSheet/ns2:Diff2/ns2:Team10Diff3" xmlDataType="decimal"/>
    </xmlCellPr>
  </singleXmlCell>
  <singleXmlCell id="1114" xr6:uid="{00000000-000C-0000-FFFF-FFFF58040000}" r="F25" connectionId="0">
    <xmlCellPr id="1" xr6:uid="{00000000-0010-0000-5804-000001000000}" uniqueName="ns2:Team10Diff4">
      <xmlPr mapId="4" xpath="/ns2:ScoreSheet/ns2:Diff2/ns2:Team10Diff4" xmlDataType="decimal"/>
    </xmlCellPr>
  </singleXmlCell>
  <singleXmlCell id="1115" xr6:uid="{00000000-000C-0000-FFFF-FFFF59040000}" r="G25" connectionId="0">
    <xmlCellPr id="1" xr6:uid="{00000000-0010-0000-5904-000001000000}" uniqueName="ns2:Team10Diff5">
      <xmlPr mapId="4" xpath="/ns2:ScoreSheet/ns2:Diff2/ns2:Team10Diff5" xmlDataType="decimal"/>
    </xmlCellPr>
  </singleXmlCell>
  <singleXmlCell id="1116" xr6:uid="{00000000-000C-0000-FFFF-FFFF5A040000}" r="H25" connectionId="0">
    <xmlCellPr id="1" xr6:uid="{00000000-0010-0000-5A04-000001000000}" uniqueName="ns2:Team10Diff6">
      <xmlPr mapId="4" xpath="/ns2:ScoreSheet/ns2:Diff2/ns2:Team10Diff6" xmlDataType="decimal"/>
    </xmlCellPr>
  </singleXmlCell>
  <singleXmlCell id="1117" xr6:uid="{00000000-000C-0000-FFFF-FFFF5B040000}" r="I25" connectionId="0">
    <xmlCellPr id="1" xr6:uid="{00000000-0010-0000-5B04-000001000000}" uniqueName="ns2:Team10Diff7">
      <xmlPr mapId="4" xpath="/ns2:ScoreSheet/ns2:Diff2/ns2:Team10Diff7" xmlDataType="decimal"/>
    </xmlCellPr>
  </singleXmlCell>
  <singleXmlCell id="1118" xr6:uid="{00000000-000C-0000-FFFF-FFFF5C040000}" r="J25" connectionId="0">
    <xmlCellPr id="1" xr6:uid="{00000000-0010-0000-5C04-000001000000}" uniqueName="ns2:Team10Diff8">
      <xmlPr mapId="4" xpath="/ns2:ScoreSheet/ns2:Diff2/ns2:Team10Diff8" xmlDataType="decimal"/>
    </xmlCellPr>
  </singleXmlCell>
  <singleXmlCell id="1119" xr6:uid="{00000000-000C-0000-FFFF-FFFF5D040000}" r="K25" connectionId="0">
    <xmlCellPr id="1" xr6:uid="{00000000-0010-0000-5D04-000001000000}" uniqueName="ns2:Team10Diff9">
      <xmlPr mapId="4" xpath="/ns2:ScoreSheet/ns2:Diff2/ns2:Team10Diff9" xmlDataType="decimal"/>
    </xmlCellPr>
  </singleXmlCell>
  <singleXmlCell id="1120" xr6:uid="{00000000-000C-0000-FFFF-FFFF5E040000}" r="L25" connectionId="0">
    <xmlCellPr id="1" xr6:uid="{00000000-0010-0000-5E04-000001000000}" uniqueName="ns2:Team10Diff10">
      <xmlPr mapId="4" xpath="/ns2:ScoreSheet/ns2:Diff2/ns2:Team10Diff10" xmlDataType="decimal"/>
    </xmlCellPr>
  </singleXmlCell>
  <singleXmlCell id="1121" xr6:uid="{00000000-000C-0000-FFFF-FFFF5F040000}" r="M25" connectionId="0">
    <xmlCellPr id="1" xr6:uid="{00000000-0010-0000-5F04-000001000000}" uniqueName="ns2:Team10Diff11">
      <xmlPr mapId="4" xpath="/ns2:ScoreSheet/ns2:Diff2/ns2:Team10Diff11" xmlDataType="decimal"/>
    </xmlCellPr>
  </singleXmlCell>
  <singleXmlCell id="1122" xr6:uid="{00000000-000C-0000-FFFF-FFFF60040000}" r="N25" connectionId="0">
    <xmlCellPr id="1" xr6:uid="{00000000-0010-0000-6004-000001000000}" uniqueName="ns2:Team10Diff12">
      <xmlPr mapId="4" xpath="/ns2:ScoreSheet/ns2:Diff2/ns2:Team10Diff12" xmlDataType="decimal"/>
    </xmlCellPr>
  </singleXmlCell>
  <singleXmlCell id="1123" xr6:uid="{00000000-000C-0000-FFFF-FFFF61040000}" r="O25" connectionId="0">
    <xmlCellPr id="1" xr6:uid="{00000000-0010-0000-6104-000001000000}" uniqueName="ns2:Team10Diff13">
      <xmlPr mapId="4" xpath="/ns2:ScoreSheet/ns2:Diff2/ns2:Team10Diff13" xmlDataType="decimal"/>
    </xmlCellPr>
  </singleXmlCell>
  <singleXmlCell id="1124" xr6:uid="{00000000-000C-0000-FFFF-FFFF62040000}" r="P25" connectionId="0">
    <xmlCellPr id="1" xr6:uid="{00000000-0010-0000-6204-000001000000}" uniqueName="ns2:Team10Diff14">
      <xmlPr mapId="4" xpath="/ns2:ScoreSheet/ns2:Diff2/ns2:Team10Diff14" xmlDataType="decimal"/>
    </xmlCellPr>
  </singleXmlCell>
  <singleXmlCell id="1125" xr6:uid="{00000000-000C-0000-FFFF-FFFF63040000}" r="Q25" connectionId="0">
    <xmlCellPr id="1" xr6:uid="{00000000-0010-0000-6304-000001000000}" uniqueName="ns2:Team10Diff15">
      <xmlPr mapId="4" xpath="/ns2:ScoreSheet/ns2:Diff2/ns2:Team10Diff15" xmlDataType="decimal"/>
    </xmlCellPr>
  </singleXmlCell>
  <singleXmlCell id="1126" xr6:uid="{00000000-000C-0000-FFFF-FFFF64040000}" r="R25" connectionId="0">
    <xmlCellPr id="1" xr6:uid="{00000000-0010-0000-6404-000001000000}" uniqueName="ns2:Team10Diff16">
      <xmlPr mapId="4" xpath="/ns2:ScoreSheet/ns2:Diff2/ns2:Team10Diff16" xmlDataType="decimal"/>
    </xmlCellPr>
  </singleXmlCell>
  <singleXmlCell id="1127" xr6:uid="{00000000-000C-0000-FFFF-FFFF65040000}" r="S25" connectionId="0">
    <xmlCellPr id="1" xr6:uid="{00000000-0010-0000-6504-000001000000}" uniqueName="ns2:Team10Diff17">
      <xmlPr mapId="4" xpath="/ns2:ScoreSheet/ns2:Diff2/ns2:Team10Diff17" xmlDataType="decimal"/>
    </xmlCellPr>
  </singleXmlCell>
  <singleXmlCell id="1128" xr6:uid="{00000000-000C-0000-FFFF-FFFF66040000}" r="T25" connectionId="0">
    <xmlCellPr id="1" xr6:uid="{00000000-0010-0000-6604-000001000000}" uniqueName="ns2:Team10Diff18">
      <xmlPr mapId="4" xpath="/ns2:ScoreSheet/ns2:Diff2/ns2:Team10Diff18" xmlDataType="decimal"/>
    </xmlCellPr>
  </singleXmlCell>
  <singleXmlCell id="1129" xr6:uid="{00000000-000C-0000-FFFF-FFFF67040000}" r="U25" connectionId="0">
    <xmlCellPr id="1" xr6:uid="{00000000-0010-0000-6704-000001000000}" uniqueName="ns2:Team10Diff19">
      <xmlPr mapId="4" xpath="/ns2:ScoreSheet/ns2:Diff2/ns2:Team10Diff19" xmlDataType="decimal"/>
    </xmlCellPr>
  </singleXmlCell>
  <singleXmlCell id="1130" xr6:uid="{00000000-000C-0000-FFFF-FFFF68040000}" r="V25" connectionId="0">
    <xmlCellPr id="1" xr6:uid="{00000000-0010-0000-6804-000001000000}" uniqueName="ns2:Team10Diff20">
      <xmlPr mapId="4" xpath="/ns2:ScoreSheet/ns2:Diff2/ns2:Team10Diff20" xmlDataType="decimal"/>
    </xmlCellPr>
  </singleXmlCell>
  <singleXmlCell id="1131" xr6:uid="{00000000-000C-0000-FFFF-FFFF69040000}" r="C24" connectionId="0">
    <xmlCellPr id="1" xr6:uid="{00000000-0010-0000-6904-000001000000}" uniqueName="ns2:Team10Consec1">
      <xmlPr mapId="4" xpath="/ns2:ScoreSheet/ns2:Diff2/ns2:Team10Consec1" xmlDataType="string"/>
    </xmlCellPr>
  </singleXmlCell>
  <singleXmlCell id="1132" xr6:uid="{00000000-000C-0000-FFFF-FFFF6A040000}" r="D24" connectionId="0">
    <xmlCellPr id="1" xr6:uid="{00000000-0010-0000-6A04-000001000000}" uniqueName="ns2:Team10Consec2">
      <xmlPr mapId="4" xpath="/ns2:ScoreSheet/ns2:Diff2/ns2:Team10Consec2" xmlDataType="string"/>
    </xmlCellPr>
  </singleXmlCell>
  <singleXmlCell id="1133" xr6:uid="{00000000-000C-0000-FFFF-FFFF6B040000}" r="E24" connectionId="0">
    <xmlCellPr id="1" xr6:uid="{00000000-0010-0000-6B04-000001000000}" uniqueName="ns2:Team10Consec3">
      <xmlPr mapId="4" xpath="/ns2:ScoreSheet/ns2:Diff2/ns2:Team10Consec3" xmlDataType="string"/>
    </xmlCellPr>
  </singleXmlCell>
  <singleXmlCell id="1134" xr6:uid="{00000000-000C-0000-FFFF-FFFF6C040000}" r="F24" connectionId="0">
    <xmlCellPr id="1" xr6:uid="{00000000-0010-0000-6C04-000001000000}" uniqueName="ns2:Team10Consec4">
      <xmlPr mapId="4" xpath="/ns2:ScoreSheet/ns2:Diff2/ns2:Team10Consec4" xmlDataType="string"/>
    </xmlCellPr>
  </singleXmlCell>
  <singleXmlCell id="1135" xr6:uid="{00000000-000C-0000-FFFF-FFFF6D040000}" r="G24" connectionId="0">
    <xmlCellPr id="1" xr6:uid="{00000000-0010-0000-6D04-000001000000}" uniqueName="ns2:Team10Consec5">
      <xmlPr mapId="4" xpath="/ns2:ScoreSheet/ns2:Diff2/ns2:Team10Consec5" xmlDataType="string"/>
    </xmlCellPr>
  </singleXmlCell>
  <singleXmlCell id="1136" xr6:uid="{00000000-000C-0000-FFFF-FFFF6E040000}" r="H24" connectionId="0">
    <xmlCellPr id="1" xr6:uid="{00000000-0010-0000-6E04-000001000000}" uniqueName="ns2:Team10Consec6">
      <xmlPr mapId="4" xpath="/ns2:ScoreSheet/ns2:Diff2/ns2:Team10Consec6" xmlDataType="string"/>
    </xmlCellPr>
  </singleXmlCell>
  <singleXmlCell id="1137" xr6:uid="{00000000-000C-0000-FFFF-FFFF6F040000}" r="I24" connectionId="0">
    <xmlCellPr id="1" xr6:uid="{00000000-0010-0000-6F04-000001000000}" uniqueName="ns2:Team10Consec7">
      <xmlPr mapId="4" xpath="/ns2:ScoreSheet/ns2:Diff2/ns2:Team10Consec7" xmlDataType="string"/>
    </xmlCellPr>
  </singleXmlCell>
  <singleXmlCell id="1138" xr6:uid="{00000000-000C-0000-FFFF-FFFF70040000}" r="J24" connectionId="0">
    <xmlCellPr id="1" xr6:uid="{00000000-0010-0000-7004-000001000000}" uniqueName="ns2:Team10Consec8">
      <xmlPr mapId="4" xpath="/ns2:ScoreSheet/ns2:Diff2/ns2:Team10Consec8" xmlDataType="string"/>
    </xmlCellPr>
  </singleXmlCell>
  <singleXmlCell id="1139" xr6:uid="{00000000-000C-0000-FFFF-FFFF71040000}" r="K24" connectionId="0">
    <xmlCellPr id="1" xr6:uid="{00000000-0010-0000-7104-000001000000}" uniqueName="ns2:Team10Consec9">
      <xmlPr mapId="4" xpath="/ns2:ScoreSheet/ns2:Diff2/ns2:Team10Consec9" xmlDataType="string"/>
    </xmlCellPr>
  </singleXmlCell>
  <singleXmlCell id="1140" xr6:uid="{00000000-000C-0000-FFFF-FFFF72040000}" r="L24" connectionId="0">
    <xmlCellPr id="1" xr6:uid="{00000000-0010-0000-7204-000001000000}" uniqueName="ns2:Team10Consec10">
      <xmlPr mapId="4" xpath="/ns2:ScoreSheet/ns2:Diff2/ns2:Team10Consec10" xmlDataType="string"/>
    </xmlCellPr>
  </singleXmlCell>
  <singleXmlCell id="1141" xr6:uid="{00000000-000C-0000-FFFF-FFFF73040000}" r="M24" connectionId="0">
    <xmlCellPr id="1" xr6:uid="{00000000-0010-0000-7304-000001000000}" uniqueName="ns2:Team10Consec11">
      <xmlPr mapId="4" xpath="/ns2:ScoreSheet/ns2:Diff2/ns2:Team10Consec11" xmlDataType="string"/>
    </xmlCellPr>
  </singleXmlCell>
  <singleXmlCell id="1142" xr6:uid="{00000000-000C-0000-FFFF-FFFF74040000}" r="N24" connectionId="0">
    <xmlCellPr id="1" xr6:uid="{00000000-0010-0000-7404-000001000000}" uniqueName="ns2:Team10Consec12">
      <xmlPr mapId="4" xpath="/ns2:ScoreSheet/ns2:Diff2/ns2:Team10Consec12" xmlDataType="string"/>
    </xmlCellPr>
  </singleXmlCell>
  <singleXmlCell id="1143" xr6:uid="{00000000-000C-0000-FFFF-FFFF75040000}" r="O24" connectionId="0">
    <xmlCellPr id="1" xr6:uid="{00000000-0010-0000-7504-000001000000}" uniqueName="ns2:Team10Consec13">
      <xmlPr mapId="4" xpath="/ns2:ScoreSheet/ns2:Diff2/ns2:Team10Consec13" xmlDataType="string"/>
    </xmlCellPr>
  </singleXmlCell>
  <singleXmlCell id="1144" xr6:uid="{00000000-000C-0000-FFFF-FFFF76040000}" r="P24" connectionId="0">
    <xmlCellPr id="1" xr6:uid="{00000000-0010-0000-7604-000001000000}" uniqueName="ns2:Team10Consec14">
      <xmlPr mapId="4" xpath="/ns2:ScoreSheet/ns2:Diff2/ns2:Team10Consec14" xmlDataType="string"/>
    </xmlCellPr>
  </singleXmlCell>
  <singleXmlCell id="1145" xr6:uid="{00000000-000C-0000-FFFF-FFFF77040000}" r="Q24" connectionId="0">
    <xmlCellPr id="1" xr6:uid="{00000000-0010-0000-7704-000001000000}" uniqueName="ns2:Team10Consec15">
      <xmlPr mapId="4" xpath="/ns2:ScoreSheet/ns2:Diff2/ns2:Team10Consec15" xmlDataType="string"/>
    </xmlCellPr>
  </singleXmlCell>
  <singleXmlCell id="1146" xr6:uid="{00000000-000C-0000-FFFF-FFFF78040000}" r="R24" connectionId="0">
    <xmlCellPr id="1" xr6:uid="{00000000-0010-0000-7804-000001000000}" uniqueName="ns2:Team10Consec16">
      <xmlPr mapId="4" xpath="/ns2:ScoreSheet/ns2:Diff2/ns2:Team10Consec16" xmlDataType="string"/>
    </xmlCellPr>
  </singleXmlCell>
  <singleXmlCell id="1147" xr6:uid="{00000000-000C-0000-FFFF-FFFF79040000}" r="S24" connectionId="0">
    <xmlCellPr id="1" xr6:uid="{00000000-0010-0000-7904-000001000000}" uniqueName="ns2:Team10Consec17">
      <xmlPr mapId="4" xpath="/ns2:ScoreSheet/ns2:Diff2/ns2:Team10Consec17" xmlDataType="string"/>
    </xmlCellPr>
  </singleXmlCell>
  <singleXmlCell id="1148" xr6:uid="{00000000-000C-0000-FFFF-FFFF7A040000}" r="T24" connectionId="0">
    <xmlCellPr id="1" xr6:uid="{00000000-0010-0000-7A04-000001000000}" uniqueName="ns2:Team10Consec18">
      <xmlPr mapId="4" xpath="/ns2:ScoreSheet/ns2:Diff2/ns2:Team10Consec18" xmlDataType="string"/>
    </xmlCellPr>
  </singleXmlCell>
  <singleXmlCell id="1149" xr6:uid="{00000000-000C-0000-FFFF-FFFF7B040000}" r="U24" connectionId="0">
    <xmlCellPr id="1" xr6:uid="{00000000-0010-0000-7B04-000001000000}" uniqueName="ns2:Team10Consec19">
      <xmlPr mapId="4" xpath="/ns2:ScoreSheet/ns2:Diff2/ns2:Team10Consec19" xmlDataType="string"/>
    </xmlCellPr>
  </singleXmlCell>
  <singleXmlCell id="1150" xr6:uid="{00000000-000C-0000-FFFF-FFFF7C040000}" r="V24" connectionId="0">
    <xmlCellPr id="1" xr6:uid="{00000000-0010-0000-7C04-000001000000}" uniqueName="ns2:Team10Consec20">
      <xmlPr mapId="4" xpath="/ns2:ScoreSheet/ns2:Diff2/ns2:Team10Consec20" xmlDataType="string"/>
    </xmlCellPr>
  </singleXmlCell>
</singleXmlCells>
</file>

<file path=xl/tables/tableSingleCells10.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1151" xr6:uid="{00000000-000C-0000-FFFF-FFFF7D040000}" r="C7" connectionId="0">
    <xmlCellPr id="1" xr6:uid="{00000000-0010-0000-7D04-000001000000}" uniqueName="ns2:Team1Diff1">
      <xmlPr mapId="4" xpath="/ns2:ScoreSheet/ns2:Diff3/ns2:Team1Diff1" xmlDataType="decimal"/>
    </xmlCellPr>
  </singleXmlCell>
  <singleXmlCell id="1152" xr6:uid="{00000000-000C-0000-FFFF-FFFF7E040000}" r="D7" connectionId="0">
    <xmlCellPr id="1" xr6:uid="{00000000-0010-0000-7E04-000001000000}" uniqueName="ns2:Team1Diff2">
      <xmlPr mapId="4" xpath="/ns2:ScoreSheet/ns2:Diff3/ns2:Team1Diff2" xmlDataType="decimal"/>
    </xmlCellPr>
  </singleXmlCell>
  <singleXmlCell id="1153" xr6:uid="{00000000-000C-0000-FFFF-FFFF7F040000}" r="E7" connectionId="0">
    <xmlCellPr id="1" xr6:uid="{00000000-0010-0000-7F04-000001000000}" uniqueName="ns2:Team1Diff3">
      <xmlPr mapId="4" xpath="/ns2:ScoreSheet/ns2:Diff3/ns2:Team1Diff3" xmlDataType="decimal"/>
    </xmlCellPr>
  </singleXmlCell>
  <singleXmlCell id="1154" xr6:uid="{00000000-000C-0000-FFFF-FFFF80040000}" r="F7" connectionId="0">
    <xmlCellPr id="1" xr6:uid="{00000000-0010-0000-8004-000001000000}" uniqueName="ns2:Team1Diff4">
      <xmlPr mapId="4" xpath="/ns2:ScoreSheet/ns2:Diff3/ns2:Team1Diff4" xmlDataType="decimal"/>
    </xmlCellPr>
  </singleXmlCell>
  <singleXmlCell id="1155" xr6:uid="{00000000-000C-0000-FFFF-FFFF81040000}" r="G7" connectionId="0">
    <xmlCellPr id="1" xr6:uid="{00000000-0010-0000-8104-000001000000}" uniqueName="ns2:Team1Diff5">
      <xmlPr mapId="4" xpath="/ns2:ScoreSheet/ns2:Diff3/ns2:Team1Diff5" xmlDataType="decimal"/>
    </xmlCellPr>
  </singleXmlCell>
  <singleXmlCell id="1156" xr6:uid="{00000000-000C-0000-FFFF-FFFF82040000}" r="H7" connectionId="0">
    <xmlCellPr id="1" xr6:uid="{00000000-0010-0000-8204-000001000000}" uniqueName="ns2:Team1Diff6">
      <xmlPr mapId="4" xpath="/ns2:ScoreSheet/ns2:Diff3/ns2:Team1Diff6" xmlDataType="decimal"/>
    </xmlCellPr>
  </singleXmlCell>
  <singleXmlCell id="1157" xr6:uid="{00000000-000C-0000-FFFF-FFFF83040000}" r="I7" connectionId="0">
    <xmlCellPr id="1" xr6:uid="{00000000-0010-0000-8304-000001000000}" uniqueName="ns2:Team1Diff7">
      <xmlPr mapId="4" xpath="/ns2:ScoreSheet/ns2:Diff3/ns2:Team1Diff7" xmlDataType="decimal"/>
    </xmlCellPr>
  </singleXmlCell>
  <singleXmlCell id="1158" xr6:uid="{00000000-000C-0000-FFFF-FFFF84040000}" r="J7" connectionId="0">
    <xmlCellPr id="1" xr6:uid="{00000000-0010-0000-8404-000001000000}" uniqueName="ns2:Team1Diff8">
      <xmlPr mapId="4" xpath="/ns2:ScoreSheet/ns2:Diff3/ns2:Team1Diff8" xmlDataType="decimal"/>
    </xmlCellPr>
  </singleXmlCell>
  <singleXmlCell id="1159" xr6:uid="{00000000-000C-0000-FFFF-FFFF85040000}" r="K7" connectionId="0">
    <xmlCellPr id="1" xr6:uid="{00000000-0010-0000-8504-000001000000}" uniqueName="ns2:Team1Diff9">
      <xmlPr mapId="4" xpath="/ns2:ScoreSheet/ns2:Diff3/ns2:Team1Diff9" xmlDataType="decimal"/>
    </xmlCellPr>
  </singleXmlCell>
  <singleXmlCell id="1160" xr6:uid="{00000000-000C-0000-FFFF-FFFF86040000}" r="L7" connectionId="0">
    <xmlCellPr id="1" xr6:uid="{00000000-0010-0000-8604-000001000000}" uniqueName="ns2:Team1Diff10">
      <xmlPr mapId="4" xpath="/ns2:ScoreSheet/ns2:Diff3/ns2:Team1Diff10" xmlDataType="decimal"/>
    </xmlCellPr>
  </singleXmlCell>
  <singleXmlCell id="1161" xr6:uid="{00000000-000C-0000-FFFF-FFFF87040000}" r="M7" connectionId="0">
    <xmlCellPr id="1" xr6:uid="{00000000-0010-0000-8704-000001000000}" uniqueName="ns2:Team1Diff11">
      <xmlPr mapId="4" xpath="/ns2:ScoreSheet/ns2:Diff3/ns2:Team1Diff11" xmlDataType="decimal"/>
    </xmlCellPr>
  </singleXmlCell>
  <singleXmlCell id="1162" xr6:uid="{00000000-000C-0000-FFFF-FFFF88040000}" r="N7" connectionId="0">
    <xmlCellPr id="1" xr6:uid="{00000000-0010-0000-8804-000001000000}" uniqueName="ns2:Team1Diff12">
      <xmlPr mapId="4" xpath="/ns2:ScoreSheet/ns2:Diff3/ns2:Team1Diff12" xmlDataType="decimal"/>
    </xmlCellPr>
  </singleXmlCell>
  <singleXmlCell id="1163" xr6:uid="{00000000-000C-0000-FFFF-FFFF89040000}" r="O7" connectionId="0">
    <xmlCellPr id="1" xr6:uid="{00000000-0010-0000-8904-000001000000}" uniqueName="ns2:Team1Diff13">
      <xmlPr mapId="4" xpath="/ns2:ScoreSheet/ns2:Diff3/ns2:Team1Diff13" xmlDataType="decimal"/>
    </xmlCellPr>
  </singleXmlCell>
  <singleXmlCell id="1164" xr6:uid="{00000000-000C-0000-FFFF-FFFF8A040000}" r="P7" connectionId="0">
    <xmlCellPr id="1" xr6:uid="{00000000-0010-0000-8A04-000001000000}" uniqueName="ns2:Team1Diff14">
      <xmlPr mapId="4" xpath="/ns2:ScoreSheet/ns2:Diff3/ns2:Team1Diff14" xmlDataType="decimal"/>
    </xmlCellPr>
  </singleXmlCell>
  <singleXmlCell id="1165" xr6:uid="{00000000-000C-0000-FFFF-FFFF8B040000}" r="Q7" connectionId="0">
    <xmlCellPr id="1" xr6:uid="{00000000-0010-0000-8B04-000001000000}" uniqueName="ns2:Team1Diff15">
      <xmlPr mapId="4" xpath="/ns2:ScoreSheet/ns2:Diff3/ns2:Team1Diff15" xmlDataType="decimal"/>
    </xmlCellPr>
  </singleXmlCell>
  <singleXmlCell id="1166" xr6:uid="{00000000-000C-0000-FFFF-FFFF8C040000}" r="R7" connectionId="0">
    <xmlCellPr id="1" xr6:uid="{00000000-0010-0000-8C04-000001000000}" uniqueName="ns2:Team1Diff16">
      <xmlPr mapId="4" xpath="/ns2:ScoreSheet/ns2:Diff3/ns2:Team1Diff16" xmlDataType="decimal"/>
    </xmlCellPr>
  </singleXmlCell>
  <singleXmlCell id="1167" xr6:uid="{00000000-000C-0000-FFFF-FFFF8D040000}" r="S7" connectionId="0">
    <xmlCellPr id="1" xr6:uid="{00000000-0010-0000-8D04-000001000000}" uniqueName="ns2:Team1Diff17">
      <xmlPr mapId="4" xpath="/ns2:ScoreSheet/ns2:Diff3/ns2:Team1Diff17" xmlDataType="decimal"/>
    </xmlCellPr>
  </singleXmlCell>
  <singleXmlCell id="1168" xr6:uid="{00000000-000C-0000-FFFF-FFFF8E040000}" r="T7" connectionId="0">
    <xmlCellPr id="1" xr6:uid="{00000000-0010-0000-8E04-000001000000}" uniqueName="ns2:Team1Diff18">
      <xmlPr mapId="4" xpath="/ns2:ScoreSheet/ns2:Diff3/ns2:Team1Diff18" xmlDataType="decimal"/>
    </xmlCellPr>
  </singleXmlCell>
  <singleXmlCell id="1169" xr6:uid="{00000000-000C-0000-FFFF-FFFF8F040000}" r="U7" connectionId="0">
    <xmlCellPr id="1" xr6:uid="{00000000-0010-0000-8F04-000001000000}" uniqueName="ns2:Team1Diff19">
      <xmlPr mapId="4" xpath="/ns2:ScoreSheet/ns2:Diff3/ns2:Team1Diff19" xmlDataType="decimal"/>
    </xmlCellPr>
  </singleXmlCell>
  <singleXmlCell id="1170" xr6:uid="{00000000-000C-0000-FFFF-FFFF90040000}" r="V7" connectionId="0">
    <xmlCellPr id="1" xr6:uid="{00000000-0010-0000-9004-000001000000}" uniqueName="ns2:Team1Diff20">
      <xmlPr mapId="4" xpath="/ns2:ScoreSheet/ns2:Diff3/ns2:Team1Diff20" xmlDataType="decimal"/>
    </xmlCellPr>
  </singleXmlCell>
  <singleXmlCell id="1171" xr6:uid="{00000000-000C-0000-FFFF-FFFF91040000}" r="C6" connectionId="0">
    <xmlCellPr id="1" xr6:uid="{00000000-0010-0000-9104-000001000000}" uniqueName="ns2:Team1Consec1">
      <xmlPr mapId="4" xpath="/ns2:ScoreSheet/ns2:Diff3/ns2:Team1Consec1" xmlDataType="string"/>
    </xmlCellPr>
  </singleXmlCell>
  <singleXmlCell id="1172" xr6:uid="{00000000-000C-0000-FFFF-FFFF92040000}" r="D6" connectionId="0">
    <xmlCellPr id="1" xr6:uid="{00000000-0010-0000-9204-000001000000}" uniqueName="ns2:Team1Consec2">
      <xmlPr mapId="4" xpath="/ns2:ScoreSheet/ns2:Diff3/ns2:Team1Consec2" xmlDataType="string"/>
    </xmlCellPr>
  </singleXmlCell>
  <singleXmlCell id="1173" xr6:uid="{00000000-000C-0000-FFFF-FFFF93040000}" r="E6" connectionId="0">
    <xmlCellPr id="1" xr6:uid="{00000000-0010-0000-9304-000001000000}" uniqueName="ns2:Team1Consec3">
      <xmlPr mapId="4" xpath="/ns2:ScoreSheet/ns2:Diff3/ns2:Team1Consec3" xmlDataType="string"/>
    </xmlCellPr>
  </singleXmlCell>
  <singleXmlCell id="1174" xr6:uid="{00000000-000C-0000-FFFF-FFFF94040000}" r="F6" connectionId="0">
    <xmlCellPr id="1" xr6:uid="{00000000-0010-0000-9404-000001000000}" uniqueName="ns2:Team1Consec4">
      <xmlPr mapId="4" xpath="/ns2:ScoreSheet/ns2:Diff3/ns2:Team1Consec4" xmlDataType="string"/>
    </xmlCellPr>
  </singleXmlCell>
  <singleXmlCell id="1175" xr6:uid="{00000000-000C-0000-FFFF-FFFF95040000}" r="G6" connectionId="0">
    <xmlCellPr id="1" xr6:uid="{00000000-0010-0000-9504-000001000000}" uniqueName="ns2:Team1Consec5">
      <xmlPr mapId="4" xpath="/ns2:ScoreSheet/ns2:Diff3/ns2:Team1Consec5" xmlDataType="string"/>
    </xmlCellPr>
  </singleXmlCell>
  <singleXmlCell id="1176" xr6:uid="{00000000-000C-0000-FFFF-FFFF96040000}" r="H6" connectionId="0">
    <xmlCellPr id="1" xr6:uid="{00000000-0010-0000-9604-000001000000}" uniqueName="ns2:Team1Consec6">
      <xmlPr mapId="4" xpath="/ns2:ScoreSheet/ns2:Diff3/ns2:Team1Consec6" xmlDataType="string"/>
    </xmlCellPr>
  </singleXmlCell>
  <singleXmlCell id="1177" xr6:uid="{00000000-000C-0000-FFFF-FFFF97040000}" r="I6" connectionId="0">
    <xmlCellPr id="1" xr6:uid="{00000000-0010-0000-9704-000001000000}" uniqueName="ns2:Team1Consec7">
      <xmlPr mapId="4" xpath="/ns2:ScoreSheet/ns2:Diff3/ns2:Team1Consec7" xmlDataType="string"/>
    </xmlCellPr>
  </singleXmlCell>
  <singleXmlCell id="1178" xr6:uid="{00000000-000C-0000-FFFF-FFFF98040000}" r="J6" connectionId="0">
    <xmlCellPr id="1" xr6:uid="{00000000-0010-0000-9804-000001000000}" uniqueName="ns2:Team1Consec8">
      <xmlPr mapId="4" xpath="/ns2:ScoreSheet/ns2:Diff3/ns2:Team1Consec8" xmlDataType="string"/>
    </xmlCellPr>
  </singleXmlCell>
  <singleXmlCell id="1179" xr6:uid="{00000000-000C-0000-FFFF-FFFF99040000}" r="K6" connectionId="0">
    <xmlCellPr id="1" xr6:uid="{00000000-0010-0000-9904-000001000000}" uniqueName="ns2:Team1Consec9">
      <xmlPr mapId="4" xpath="/ns2:ScoreSheet/ns2:Diff3/ns2:Team1Consec9" xmlDataType="string"/>
    </xmlCellPr>
  </singleXmlCell>
  <singleXmlCell id="1180" xr6:uid="{00000000-000C-0000-FFFF-FFFF9A040000}" r="L6" connectionId="0">
    <xmlCellPr id="1" xr6:uid="{00000000-0010-0000-9A04-000001000000}" uniqueName="ns2:Team1Consec10">
      <xmlPr mapId="4" xpath="/ns2:ScoreSheet/ns2:Diff3/ns2:Team1Consec10" xmlDataType="string"/>
    </xmlCellPr>
  </singleXmlCell>
  <singleXmlCell id="1181" xr6:uid="{00000000-000C-0000-FFFF-FFFF9B040000}" r="M6" connectionId="0">
    <xmlCellPr id="1" xr6:uid="{00000000-0010-0000-9B04-000001000000}" uniqueName="ns2:Team1Consec11">
      <xmlPr mapId="4" xpath="/ns2:ScoreSheet/ns2:Diff3/ns2:Team1Consec11" xmlDataType="string"/>
    </xmlCellPr>
  </singleXmlCell>
  <singleXmlCell id="1182" xr6:uid="{00000000-000C-0000-FFFF-FFFF9C040000}" r="N6" connectionId="0">
    <xmlCellPr id="1" xr6:uid="{00000000-0010-0000-9C04-000001000000}" uniqueName="ns2:Team1Consec12">
      <xmlPr mapId="4" xpath="/ns2:ScoreSheet/ns2:Diff3/ns2:Team1Consec12" xmlDataType="string"/>
    </xmlCellPr>
  </singleXmlCell>
  <singleXmlCell id="1183" xr6:uid="{00000000-000C-0000-FFFF-FFFF9D040000}" r="O6" connectionId="0">
    <xmlCellPr id="1" xr6:uid="{00000000-0010-0000-9D04-000001000000}" uniqueName="ns2:Team1Consec13">
      <xmlPr mapId="4" xpath="/ns2:ScoreSheet/ns2:Diff3/ns2:Team1Consec13" xmlDataType="string"/>
    </xmlCellPr>
  </singleXmlCell>
  <singleXmlCell id="1184" xr6:uid="{00000000-000C-0000-FFFF-FFFF9E040000}" r="P6" connectionId="0">
    <xmlCellPr id="1" xr6:uid="{00000000-0010-0000-9E04-000001000000}" uniqueName="ns2:Team1Consec14">
      <xmlPr mapId="4" xpath="/ns2:ScoreSheet/ns2:Diff3/ns2:Team1Consec14" xmlDataType="string"/>
    </xmlCellPr>
  </singleXmlCell>
  <singleXmlCell id="1185" xr6:uid="{00000000-000C-0000-FFFF-FFFF9F040000}" r="Q6" connectionId="0">
    <xmlCellPr id="1" xr6:uid="{00000000-0010-0000-9F04-000001000000}" uniqueName="ns2:Team1Consec15">
      <xmlPr mapId="4" xpath="/ns2:ScoreSheet/ns2:Diff3/ns2:Team1Consec15" xmlDataType="string"/>
    </xmlCellPr>
  </singleXmlCell>
  <singleXmlCell id="1186" xr6:uid="{00000000-000C-0000-FFFF-FFFFA0040000}" r="R6" connectionId="0">
    <xmlCellPr id="1" xr6:uid="{00000000-0010-0000-A004-000001000000}" uniqueName="ns2:Team1Consec16">
      <xmlPr mapId="4" xpath="/ns2:ScoreSheet/ns2:Diff3/ns2:Team1Consec16" xmlDataType="string"/>
    </xmlCellPr>
  </singleXmlCell>
  <singleXmlCell id="1187" xr6:uid="{00000000-000C-0000-FFFF-FFFFA1040000}" r="S6" connectionId="0">
    <xmlCellPr id="1" xr6:uid="{00000000-0010-0000-A104-000001000000}" uniqueName="ns2:Team1Consec17">
      <xmlPr mapId="4" xpath="/ns2:ScoreSheet/ns2:Diff3/ns2:Team1Consec17" xmlDataType="string"/>
    </xmlCellPr>
  </singleXmlCell>
  <singleXmlCell id="1188" xr6:uid="{00000000-000C-0000-FFFF-FFFFA2040000}" r="T6" connectionId="0">
    <xmlCellPr id="1" xr6:uid="{00000000-0010-0000-A204-000001000000}" uniqueName="ns2:Team1Consec18">
      <xmlPr mapId="4" xpath="/ns2:ScoreSheet/ns2:Diff3/ns2:Team1Consec18" xmlDataType="string"/>
    </xmlCellPr>
  </singleXmlCell>
  <singleXmlCell id="1189" xr6:uid="{00000000-000C-0000-FFFF-FFFFA3040000}" r="U6" connectionId="0">
    <xmlCellPr id="1" xr6:uid="{00000000-0010-0000-A304-000001000000}" uniqueName="ns2:Team1Consec19">
      <xmlPr mapId="4" xpath="/ns2:ScoreSheet/ns2:Diff3/ns2:Team1Consec19" xmlDataType="string"/>
    </xmlCellPr>
  </singleXmlCell>
  <singleXmlCell id="1190" xr6:uid="{00000000-000C-0000-FFFF-FFFFA4040000}" r="V6" connectionId="0">
    <xmlCellPr id="1" xr6:uid="{00000000-0010-0000-A404-000001000000}" uniqueName="ns2:Team1Consec20">
      <xmlPr mapId="4" xpath="/ns2:ScoreSheet/ns2:Diff3/ns2:Team1Consec20" xmlDataType="string"/>
    </xmlCellPr>
  </singleXmlCell>
  <singleXmlCell id="1191" xr6:uid="{00000000-000C-0000-FFFF-FFFFA5040000}" r="C9" connectionId="0">
    <xmlCellPr id="1" xr6:uid="{00000000-0010-0000-A504-000001000000}" uniqueName="ns2:Team2Diff1">
      <xmlPr mapId="4" xpath="/ns2:ScoreSheet/ns2:Diff3/ns2:Team2Diff1" xmlDataType="decimal"/>
    </xmlCellPr>
  </singleXmlCell>
  <singleXmlCell id="1192" xr6:uid="{00000000-000C-0000-FFFF-FFFFA6040000}" r="D9" connectionId="0">
    <xmlCellPr id="1" xr6:uid="{00000000-0010-0000-A604-000001000000}" uniqueName="ns2:Team2Diff2">
      <xmlPr mapId="4" xpath="/ns2:ScoreSheet/ns2:Diff3/ns2:Team2Diff2" xmlDataType="decimal"/>
    </xmlCellPr>
  </singleXmlCell>
  <singleXmlCell id="1193" xr6:uid="{00000000-000C-0000-FFFF-FFFFA7040000}" r="E9" connectionId="0">
    <xmlCellPr id="1" xr6:uid="{00000000-0010-0000-A704-000001000000}" uniqueName="ns2:Team2Diff3">
      <xmlPr mapId="4" xpath="/ns2:ScoreSheet/ns2:Diff3/ns2:Team2Diff3" xmlDataType="decimal"/>
    </xmlCellPr>
  </singleXmlCell>
  <singleXmlCell id="1194" xr6:uid="{00000000-000C-0000-FFFF-FFFFA8040000}" r="F9" connectionId="0">
    <xmlCellPr id="1" xr6:uid="{00000000-0010-0000-A804-000001000000}" uniqueName="ns2:Team2Diff4">
      <xmlPr mapId="4" xpath="/ns2:ScoreSheet/ns2:Diff3/ns2:Team2Diff4" xmlDataType="decimal"/>
    </xmlCellPr>
  </singleXmlCell>
  <singleXmlCell id="1195" xr6:uid="{00000000-000C-0000-FFFF-FFFFA9040000}" r="G9" connectionId="0">
    <xmlCellPr id="1" xr6:uid="{00000000-0010-0000-A904-000001000000}" uniqueName="ns2:Team2Diff5">
      <xmlPr mapId="4" xpath="/ns2:ScoreSheet/ns2:Diff3/ns2:Team2Diff5" xmlDataType="decimal"/>
    </xmlCellPr>
  </singleXmlCell>
  <singleXmlCell id="1196" xr6:uid="{00000000-000C-0000-FFFF-FFFFAA040000}" r="H9" connectionId="0">
    <xmlCellPr id="1" xr6:uid="{00000000-0010-0000-AA04-000001000000}" uniqueName="ns2:Team2Diff6">
      <xmlPr mapId="4" xpath="/ns2:ScoreSheet/ns2:Diff3/ns2:Team2Diff6" xmlDataType="decimal"/>
    </xmlCellPr>
  </singleXmlCell>
  <singleXmlCell id="1197" xr6:uid="{00000000-000C-0000-FFFF-FFFFAB040000}" r="I9" connectionId="0">
    <xmlCellPr id="1" xr6:uid="{00000000-0010-0000-AB04-000001000000}" uniqueName="ns2:Team2Diff7">
      <xmlPr mapId="4" xpath="/ns2:ScoreSheet/ns2:Diff3/ns2:Team2Diff7" xmlDataType="decimal"/>
    </xmlCellPr>
  </singleXmlCell>
  <singleXmlCell id="1198" xr6:uid="{00000000-000C-0000-FFFF-FFFFAC040000}" r="J9" connectionId="0">
    <xmlCellPr id="1" xr6:uid="{00000000-0010-0000-AC04-000001000000}" uniqueName="ns2:Team2Diff8">
      <xmlPr mapId="4" xpath="/ns2:ScoreSheet/ns2:Diff3/ns2:Team2Diff8" xmlDataType="decimal"/>
    </xmlCellPr>
  </singleXmlCell>
  <singleXmlCell id="1199" xr6:uid="{00000000-000C-0000-FFFF-FFFFAD040000}" r="K9" connectionId="0">
    <xmlCellPr id="1" xr6:uid="{00000000-0010-0000-AD04-000001000000}" uniqueName="ns2:Team2Diff9">
      <xmlPr mapId="4" xpath="/ns2:ScoreSheet/ns2:Diff3/ns2:Team2Diff9" xmlDataType="decimal"/>
    </xmlCellPr>
  </singleXmlCell>
  <singleXmlCell id="1200" xr6:uid="{00000000-000C-0000-FFFF-FFFFAE040000}" r="L9" connectionId="0">
    <xmlCellPr id="1" xr6:uid="{00000000-0010-0000-AE04-000001000000}" uniqueName="ns2:Team2Diff10">
      <xmlPr mapId="4" xpath="/ns2:ScoreSheet/ns2:Diff3/ns2:Team2Diff10" xmlDataType="decimal"/>
    </xmlCellPr>
  </singleXmlCell>
  <singleXmlCell id="1201" xr6:uid="{00000000-000C-0000-FFFF-FFFFAF040000}" r="M9" connectionId="0">
    <xmlCellPr id="1" xr6:uid="{00000000-0010-0000-AF04-000001000000}" uniqueName="ns2:Team2Diff11">
      <xmlPr mapId="4" xpath="/ns2:ScoreSheet/ns2:Diff3/ns2:Team2Diff11" xmlDataType="decimal"/>
    </xmlCellPr>
  </singleXmlCell>
  <singleXmlCell id="1202" xr6:uid="{00000000-000C-0000-FFFF-FFFFB0040000}" r="N9" connectionId="0">
    <xmlCellPr id="1" xr6:uid="{00000000-0010-0000-B004-000001000000}" uniqueName="ns2:Team2Diff12">
      <xmlPr mapId="4" xpath="/ns2:ScoreSheet/ns2:Diff3/ns2:Team2Diff12" xmlDataType="decimal"/>
    </xmlCellPr>
  </singleXmlCell>
  <singleXmlCell id="1203" xr6:uid="{00000000-000C-0000-FFFF-FFFFB1040000}" r="O9" connectionId="0">
    <xmlCellPr id="1" xr6:uid="{00000000-0010-0000-B104-000001000000}" uniqueName="ns2:Team2Diff13">
      <xmlPr mapId="4" xpath="/ns2:ScoreSheet/ns2:Diff3/ns2:Team2Diff13" xmlDataType="decimal"/>
    </xmlCellPr>
  </singleXmlCell>
  <singleXmlCell id="1204" xr6:uid="{00000000-000C-0000-FFFF-FFFFB2040000}" r="P9" connectionId="0">
    <xmlCellPr id="1" xr6:uid="{00000000-0010-0000-B204-000001000000}" uniqueName="ns2:Team2Diff14">
      <xmlPr mapId="4" xpath="/ns2:ScoreSheet/ns2:Diff3/ns2:Team2Diff14" xmlDataType="decimal"/>
    </xmlCellPr>
  </singleXmlCell>
  <singleXmlCell id="1205" xr6:uid="{00000000-000C-0000-FFFF-FFFFB3040000}" r="Q9" connectionId="0">
    <xmlCellPr id="1" xr6:uid="{00000000-0010-0000-B304-000001000000}" uniqueName="ns2:Team2Diff15">
      <xmlPr mapId="4" xpath="/ns2:ScoreSheet/ns2:Diff3/ns2:Team2Diff15" xmlDataType="decimal"/>
    </xmlCellPr>
  </singleXmlCell>
  <singleXmlCell id="1206" xr6:uid="{00000000-000C-0000-FFFF-FFFFB4040000}" r="R9" connectionId="0">
    <xmlCellPr id="1" xr6:uid="{00000000-0010-0000-B404-000001000000}" uniqueName="ns2:Team2Diff16">
      <xmlPr mapId="4" xpath="/ns2:ScoreSheet/ns2:Diff3/ns2:Team2Diff16" xmlDataType="decimal"/>
    </xmlCellPr>
  </singleXmlCell>
  <singleXmlCell id="1207" xr6:uid="{00000000-000C-0000-FFFF-FFFFB5040000}" r="S9" connectionId="0">
    <xmlCellPr id="1" xr6:uid="{00000000-0010-0000-B504-000001000000}" uniqueName="ns2:Team2Diff17">
      <xmlPr mapId="4" xpath="/ns2:ScoreSheet/ns2:Diff3/ns2:Team2Diff17" xmlDataType="decimal"/>
    </xmlCellPr>
  </singleXmlCell>
  <singleXmlCell id="1208" xr6:uid="{00000000-000C-0000-FFFF-FFFFB6040000}" r="T9" connectionId="0">
    <xmlCellPr id="1" xr6:uid="{00000000-0010-0000-B604-000001000000}" uniqueName="ns2:Team2Diff18">
      <xmlPr mapId="4" xpath="/ns2:ScoreSheet/ns2:Diff3/ns2:Team2Diff18" xmlDataType="decimal"/>
    </xmlCellPr>
  </singleXmlCell>
  <singleXmlCell id="1209" xr6:uid="{00000000-000C-0000-FFFF-FFFFB7040000}" r="U9" connectionId="0">
    <xmlCellPr id="1" xr6:uid="{00000000-0010-0000-B704-000001000000}" uniqueName="ns2:Team2Diff19">
      <xmlPr mapId="4" xpath="/ns2:ScoreSheet/ns2:Diff3/ns2:Team2Diff19" xmlDataType="decimal"/>
    </xmlCellPr>
  </singleXmlCell>
  <singleXmlCell id="1210" xr6:uid="{00000000-000C-0000-FFFF-FFFFB8040000}" r="V9" connectionId="0">
    <xmlCellPr id="1" xr6:uid="{00000000-0010-0000-B804-000001000000}" uniqueName="ns2:Team2Diff20">
      <xmlPr mapId="4" xpath="/ns2:ScoreSheet/ns2:Diff3/ns2:Team2Diff20" xmlDataType="decimal"/>
    </xmlCellPr>
  </singleXmlCell>
  <singleXmlCell id="1211" xr6:uid="{00000000-000C-0000-FFFF-FFFFB9040000}" r="C8" connectionId="0">
    <xmlCellPr id="1" xr6:uid="{00000000-0010-0000-B904-000001000000}" uniqueName="ns2:Team2Consec1">
      <xmlPr mapId="4" xpath="/ns2:ScoreSheet/ns2:Diff3/ns2:Team2Consec1" xmlDataType="string"/>
    </xmlCellPr>
  </singleXmlCell>
  <singleXmlCell id="1212" xr6:uid="{00000000-000C-0000-FFFF-FFFFBA040000}" r="D8" connectionId="0">
    <xmlCellPr id="1" xr6:uid="{00000000-0010-0000-BA04-000001000000}" uniqueName="ns2:Team2Consec2">
      <xmlPr mapId="4" xpath="/ns2:ScoreSheet/ns2:Diff3/ns2:Team2Consec2" xmlDataType="string"/>
    </xmlCellPr>
  </singleXmlCell>
  <singleXmlCell id="1213" xr6:uid="{00000000-000C-0000-FFFF-FFFFBB040000}" r="E8" connectionId="0">
    <xmlCellPr id="1" xr6:uid="{00000000-0010-0000-BB04-000001000000}" uniqueName="ns2:Team2Consec3">
      <xmlPr mapId="4" xpath="/ns2:ScoreSheet/ns2:Diff3/ns2:Team2Consec3" xmlDataType="string"/>
    </xmlCellPr>
  </singleXmlCell>
  <singleXmlCell id="1214" xr6:uid="{00000000-000C-0000-FFFF-FFFFBC040000}" r="F8" connectionId="0">
    <xmlCellPr id="1" xr6:uid="{00000000-0010-0000-BC04-000001000000}" uniqueName="ns2:Team2Consec4">
      <xmlPr mapId="4" xpath="/ns2:ScoreSheet/ns2:Diff3/ns2:Team2Consec4" xmlDataType="string"/>
    </xmlCellPr>
  </singleXmlCell>
  <singleXmlCell id="1215" xr6:uid="{00000000-000C-0000-FFFF-FFFFBD040000}" r="G8" connectionId="0">
    <xmlCellPr id="1" xr6:uid="{00000000-0010-0000-BD04-000001000000}" uniqueName="ns2:Team2Consec5">
      <xmlPr mapId="4" xpath="/ns2:ScoreSheet/ns2:Diff3/ns2:Team2Consec5" xmlDataType="string"/>
    </xmlCellPr>
  </singleXmlCell>
  <singleXmlCell id="1216" xr6:uid="{00000000-000C-0000-FFFF-FFFFBE040000}" r="H8" connectionId="0">
    <xmlCellPr id="1" xr6:uid="{00000000-0010-0000-BE04-000001000000}" uniqueName="ns2:Team2Consec6">
      <xmlPr mapId="4" xpath="/ns2:ScoreSheet/ns2:Diff3/ns2:Team2Consec6" xmlDataType="string"/>
    </xmlCellPr>
  </singleXmlCell>
  <singleXmlCell id="1217" xr6:uid="{00000000-000C-0000-FFFF-FFFFBF040000}" r="I8" connectionId="0">
    <xmlCellPr id="1" xr6:uid="{00000000-0010-0000-BF04-000001000000}" uniqueName="ns2:Team2Consec7">
      <xmlPr mapId="4" xpath="/ns2:ScoreSheet/ns2:Diff3/ns2:Team2Consec7" xmlDataType="string"/>
    </xmlCellPr>
  </singleXmlCell>
  <singleXmlCell id="1218" xr6:uid="{00000000-000C-0000-FFFF-FFFFC0040000}" r="J8" connectionId="0">
    <xmlCellPr id="1" xr6:uid="{00000000-0010-0000-C004-000001000000}" uniqueName="ns2:Team2Consec8">
      <xmlPr mapId="4" xpath="/ns2:ScoreSheet/ns2:Diff3/ns2:Team2Consec8" xmlDataType="string"/>
    </xmlCellPr>
  </singleXmlCell>
  <singleXmlCell id="1219" xr6:uid="{00000000-000C-0000-FFFF-FFFFC1040000}" r="K8" connectionId="0">
    <xmlCellPr id="1" xr6:uid="{00000000-0010-0000-C104-000001000000}" uniqueName="ns2:Team2Consec9">
      <xmlPr mapId="4" xpath="/ns2:ScoreSheet/ns2:Diff3/ns2:Team2Consec9" xmlDataType="string"/>
    </xmlCellPr>
  </singleXmlCell>
  <singleXmlCell id="1220" xr6:uid="{00000000-000C-0000-FFFF-FFFFC2040000}" r="L8" connectionId="0">
    <xmlCellPr id="1" xr6:uid="{00000000-0010-0000-C204-000001000000}" uniqueName="ns2:Team2Consec10">
      <xmlPr mapId="4" xpath="/ns2:ScoreSheet/ns2:Diff3/ns2:Team2Consec10" xmlDataType="string"/>
    </xmlCellPr>
  </singleXmlCell>
  <singleXmlCell id="1221" xr6:uid="{00000000-000C-0000-FFFF-FFFFC3040000}" r="M8" connectionId="0">
    <xmlCellPr id="1" xr6:uid="{00000000-0010-0000-C304-000001000000}" uniqueName="ns2:Team2Consec11">
      <xmlPr mapId="4" xpath="/ns2:ScoreSheet/ns2:Diff3/ns2:Team2Consec11" xmlDataType="string"/>
    </xmlCellPr>
  </singleXmlCell>
  <singleXmlCell id="1222" xr6:uid="{00000000-000C-0000-FFFF-FFFFC4040000}" r="N8" connectionId="0">
    <xmlCellPr id="1" xr6:uid="{00000000-0010-0000-C404-000001000000}" uniqueName="ns2:Team2Consec12">
      <xmlPr mapId="4" xpath="/ns2:ScoreSheet/ns2:Diff3/ns2:Team2Consec12" xmlDataType="string"/>
    </xmlCellPr>
  </singleXmlCell>
  <singleXmlCell id="1223" xr6:uid="{00000000-000C-0000-FFFF-FFFFC5040000}" r="O8" connectionId="0">
    <xmlCellPr id="1" xr6:uid="{00000000-0010-0000-C504-000001000000}" uniqueName="ns2:Team2Consec13">
      <xmlPr mapId="4" xpath="/ns2:ScoreSheet/ns2:Diff3/ns2:Team2Consec13" xmlDataType="string"/>
    </xmlCellPr>
  </singleXmlCell>
  <singleXmlCell id="1224" xr6:uid="{00000000-000C-0000-FFFF-FFFFC6040000}" r="P8" connectionId="0">
    <xmlCellPr id="1" xr6:uid="{00000000-0010-0000-C604-000001000000}" uniqueName="ns2:Team2Consec14">
      <xmlPr mapId="4" xpath="/ns2:ScoreSheet/ns2:Diff3/ns2:Team2Consec14" xmlDataType="string"/>
    </xmlCellPr>
  </singleXmlCell>
  <singleXmlCell id="1225" xr6:uid="{00000000-000C-0000-FFFF-FFFFC7040000}" r="Q8" connectionId="0">
    <xmlCellPr id="1" xr6:uid="{00000000-0010-0000-C704-000001000000}" uniqueName="ns2:Team2Consec15">
      <xmlPr mapId="4" xpath="/ns2:ScoreSheet/ns2:Diff3/ns2:Team2Consec15" xmlDataType="string"/>
    </xmlCellPr>
  </singleXmlCell>
  <singleXmlCell id="1226" xr6:uid="{00000000-000C-0000-FFFF-FFFFC8040000}" r="R8" connectionId="0">
    <xmlCellPr id="1" xr6:uid="{00000000-0010-0000-C804-000001000000}" uniqueName="ns2:Team2Consec16">
      <xmlPr mapId="4" xpath="/ns2:ScoreSheet/ns2:Diff3/ns2:Team2Consec16" xmlDataType="string"/>
    </xmlCellPr>
  </singleXmlCell>
  <singleXmlCell id="1227" xr6:uid="{00000000-000C-0000-FFFF-FFFFC9040000}" r="S8" connectionId="0">
    <xmlCellPr id="1" xr6:uid="{00000000-0010-0000-C904-000001000000}" uniqueName="ns2:Team2Consec17">
      <xmlPr mapId="4" xpath="/ns2:ScoreSheet/ns2:Diff3/ns2:Team2Consec17" xmlDataType="string"/>
    </xmlCellPr>
  </singleXmlCell>
  <singleXmlCell id="1228" xr6:uid="{00000000-000C-0000-FFFF-FFFFCA040000}" r="T8" connectionId="0">
    <xmlCellPr id="1" xr6:uid="{00000000-0010-0000-CA04-000001000000}" uniqueName="ns2:Team2Consec18">
      <xmlPr mapId="4" xpath="/ns2:ScoreSheet/ns2:Diff3/ns2:Team2Consec18" xmlDataType="string"/>
    </xmlCellPr>
  </singleXmlCell>
  <singleXmlCell id="1229" xr6:uid="{00000000-000C-0000-FFFF-FFFFCB040000}" r="U8" connectionId="0">
    <xmlCellPr id="1" xr6:uid="{00000000-0010-0000-CB04-000001000000}" uniqueName="ns2:Team2Consec19">
      <xmlPr mapId="4" xpath="/ns2:ScoreSheet/ns2:Diff3/ns2:Team2Consec19" xmlDataType="string"/>
    </xmlCellPr>
  </singleXmlCell>
  <singleXmlCell id="1230" xr6:uid="{00000000-000C-0000-FFFF-FFFFCC040000}" r="V8" connectionId="0">
    <xmlCellPr id="1" xr6:uid="{00000000-0010-0000-CC04-000001000000}" uniqueName="ns2:Team2Consec20">
      <xmlPr mapId="4" xpath="/ns2:ScoreSheet/ns2:Diff3/ns2:Team2Consec20" xmlDataType="string"/>
    </xmlCellPr>
  </singleXmlCell>
  <singleXmlCell id="1231" xr6:uid="{00000000-000C-0000-FFFF-FFFFCD040000}" r="C11" connectionId="0">
    <xmlCellPr id="1" xr6:uid="{00000000-0010-0000-CD04-000001000000}" uniqueName="ns2:Team3Diff1">
      <xmlPr mapId="4" xpath="/ns2:ScoreSheet/ns2:Diff3/ns2:Team3Diff1" xmlDataType="decimal"/>
    </xmlCellPr>
  </singleXmlCell>
  <singleXmlCell id="1232" xr6:uid="{00000000-000C-0000-FFFF-FFFFCE040000}" r="D11" connectionId="0">
    <xmlCellPr id="1" xr6:uid="{00000000-0010-0000-CE04-000001000000}" uniqueName="ns2:Team3Diff2">
      <xmlPr mapId="4" xpath="/ns2:ScoreSheet/ns2:Diff3/ns2:Team3Diff2" xmlDataType="decimal"/>
    </xmlCellPr>
  </singleXmlCell>
  <singleXmlCell id="1233" xr6:uid="{00000000-000C-0000-FFFF-FFFFCF040000}" r="E11" connectionId="0">
    <xmlCellPr id="1" xr6:uid="{00000000-0010-0000-CF04-000001000000}" uniqueName="ns2:Team3Diff3">
      <xmlPr mapId="4" xpath="/ns2:ScoreSheet/ns2:Diff3/ns2:Team3Diff3" xmlDataType="decimal"/>
    </xmlCellPr>
  </singleXmlCell>
  <singleXmlCell id="1234" xr6:uid="{00000000-000C-0000-FFFF-FFFFD0040000}" r="F11" connectionId="0">
    <xmlCellPr id="1" xr6:uid="{00000000-0010-0000-D004-000001000000}" uniqueName="ns2:Team3Diff4">
      <xmlPr mapId="4" xpath="/ns2:ScoreSheet/ns2:Diff3/ns2:Team3Diff4" xmlDataType="decimal"/>
    </xmlCellPr>
  </singleXmlCell>
  <singleXmlCell id="1235" xr6:uid="{00000000-000C-0000-FFFF-FFFFD1040000}" r="G11" connectionId="0">
    <xmlCellPr id="1" xr6:uid="{00000000-0010-0000-D104-000001000000}" uniqueName="ns2:Team3Diff5">
      <xmlPr mapId="4" xpath="/ns2:ScoreSheet/ns2:Diff3/ns2:Team3Diff5" xmlDataType="decimal"/>
    </xmlCellPr>
  </singleXmlCell>
  <singleXmlCell id="1236" xr6:uid="{00000000-000C-0000-FFFF-FFFFD2040000}" r="H11" connectionId="0">
    <xmlCellPr id="1" xr6:uid="{00000000-0010-0000-D204-000001000000}" uniqueName="ns2:Team3Diff6">
      <xmlPr mapId="4" xpath="/ns2:ScoreSheet/ns2:Diff3/ns2:Team3Diff6" xmlDataType="decimal"/>
    </xmlCellPr>
  </singleXmlCell>
  <singleXmlCell id="1237" xr6:uid="{00000000-000C-0000-FFFF-FFFFD3040000}" r="I11" connectionId="0">
    <xmlCellPr id="1" xr6:uid="{00000000-0010-0000-D304-000001000000}" uniqueName="ns2:Team3Diff7">
      <xmlPr mapId="4" xpath="/ns2:ScoreSheet/ns2:Diff3/ns2:Team3Diff7" xmlDataType="decimal"/>
    </xmlCellPr>
  </singleXmlCell>
  <singleXmlCell id="1238" xr6:uid="{00000000-000C-0000-FFFF-FFFFD4040000}" r="J11" connectionId="0">
    <xmlCellPr id="1" xr6:uid="{00000000-0010-0000-D404-000001000000}" uniqueName="ns2:Team3Diff8">
      <xmlPr mapId="4" xpath="/ns2:ScoreSheet/ns2:Diff3/ns2:Team3Diff8" xmlDataType="decimal"/>
    </xmlCellPr>
  </singleXmlCell>
  <singleXmlCell id="1239" xr6:uid="{00000000-000C-0000-FFFF-FFFFD5040000}" r="K11" connectionId="0">
    <xmlCellPr id="1" xr6:uid="{00000000-0010-0000-D504-000001000000}" uniqueName="ns2:Team3Diff9">
      <xmlPr mapId="4" xpath="/ns2:ScoreSheet/ns2:Diff3/ns2:Team3Diff9" xmlDataType="decimal"/>
    </xmlCellPr>
  </singleXmlCell>
  <singleXmlCell id="1240" xr6:uid="{00000000-000C-0000-FFFF-FFFFD6040000}" r="L11" connectionId="0">
    <xmlCellPr id="1" xr6:uid="{00000000-0010-0000-D604-000001000000}" uniqueName="ns2:Team3Diff10">
      <xmlPr mapId="4" xpath="/ns2:ScoreSheet/ns2:Diff3/ns2:Team3Diff10" xmlDataType="decimal"/>
    </xmlCellPr>
  </singleXmlCell>
  <singleXmlCell id="1241" xr6:uid="{00000000-000C-0000-FFFF-FFFFD7040000}" r="M11" connectionId="0">
    <xmlCellPr id="1" xr6:uid="{00000000-0010-0000-D704-000001000000}" uniqueName="ns2:Team3Diff11">
      <xmlPr mapId="4" xpath="/ns2:ScoreSheet/ns2:Diff3/ns2:Team3Diff11" xmlDataType="decimal"/>
    </xmlCellPr>
  </singleXmlCell>
  <singleXmlCell id="1242" xr6:uid="{00000000-000C-0000-FFFF-FFFFD8040000}" r="N11" connectionId="0">
    <xmlCellPr id="1" xr6:uid="{00000000-0010-0000-D804-000001000000}" uniqueName="ns2:Team3Diff12">
      <xmlPr mapId="4" xpath="/ns2:ScoreSheet/ns2:Diff3/ns2:Team3Diff12" xmlDataType="decimal"/>
    </xmlCellPr>
  </singleXmlCell>
  <singleXmlCell id="1243" xr6:uid="{00000000-000C-0000-FFFF-FFFFD9040000}" r="O11" connectionId="0">
    <xmlCellPr id="1" xr6:uid="{00000000-0010-0000-D904-000001000000}" uniqueName="ns2:Team3Diff13">
      <xmlPr mapId="4" xpath="/ns2:ScoreSheet/ns2:Diff3/ns2:Team3Diff13" xmlDataType="decimal"/>
    </xmlCellPr>
  </singleXmlCell>
  <singleXmlCell id="1244" xr6:uid="{00000000-000C-0000-FFFF-FFFFDA040000}" r="P11" connectionId="0">
    <xmlCellPr id="1" xr6:uid="{00000000-0010-0000-DA04-000001000000}" uniqueName="ns2:Team3Diff14">
      <xmlPr mapId="4" xpath="/ns2:ScoreSheet/ns2:Diff3/ns2:Team3Diff14" xmlDataType="decimal"/>
    </xmlCellPr>
  </singleXmlCell>
  <singleXmlCell id="1245" xr6:uid="{00000000-000C-0000-FFFF-FFFFDB040000}" r="Q11" connectionId="0">
    <xmlCellPr id="1" xr6:uid="{00000000-0010-0000-DB04-000001000000}" uniqueName="ns2:Team3Diff15">
      <xmlPr mapId="4" xpath="/ns2:ScoreSheet/ns2:Diff3/ns2:Team3Diff15" xmlDataType="decimal"/>
    </xmlCellPr>
  </singleXmlCell>
  <singleXmlCell id="1246" xr6:uid="{00000000-000C-0000-FFFF-FFFFDC040000}" r="R11" connectionId="0">
    <xmlCellPr id="1" xr6:uid="{00000000-0010-0000-DC04-000001000000}" uniqueName="ns2:Team3Diff16">
      <xmlPr mapId="4" xpath="/ns2:ScoreSheet/ns2:Diff3/ns2:Team3Diff16" xmlDataType="decimal"/>
    </xmlCellPr>
  </singleXmlCell>
  <singleXmlCell id="1247" xr6:uid="{00000000-000C-0000-FFFF-FFFFDD040000}" r="S11" connectionId="0">
    <xmlCellPr id="1" xr6:uid="{00000000-0010-0000-DD04-000001000000}" uniqueName="ns2:Team3Diff17">
      <xmlPr mapId="4" xpath="/ns2:ScoreSheet/ns2:Diff3/ns2:Team3Diff17" xmlDataType="decimal"/>
    </xmlCellPr>
  </singleXmlCell>
  <singleXmlCell id="1248" xr6:uid="{00000000-000C-0000-FFFF-FFFFDE040000}" r="T11" connectionId="0">
    <xmlCellPr id="1" xr6:uid="{00000000-0010-0000-DE04-000001000000}" uniqueName="ns2:Team3Diff18">
      <xmlPr mapId="4" xpath="/ns2:ScoreSheet/ns2:Diff3/ns2:Team3Diff18" xmlDataType="decimal"/>
    </xmlCellPr>
  </singleXmlCell>
  <singleXmlCell id="1249" xr6:uid="{00000000-000C-0000-FFFF-FFFFDF040000}" r="U11" connectionId="0">
    <xmlCellPr id="1" xr6:uid="{00000000-0010-0000-DF04-000001000000}" uniqueName="ns2:Team3Diff19">
      <xmlPr mapId="4" xpath="/ns2:ScoreSheet/ns2:Diff3/ns2:Team3Diff19" xmlDataType="decimal"/>
    </xmlCellPr>
  </singleXmlCell>
  <singleXmlCell id="1250" xr6:uid="{00000000-000C-0000-FFFF-FFFFE0040000}" r="V11" connectionId="0">
    <xmlCellPr id="1" xr6:uid="{00000000-0010-0000-E004-000001000000}" uniqueName="ns2:Team3Diff20">
      <xmlPr mapId="4" xpath="/ns2:ScoreSheet/ns2:Diff3/ns2:Team3Diff20" xmlDataType="decimal"/>
    </xmlCellPr>
  </singleXmlCell>
  <singleXmlCell id="1251" xr6:uid="{00000000-000C-0000-FFFF-FFFFE1040000}" r="C10" connectionId="0">
    <xmlCellPr id="1" xr6:uid="{00000000-0010-0000-E104-000001000000}" uniqueName="ns2:Team3Consec1">
      <xmlPr mapId="4" xpath="/ns2:ScoreSheet/ns2:Diff3/ns2:Team3Consec1" xmlDataType="string"/>
    </xmlCellPr>
  </singleXmlCell>
  <singleXmlCell id="1252" xr6:uid="{00000000-000C-0000-FFFF-FFFFE2040000}" r="D10" connectionId="0">
    <xmlCellPr id="1" xr6:uid="{00000000-0010-0000-E204-000001000000}" uniqueName="ns2:Team3Consec2">
      <xmlPr mapId="4" xpath="/ns2:ScoreSheet/ns2:Diff3/ns2:Team3Consec2" xmlDataType="string"/>
    </xmlCellPr>
  </singleXmlCell>
  <singleXmlCell id="1253" xr6:uid="{00000000-000C-0000-FFFF-FFFFE3040000}" r="E10" connectionId="0">
    <xmlCellPr id="1" xr6:uid="{00000000-0010-0000-E304-000001000000}" uniqueName="ns2:Team3Consec3">
      <xmlPr mapId="4" xpath="/ns2:ScoreSheet/ns2:Diff3/ns2:Team3Consec3" xmlDataType="string"/>
    </xmlCellPr>
  </singleXmlCell>
  <singleXmlCell id="1254" xr6:uid="{00000000-000C-0000-FFFF-FFFFE4040000}" r="F10" connectionId="0">
    <xmlCellPr id="1" xr6:uid="{00000000-0010-0000-E404-000001000000}" uniqueName="ns2:Team3Consec4">
      <xmlPr mapId="4" xpath="/ns2:ScoreSheet/ns2:Diff3/ns2:Team3Consec4" xmlDataType="string"/>
    </xmlCellPr>
  </singleXmlCell>
  <singleXmlCell id="1255" xr6:uid="{00000000-000C-0000-FFFF-FFFFE5040000}" r="G10" connectionId="0">
    <xmlCellPr id="1" xr6:uid="{00000000-0010-0000-E504-000001000000}" uniqueName="ns2:Team3Consec5">
      <xmlPr mapId="4" xpath="/ns2:ScoreSheet/ns2:Diff3/ns2:Team3Consec5" xmlDataType="string"/>
    </xmlCellPr>
  </singleXmlCell>
  <singleXmlCell id="1256" xr6:uid="{00000000-000C-0000-FFFF-FFFFE6040000}" r="H10" connectionId="0">
    <xmlCellPr id="1" xr6:uid="{00000000-0010-0000-E604-000001000000}" uniqueName="ns2:Team3Consec6">
      <xmlPr mapId="4" xpath="/ns2:ScoreSheet/ns2:Diff3/ns2:Team3Consec6" xmlDataType="string"/>
    </xmlCellPr>
  </singleXmlCell>
  <singleXmlCell id="1257" xr6:uid="{00000000-000C-0000-FFFF-FFFFE7040000}" r="I10" connectionId="0">
    <xmlCellPr id="1" xr6:uid="{00000000-0010-0000-E704-000001000000}" uniqueName="ns2:Team3Consec7">
      <xmlPr mapId="4" xpath="/ns2:ScoreSheet/ns2:Diff3/ns2:Team3Consec7" xmlDataType="string"/>
    </xmlCellPr>
  </singleXmlCell>
  <singleXmlCell id="1258" xr6:uid="{00000000-000C-0000-FFFF-FFFFE8040000}" r="J10" connectionId="0">
    <xmlCellPr id="1" xr6:uid="{00000000-0010-0000-E804-000001000000}" uniqueName="ns2:Team3Consec8">
      <xmlPr mapId="4" xpath="/ns2:ScoreSheet/ns2:Diff3/ns2:Team3Consec8" xmlDataType="string"/>
    </xmlCellPr>
  </singleXmlCell>
  <singleXmlCell id="1259" xr6:uid="{00000000-000C-0000-FFFF-FFFFE9040000}" r="K10" connectionId="0">
    <xmlCellPr id="1" xr6:uid="{00000000-0010-0000-E904-000001000000}" uniqueName="ns2:Team3Consec9">
      <xmlPr mapId="4" xpath="/ns2:ScoreSheet/ns2:Diff3/ns2:Team3Consec9" xmlDataType="string"/>
    </xmlCellPr>
  </singleXmlCell>
  <singleXmlCell id="1260" xr6:uid="{00000000-000C-0000-FFFF-FFFFEA040000}" r="L10" connectionId="0">
    <xmlCellPr id="1" xr6:uid="{00000000-0010-0000-EA04-000001000000}" uniqueName="ns2:Team3Consec10">
      <xmlPr mapId="4" xpath="/ns2:ScoreSheet/ns2:Diff3/ns2:Team3Consec10" xmlDataType="string"/>
    </xmlCellPr>
  </singleXmlCell>
  <singleXmlCell id="1261" xr6:uid="{00000000-000C-0000-FFFF-FFFFEB040000}" r="M10" connectionId="0">
    <xmlCellPr id="1" xr6:uid="{00000000-0010-0000-EB04-000001000000}" uniqueName="ns2:Team3Consec11">
      <xmlPr mapId="4" xpath="/ns2:ScoreSheet/ns2:Diff3/ns2:Team3Consec11" xmlDataType="string"/>
    </xmlCellPr>
  </singleXmlCell>
  <singleXmlCell id="1262" xr6:uid="{00000000-000C-0000-FFFF-FFFFEC040000}" r="N10" connectionId="0">
    <xmlCellPr id="1" xr6:uid="{00000000-0010-0000-EC04-000001000000}" uniqueName="ns2:Team3Consec12">
      <xmlPr mapId="4" xpath="/ns2:ScoreSheet/ns2:Diff3/ns2:Team3Consec12" xmlDataType="string"/>
    </xmlCellPr>
  </singleXmlCell>
  <singleXmlCell id="1263" xr6:uid="{00000000-000C-0000-FFFF-FFFFED040000}" r="O10" connectionId="0">
    <xmlCellPr id="1" xr6:uid="{00000000-0010-0000-ED04-000001000000}" uniqueName="ns2:Team3Consec13">
      <xmlPr mapId="4" xpath="/ns2:ScoreSheet/ns2:Diff3/ns2:Team3Consec13" xmlDataType="string"/>
    </xmlCellPr>
  </singleXmlCell>
  <singleXmlCell id="1264" xr6:uid="{00000000-000C-0000-FFFF-FFFFEE040000}" r="P10" connectionId="0">
    <xmlCellPr id="1" xr6:uid="{00000000-0010-0000-EE04-000001000000}" uniqueName="ns2:Team3Consec14">
      <xmlPr mapId="4" xpath="/ns2:ScoreSheet/ns2:Diff3/ns2:Team3Consec14" xmlDataType="string"/>
    </xmlCellPr>
  </singleXmlCell>
  <singleXmlCell id="1265" xr6:uid="{00000000-000C-0000-FFFF-FFFFEF040000}" r="Q10" connectionId="0">
    <xmlCellPr id="1" xr6:uid="{00000000-0010-0000-EF04-000001000000}" uniqueName="ns2:Team3Consec15">
      <xmlPr mapId="4" xpath="/ns2:ScoreSheet/ns2:Diff3/ns2:Team3Consec15" xmlDataType="string"/>
    </xmlCellPr>
  </singleXmlCell>
  <singleXmlCell id="1266" xr6:uid="{00000000-000C-0000-FFFF-FFFFF0040000}" r="R10" connectionId="0">
    <xmlCellPr id="1" xr6:uid="{00000000-0010-0000-F004-000001000000}" uniqueName="ns2:Team3Consec16">
      <xmlPr mapId="4" xpath="/ns2:ScoreSheet/ns2:Diff3/ns2:Team3Consec16" xmlDataType="string"/>
    </xmlCellPr>
  </singleXmlCell>
  <singleXmlCell id="1267" xr6:uid="{00000000-000C-0000-FFFF-FFFFF1040000}" r="S10" connectionId="0">
    <xmlCellPr id="1" xr6:uid="{00000000-0010-0000-F104-000001000000}" uniqueName="ns2:Team3Consec17">
      <xmlPr mapId="4" xpath="/ns2:ScoreSheet/ns2:Diff3/ns2:Team3Consec17" xmlDataType="string"/>
    </xmlCellPr>
  </singleXmlCell>
  <singleXmlCell id="1268" xr6:uid="{00000000-000C-0000-FFFF-FFFFF2040000}" r="T10" connectionId="0">
    <xmlCellPr id="1" xr6:uid="{00000000-0010-0000-F204-000001000000}" uniqueName="ns2:Team3Consec18">
      <xmlPr mapId="4" xpath="/ns2:ScoreSheet/ns2:Diff3/ns2:Team3Consec18" xmlDataType="string"/>
    </xmlCellPr>
  </singleXmlCell>
  <singleXmlCell id="1269" xr6:uid="{00000000-000C-0000-FFFF-FFFFF3040000}" r="U10" connectionId="0">
    <xmlCellPr id="1" xr6:uid="{00000000-0010-0000-F304-000001000000}" uniqueName="ns2:Team3Consec19">
      <xmlPr mapId="4" xpath="/ns2:ScoreSheet/ns2:Diff3/ns2:Team3Consec19" xmlDataType="string"/>
    </xmlCellPr>
  </singleXmlCell>
  <singleXmlCell id="1270" xr6:uid="{00000000-000C-0000-FFFF-FFFFF4040000}" r="V10" connectionId="0">
    <xmlCellPr id="1" xr6:uid="{00000000-0010-0000-F404-000001000000}" uniqueName="ns2:Team3Consec20">
      <xmlPr mapId="4" xpath="/ns2:ScoreSheet/ns2:Diff3/ns2:Team3Consec20" xmlDataType="string"/>
    </xmlCellPr>
  </singleXmlCell>
  <singleXmlCell id="1271" xr6:uid="{00000000-000C-0000-FFFF-FFFFF5040000}" r="C13" connectionId="0">
    <xmlCellPr id="1" xr6:uid="{00000000-0010-0000-F504-000001000000}" uniqueName="ns2:Team4Diff1">
      <xmlPr mapId="4" xpath="/ns2:ScoreSheet/ns2:Diff3/ns2:Team4Diff1" xmlDataType="decimal"/>
    </xmlCellPr>
  </singleXmlCell>
  <singleXmlCell id="1272" xr6:uid="{00000000-000C-0000-FFFF-FFFFF6040000}" r="D13" connectionId="0">
    <xmlCellPr id="1" xr6:uid="{00000000-0010-0000-F604-000001000000}" uniqueName="ns2:Team4Diff2">
      <xmlPr mapId="4" xpath="/ns2:ScoreSheet/ns2:Diff3/ns2:Team4Diff2" xmlDataType="decimal"/>
    </xmlCellPr>
  </singleXmlCell>
  <singleXmlCell id="1273" xr6:uid="{00000000-000C-0000-FFFF-FFFFF7040000}" r="E13" connectionId="0">
    <xmlCellPr id="1" xr6:uid="{00000000-0010-0000-F704-000001000000}" uniqueName="ns2:Team4Diff3">
      <xmlPr mapId="4" xpath="/ns2:ScoreSheet/ns2:Diff3/ns2:Team4Diff3" xmlDataType="decimal"/>
    </xmlCellPr>
  </singleXmlCell>
  <singleXmlCell id="1274" xr6:uid="{00000000-000C-0000-FFFF-FFFFF8040000}" r="F13" connectionId="0">
    <xmlCellPr id="1" xr6:uid="{00000000-0010-0000-F804-000001000000}" uniqueName="ns2:Team4Diff4">
      <xmlPr mapId="4" xpath="/ns2:ScoreSheet/ns2:Diff3/ns2:Team4Diff4" xmlDataType="decimal"/>
    </xmlCellPr>
  </singleXmlCell>
  <singleXmlCell id="1275" xr6:uid="{00000000-000C-0000-FFFF-FFFFF9040000}" r="G13" connectionId="0">
    <xmlCellPr id="1" xr6:uid="{00000000-0010-0000-F904-000001000000}" uniqueName="ns2:Team4Diff5">
      <xmlPr mapId="4" xpath="/ns2:ScoreSheet/ns2:Diff3/ns2:Team4Diff5" xmlDataType="decimal"/>
    </xmlCellPr>
  </singleXmlCell>
  <singleXmlCell id="1276" xr6:uid="{00000000-000C-0000-FFFF-FFFFFA040000}" r="H13" connectionId="0">
    <xmlCellPr id="1" xr6:uid="{00000000-0010-0000-FA04-000001000000}" uniqueName="ns2:Team4Diff6">
      <xmlPr mapId="4" xpath="/ns2:ScoreSheet/ns2:Diff3/ns2:Team4Diff6" xmlDataType="decimal"/>
    </xmlCellPr>
  </singleXmlCell>
  <singleXmlCell id="1277" xr6:uid="{00000000-000C-0000-FFFF-FFFFFB040000}" r="I13" connectionId="0">
    <xmlCellPr id="1" xr6:uid="{00000000-0010-0000-FB04-000001000000}" uniqueName="ns2:Team4Diff7">
      <xmlPr mapId="4" xpath="/ns2:ScoreSheet/ns2:Diff3/ns2:Team4Diff7" xmlDataType="decimal"/>
    </xmlCellPr>
  </singleXmlCell>
  <singleXmlCell id="1278" xr6:uid="{00000000-000C-0000-FFFF-FFFFFC040000}" r="J13" connectionId="0">
    <xmlCellPr id="1" xr6:uid="{00000000-0010-0000-FC04-000001000000}" uniqueName="ns2:Team4Diff8">
      <xmlPr mapId="4" xpath="/ns2:ScoreSheet/ns2:Diff3/ns2:Team4Diff8" xmlDataType="decimal"/>
    </xmlCellPr>
  </singleXmlCell>
  <singleXmlCell id="1279" xr6:uid="{00000000-000C-0000-FFFF-FFFFFD040000}" r="K13" connectionId="0">
    <xmlCellPr id="1" xr6:uid="{00000000-0010-0000-FD04-000001000000}" uniqueName="ns2:Team4Diff9">
      <xmlPr mapId="4" xpath="/ns2:ScoreSheet/ns2:Diff3/ns2:Team4Diff9" xmlDataType="decimal"/>
    </xmlCellPr>
  </singleXmlCell>
  <singleXmlCell id="1280" xr6:uid="{00000000-000C-0000-FFFF-FFFFFE040000}" r="L13" connectionId="0">
    <xmlCellPr id="1" xr6:uid="{00000000-0010-0000-FE04-000001000000}" uniqueName="ns2:Team4Diff10">
      <xmlPr mapId="4" xpath="/ns2:ScoreSheet/ns2:Diff3/ns2:Team4Diff10" xmlDataType="decimal"/>
    </xmlCellPr>
  </singleXmlCell>
  <singleXmlCell id="1281" xr6:uid="{00000000-000C-0000-FFFF-FFFFFF040000}" r="M13" connectionId="0">
    <xmlCellPr id="1" xr6:uid="{00000000-0010-0000-FF04-000001000000}" uniqueName="ns2:Team4Diff11">
      <xmlPr mapId="4" xpath="/ns2:ScoreSheet/ns2:Diff3/ns2:Team4Diff11" xmlDataType="decimal"/>
    </xmlCellPr>
  </singleXmlCell>
  <singleXmlCell id="1282" xr6:uid="{00000000-000C-0000-FFFF-FFFF00050000}" r="N13" connectionId="0">
    <xmlCellPr id="1" xr6:uid="{00000000-0010-0000-0005-000001000000}" uniqueName="ns2:Team4Diff12">
      <xmlPr mapId="4" xpath="/ns2:ScoreSheet/ns2:Diff3/ns2:Team4Diff12" xmlDataType="decimal"/>
    </xmlCellPr>
  </singleXmlCell>
  <singleXmlCell id="1283" xr6:uid="{00000000-000C-0000-FFFF-FFFF01050000}" r="O13" connectionId="0">
    <xmlCellPr id="1" xr6:uid="{00000000-0010-0000-0105-000001000000}" uniqueName="ns2:Team4Diff13">
      <xmlPr mapId="4" xpath="/ns2:ScoreSheet/ns2:Diff3/ns2:Team4Diff13" xmlDataType="decimal"/>
    </xmlCellPr>
  </singleXmlCell>
  <singleXmlCell id="1284" xr6:uid="{00000000-000C-0000-FFFF-FFFF02050000}" r="P13" connectionId="0">
    <xmlCellPr id="1" xr6:uid="{00000000-0010-0000-0205-000001000000}" uniqueName="ns2:Team4Diff14">
      <xmlPr mapId="4" xpath="/ns2:ScoreSheet/ns2:Diff3/ns2:Team4Diff14" xmlDataType="decimal"/>
    </xmlCellPr>
  </singleXmlCell>
  <singleXmlCell id="1285" xr6:uid="{00000000-000C-0000-FFFF-FFFF03050000}" r="Q13" connectionId="0">
    <xmlCellPr id="1" xr6:uid="{00000000-0010-0000-0305-000001000000}" uniqueName="ns2:Team4Diff15">
      <xmlPr mapId="4" xpath="/ns2:ScoreSheet/ns2:Diff3/ns2:Team4Diff15" xmlDataType="decimal"/>
    </xmlCellPr>
  </singleXmlCell>
  <singleXmlCell id="1286" xr6:uid="{00000000-000C-0000-FFFF-FFFF04050000}" r="R13" connectionId="0">
    <xmlCellPr id="1" xr6:uid="{00000000-0010-0000-0405-000001000000}" uniqueName="ns2:Team4Diff16">
      <xmlPr mapId="4" xpath="/ns2:ScoreSheet/ns2:Diff3/ns2:Team4Diff16" xmlDataType="decimal"/>
    </xmlCellPr>
  </singleXmlCell>
  <singleXmlCell id="1287" xr6:uid="{00000000-000C-0000-FFFF-FFFF05050000}" r="S13" connectionId="0">
    <xmlCellPr id="1" xr6:uid="{00000000-0010-0000-0505-000001000000}" uniqueName="ns2:Team4Diff17">
      <xmlPr mapId="4" xpath="/ns2:ScoreSheet/ns2:Diff3/ns2:Team4Diff17" xmlDataType="decimal"/>
    </xmlCellPr>
  </singleXmlCell>
  <singleXmlCell id="1288" xr6:uid="{00000000-000C-0000-FFFF-FFFF06050000}" r="T13" connectionId="0">
    <xmlCellPr id="1" xr6:uid="{00000000-0010-0000-0605-000001000000}" uniqueName="ns2:Team4Diff18">
      <xmlPr mapId="4" xpath="/ns2:ScoreSheet/ns2:Diff3/ns2:Team4Diff18" xmlDataType="decimal"/>
    </xmlCellPr>
  </singleXmlCell>
  <singleXmlCell id="1289" xr6:uid="{00000000-000C-0000-FFFF-FFFF07050000}" r="U13" connectionId="0">
    <xmlCellPr id="1" xr6:uid="{00000000-0010-0000-0705-000001000000}" uniqueName="ns2:Team4Diff19">
      <xmlPr mapId="4" xpath="/ns2:ScoreSheet/ns2:Diff3/ns2:Team4Diff19" xmlDataType="decimal"/>
    </xmlCellPr>
  </singleXmlCell>
  <singleXmlCell id="1290" xr6:uid="{00000000-000C-0000-FFFF-FFFF08050000}" r="V13" connectionId="0">
    <xmlCellPr id="1" xr6:uid="{00000000-0010-0000-0805-000001000000}" uniqueName="ns2:Team4Diff20">
      <xmlPr mapId="4" xpath="/ns2:ScoreSheet/ns2:Diff3/ns2:Team4Diff20" xmlDataType="decimal"/>
    </xmlCellPr>
  </singleXmlCell>
  <singleXmlCell id="1291" xr6:uid="{00000000-000C-0000-FFFF-FFFF09050000}" r="C12" connectionId="0">
    <xmlCellPr id="1" xr6:uid="{00000000-0010-0000-0905-000001000000}" uniqueName="ns2:Team4Consec1">
      <xmlPr mapId="4" xpath="/ns2:ScoreSheet/ns2:Diff3/ns2:Team4Consec1" xmlDataType="string"/>
    </xmlCellPr>
  </singleXmlCell>
  <singleXmlCell id="1292" xr6:uid="{00000000-000C-0000-FFFF-FFFF0A050000}" r="D12" connectionId="0">
    <xmlCellPr id="1" xr6:uid="{00000000-0010-0000-0A05-000001000000}" uniqueName="ns2:Team4Consec2">
      <xmlPr mapId="4" xpath="/ns2:ScoreSheet/ns2:Diff3/ns2:Team4Consec2" xmlDataType="string"/>
    </xmlCellPr>
  </singleXmlCell>
  <singleXmlCell id="1293" xr6:uid="{00000000-000C-0000-FFFF-FFFF0B050000}" r="E12" connectionId="0">
    <xmlCellPr id="1" xr6:uid="{00000000-0010-0000-0B05-000001000000}" uniqueName="ns2:Team4Consec3">
      <xmlPr mapId="4" xpath="/ns2:ScoreSheet/ns2:Diff3/ns2:Team4Consec3" xmlDataType="string"/>
    </xmlCellPr>
  </singleXmlCell>
  <singleXmlCell id="1294" xr6:uid="{00000000-000C-0000-FFFF-FFFF0C050000}" r="F12" connectionId="0">
    <xmlCellPr id="1" xr6:uid="{00000000-0010-0000-0C05-000001000000}" uniqueName="ns2:Team4Consec4">
      <xmlPr mapId="4" xpath="/ns2:ScoreSheet/ns2:Diff3/ns2:Team4Consec4" xmlDataType="string"/>
    </xmlCellPr>
  </singleXmlCell>
  <singleXmlCell id="1295" xr6:uid="{00000000-000C-0000-FFFF-FFFF0D050000}" r="G12" connectionId="0">
    <xmlCellPr id="1" xr6:uid="{00000000-0010-0000-0D05-000001000000}" uniqueName="ns2:Team4Consec5">
      <xmlPr mapId="4" xpath="/ns2:ScoreSheet/ns2:Diff3/ns2:Team4Consec5" xmlDataType="string"/>
    </xmlCellPr>
  </singleXmlCell>
  <singleXmlCell id="1296" xr6:uid="{00000000-000C-0000-FFFF-FFFF0E050000}" r="H12" connectionId="0">
    <xmlCellPr id="1" xr6:uid="{00000000-0010-0000-0E05-000001000000}" uniqueName="ns2:Team4Consec6">
      <xmlPr mapId="4" xpath="/ns2:ScoreSheet/ns2:Diff3/ns2:Team4Consec6" xmlDataType="string"/>
    </xmlCellPr>
  </singleXmlCell>
  <singleXmlCell id="1297" xr6:uid="{00000000-000C-0000-FFFF-FFFF0F050000}" r="I12" connectionId="0">
    <xmlCellPr id="1" xr6:uid="{00000000-0010-0000-0F05-000001000000}" uniqueName="ns2:Team4Consec7">
      <xmlPr mapId="4" xpath="/ns2:ScoreSheet/ns2:Diff3/ns2:Team4Consec7" xmlDataType="string"/>
    </xmlCellPr>
  </singleXmlCell>
  <singleXmlCell id="1298" xr6:uid="{00000000-000C-0000-FFFF-FFFF10050000}" r="J12" connectionId="0">
    <xmlCellPr id="1" xr6:uid="{00000000-0010-0000-1005-000001000000}" uniqueName="ns2:Team4Consec8">
      <xmlPr mapId="4" xpath="/ns2:ScoreSheet/ns2:Diff3/ns2:Team4Consec8" xmlDataType="string"/>
    </xmlCellPr>
  </singleXmlCell>
  <singleXmlCell id="1299" xr6:uid="{00000000-000C-0000-FFFF-FFFF11050000}" r="K12" connectionId="0">
    <xmlCellPr id="1" xr6:uid="{00000000-0010-0000-1105-000001000000}" uniqueName="ns2:Team4Consec9">
      <xmlPr mapId="4" xpath="/ns2:ScoreSheet/ns2:Diff3/ns2:Team4Consec9" xmlDataType="string"/>
    </xmlCellPr>
  </singleXmlCell>
  <singleXmlCell id="1300" xr6:uid="{00000000-000C-0000-FFFF-FFFF12050000}" r="L12" connectionId="0">
    <xmlCellPr id="1" xr6:uid="{00000000-0010-0000-1205-000001000000}" uniqueName="ns2:Team4Consec10">
      <xmlPr mapId="4" xpath="/ns2:ScoreSheet/ns2:Diff3/ns2:Team4Consec10" xmlDataType="string"/>
    </xmlCellPr>
  </singleXmlCell>
  <singleXmlCell id="1301" xr6:uid="{00000000-000C-0000-FFFF-FFFF13050000}" r="M12" connectionId="0">
    <xmlCellPr id="1" xr6:uid="{00000000-0010-0000-1305-000001000000}" uniqueName="ns2:Team4Consec11">
      <xmlPr mapId="4" xpath="/ns2:ScoreSheet/ns2:Diff3/ns2:Team4Consec11" xmlDataType="string"/>
    </xmlCellPr>
  </singleXmlCell>
  <singleXmlCell id="1302" xr6:uid="{00000000-000C-0000-FFFF-FFFF14050000}" r="N12" connectionId="0">
    <xmlCellPr id="1" xr6:uid="{00000000-0010-0000-1405-000001000000}" uniqueName="ns2:Team4Consec12">
      <xmlPr mapId="4" xpath="/ns2:ScoreSheet/ns2:Diff3/ns2:Team4Consec12" xmlDataType="string"/>
    </xmlCellPr>
  </singleXmlCell>
  <singleXmlCell id="1303" xr6:uid="{00000000-000C-0000-FFFF-FFFF15050000}" r="O12" connectionId="0">
    <xmlCellPr id="1" xr6:uid="{00000000-0010-0000-1505-000001000000}" uniqueName="ns2:Team4Consec13">
      <xmlPr mapId="4" xpath="/ns2:ScoreSheet/ns2:Diff3/ns2:Team4Consec13" xmlDataType="string"/>
    </xmlCellPr>
  </singleXmlCell>
  <singleXmlCell id="1304" xr6:uid="{00000000-000C-0000-FFFF-FFFF16050000}" r="P12" connectionId="0">
    <xmlCellPr id="1" xr6:uid="{00000000-0010-0000-1605-000001000000}" uniqueName="ns2:Team4Consec14">
      <xmlPr mapId="4" xpath="/ns2:ScoreSheet/ns2:Diff3/ns2:Team4Consec14" xmlDataType="string"/>
    </xmlCellPr>
  </singleXmlCell>
  <singleXmlCell id="1305" xr6:uid="{00000000-000C-0000-FFFF-FFFF17050000}" r="Q12" connectionId="0">
    <xmlCellPr id="1" xr6:uid="{00000000-0010-0000-1705-000001000000}" uniqueName="ns2:Team4Consec15">
      <xmlPr mapId="4" xpath="/ns2:ScoreSheet/ns2:Diff3/ns2:Team4Consec15" xmlDataType="string"/>
    </xmlCellPr>
  </singleXmlCell>
  <singleXmlCell id="1306" xr6:uid="{00000000-000C-0000-FFFF-FFFF18050000}" r="R12" connectionId="0">
    <xmlCellPr id="1" xr6:uid="{00000000-0010-0000-1805-000001000000}" uniqueName="ns2:Team4Consec16">
      <xmlPr mapId="4" xpath="/ns2:ScoreSheet/ns2:Diff3/ns2:Team4Consec16" xmlDataType="string"/>
    </xmlCellPr>
  </singleXmlCell>
  <singleXmlCell id="1307" xr6:uid="{00000000-000C-0000-FFFF-FFFF19050000}" r="S12" connectionId="0">
    <xmlCellPr id="1" xr6:uid="{00000000-0010-0000-1905-000001000000}" uniqueName="ns2:Team4Consec17">
      <xmlPr mapId="4" xpath="/ns2:ScoreSheet/ns2:Diff3/ns2:Team4Consec17" xmlDataType="string"/>
    </xmlCellPr>
  </singleXmlCell>
  <singleXmlCell id="1308" xr6:uid="{00000000-000C-0000-FFFF-FFFF1A050000}" r="T12" connectionId="0">
    <xmlCellPr id="1" xr6:uid="{00000000-0010-0000-1A05-000001000000}" uniqueName="ns2:Team4Consec18">
      <xmlPr mapId="4" xpath="/ns2:ScoreSheet/ns2:Diff3/ns2:Team4Consec18" xmlDataType="string"/>
    </xmlCellPr>
  </singleXmlCell>
  <singleXmlCell id="1309" xr6:uid="{00000000-000C-0000-FFFF-FFFF1B050000}" r="U12" connectionId="0">
    <xmlCellPr id="1" xr6:uid="{00000000-0010-0000-1B05-000001000000}" uniqueName="ns2:Team4Consec19">
      <xmlPr mapId="4" xpath="/ns2:ScoreSheet/ns2:Diff3/ns2:Team4Consec19" xmlDataType="string"/>
    </xmlCellPr>
  </singleXmlCell>
  <singleXmlCell id="1310" xr6:uid="{00000000-000C-0000-FFFF-FFFF1C050000}" r="V12" connectionId="0">
    <xmlCellPr id="1" xr6:uid="{00000000-0010-0000-1C05-000001000000}" uniqueName="ns2:Team4Consec20">
      <xmlPr mapId="4" xpath="/ns2:ScoreSheet/ns2:Diff3/ns2:Team4Consec20" xmlDataType="string"/>
    </xmlCellPr>
  </singleXmlCell>
  <singleXmlCell id="1311" xr6:uid="{00000000-000C-0000-FFFF-FFFF1D050000}" r="C15" connectionId="0">
    <xmlCellPr id="1" xr6:uid="{00000000-0010-0000-1D05-000001000000}" uniqueName="ns2:Team5Diff1">
      <xmlPr mapId="4" xpath="/ns2:ScoreSheet/ns2:Diff3/ns2:Team5Diff1" xmlDataType="decimal"/>
    </xmlCellPr>
  </singleXmlCell>
  <singleXmlCell id="1312" xr6:uid="{00000000-000C-0000-FFFF-FFFF1E050000}" r="D15" connectionId="0">
    <xmlCellPr id="1" xr6:uid="{00000000-0010-0000-1E05-000001000000}" uniqueName="ns2:Team5Diff2">
      <xmlPr mapId="4" xpath="/ns2:ScoreSheet/ns2:Diff3/ns2:Team5Diff2" xmlDataType="decimal"/>
    </xmlCellPr>
  </singleXmlCell>
  <singleXmlCell id="1313" xr6:uid="{00000000-000C-0000-FFFF-FFFF1F050000}" r="E15" connectionId="0">
    <xmlCellPr id="1" xr6:uid="{00000000-0010-0000-1F05-000001000000}" uniqueName="ns2:Team5Diff3">
      <xmlPr mapId="4" xpath="/ns2:ScoreSheet/ns2:Diff3/ns2:Team5Diff3" xmlDataType="decimal"/>
    </xmlCellPr>
  </singleXmlCell>
  <singleXmlCell id="1314" xr6:uid="{00000000-000C-0000-FFFF-FFFF20050000}" r="F15" connectionId="0">
    <xmlCellPr id="1" xr6:uid="{00000000-0010-0000-2005-000001000000}" uniqueName="ns2:Team5Diff4">
      <xmlPr mapId="4" xpath="/ns2:ScoreSheet/ns2:Diff3/ns2:Team5Diff4" xmlDataType="decimal"/>
    </xmlCellPr>
  </singleXmlCell>
  <singleXmlCell id="1315" xr6:uid="{00000000-000C-0000-FFFF-FFFF21050000}" r="G15" connectionId="0">
    <xmlCellPr id="1" xr6:uid="{00000000-0010-0000-2105-000001000000}" uniqueName="ns2:Team5Diff5">
      <xmlPr mapId="4" xpath="/ns2:ScoreSheet/ns2:Diff3/ns2:Team5Diff5" xmlDataType="decimal"/>
    </xmlCellPr>
  </singleXmlCell>
  <singleXmlCell id="1316" xr6:uid="{00000000-000C-0000-FFFF-FFFF22050000}" r="H15" connectionId="0">
    <xmlCellPr id="1" xr6:uid="{00000000-0010-0000-2205-000001000000}" uniqueName="ns2:Team5Diff6">
      <xmlPr mapId="4" xpath="/ns2:ScoreSheet/ns2:Diff3/ns2:Team5Diff6" xmlDataType="decimal"/>
    </xmlCellPr>
  </singleXmlCell>
  <singleXmlCell id="1317" xr6:uid="{00000000-000C-0000-FFFF-FFFF23050000}" r="I15" connectionId="0">
    <xmlCellPr id="1" xr6:uid="{00000000-0010-0000-2305-000001000000}" uniqueName="ns2:Team5Diff7">
      <xmlPr mapId="4" xpath="/ns2:ScoreSheet/ns2:Diff3/ns2:Team5Diff7" xmlDataType="decimal"/>
    </xmlCellPr>
  </singleXmlCell>
  <singleXmlCell id="1318" xr6:uid="{00000000-000C-0000-FFFF-FFFF24050000}" r="J15" connectionId="0">
    <xmlCellPr id="1" xr6:uid="{00000000-0010-0000-2405-000001000000}" uniqueName="ns2:Team5Diff8">
      <xmlPr mapId="4" xpath="/ns2:ScoreSheet/ns2:Diff3/ns2:Team5Diff8" xmlDataType="decimal"/>
    </xmlCellPr>
  </singleXmlCell>
  <singleXmlCell id="1319" xr6:uid="{00000000-000C-0000-FFFF-FFFF25050000}" r="K15" connectionId="0">
    <xmlCellPr id="1" xr6:uid="{00000000-0010-0000-2505-000001000000}" uniqueName="ns2:Team5Diff9">
      <xmlPr mapId="4" xpath="/ns2:ScoreSheet/ns2:Diff3/ns2:Team5Diff9" xmlDataType="decimal"/>
    </xmlCellPr>
  </singleXmlCell>
  <singleXmlCell id="1320" xr6:uid="{00000000-000C-0000-FFFF-FFFF26050000}" r="L15" connectionId="0">
    <xmlCellPr id="1" xr6:uid="{00000000-0010-0000-2605-000001000000}" uniqueName="ns2:Team5Diff10">
      <xmlPr mapId="4" xpath="/ns2:ScoreSheet/ns2:Diff3/ns2:Team5Diff10" xmlDataType="decimal"/>
    </xmlCellPr>
  </singleXmlCell>
  <singleXmlCell id="1321" xr6:uid="{00000000-000C-0000-FFFF-FFFF27050000}" r="M15" connectionId="0">
    <xmlCellPr id="1" xr6:uid="{00000000-0010-0000-2705-000001000000}" uniqueName="ns2:Team5Diff11">
      <xmlPr mapId="4" xpath="/ns2:ScoreSheet/ns2:Diff3/ns2:Team5Diff11" xmlDataType="decimal"/>
    </xmlCellPr>
  </singleXmlCell>
  <singleXmlCell id="1322" xr6:uid="{00000000-000C-0000-FFFF-FFFF28050000}" r="N15" connectionId="0">
    <xmlCellPr id="1" xr6:uid="{00000000-0010-0000-2805-000001000000}" uniqueName="ns2:Team5Diff12">
      <xmlPr mapId="4" xpath="/ns2:ScoreSheet/ns2:Diff3/ns2:Team5Diff12" xmlDataType="decimal"/>
    </xmlCellPr>
  </singleXmlCell>
  <singleXmlCell id="1323" xr6:uid="{00000000-000C-0000-FFFF-FFFF29050000}" r="O15" connectionId="0">
    <xmlCellPr id="1" xr6:uid="{00000000-0010-0000-2905-000001000000}" uniqueName="ns2:Team5Diff13">
      <xmlPr mapId="4" xpath="/ns2:ScoreSheet/ns2:Diff3/ns2:Team5Diff13" xmlDataType="decimal"/>
    </xmlCellPr>
  </singleXmlCell>
  <singleXmlCell id="1324" xr6:uid="{00000000-000C-0000-FFFF-FFFF2A050000}" r="P15" connectionId="0">
    <xmlCellPr id="1" xr6:uid="{00000000-0010-0000-2A05-000001000000}" uniqueName="ns2:Team5Diff14">
      <xmlPr mapId="4" xpath="/ns2:ScoreSheet/ns2:Diff3/ns2:Team5Diff14" xmlDataType="decimal"/>
    </xmlCellPr>
  </singleXmlCell>
  <singleXmlCell id="1325" xr6:uid="{00000000-000C-0000-FFFF-FFFF2B050000}" r="Q15" connectionId="0">
    <xmlCellPr id="1" xr6:uid="{00000000-0010-0000-2B05-000001000000}" uniqueName="ns2:Team5Diff15">
      <xmlPr mapId="4" xpath="/ns2:ScoreSheet/ns2:Diff3/ns2:Team5Diff15" xmlDataType="decimal"/>
    </xmlCellPr>
  </singleXmlCell>
  <singleXmlCell id="1326" xr6:uid="{00000000-000C-0000-FFFF-FFFF2C050000}" r="R15" connectionId="0">
    <xmlCellPr id="1" xr6:uid="{00000000-0010-0000-2C05-000001000000}" uniqueName="ns2:Team5Diff16">
      <xmlPr mapId="4" xpath="/ns2:ScoreSheet/ns2:Diff3/ns2:Team5Diff16" xmlDataType="decimal"/>
    </xmlCellPr>
  </singleXmlCell>
  <singleXmlCell id="1327" xr6:uid="{00000000-000C-0000-FFFF-FFFF2D050000}" r="S15" connectionId="0">
    <xmlCellPr id="1" xr6:uid="{00000000-0010-0000-2D05-000001000000}" uniqueName="ns2:Team5Diff17">
      <xmlPr mapId="4" xpath="/ns2:ScoreSheet/ns2:Diff3/ns2:Team5Diff17" xmlDataType="decimal"/>
    </xmlCellPr>
  </singleXmlCell>
  <singleXmlCell id="1328" xr6:uid="{00000000-000C-0000-FFFF-FFFF2E050000}" r="T15" connectionId="0">
    <xmlCellPr id="1" xr6:uid="{00000000-0010-0000-2E05-000001000000}" uniqueName="ns2:Team5Diff18">
      <xmlPr mapId="4" xpath="/ns2:ScoreSheet/ns2:Diff3/ns2:Team5Diff18" xmlDataType="decimal"/>
    </xmlCellPr>
  </singleXmlCell>
  <singleXmlCell id="1329" xr6:uid="{00000000-000C-0000-FFFF-FFFF2F050000}" r="U15" connectionId="0">
    <xmlCellPr id="1" xr6:uid="{00000000-0010-0000-2F05-000001000000}" uniqueName="ns2:Team5Diff19">
      <xmlPr mapId="4" xpath="/ns2:ScoreSheet/ns2:Diff3/ns2:Team5Diff19" xmlDataType="decimal"/>
    </xmlCellPr>
  </singleXmlCell>
  <singleXmlCell id="1330" xr6:uid="{00000000-000C-0000-FFFF-FFFF30050000}" r="V15" connectionId="0">
    <xmlCellPr id="1" xr6:uid="{00000000-0010-0000-3005-000001000000}" uniqueName="ns2:Team5Diff20">
      <xmlPr mapId="4" xpath="/ns2:ScoreSheet/ns2:Diff3/ns2:Team5Diff20" xmlDataType="decimal"/>
    </xmlCellPr>
  </singleXmlCell>
  <singleXmlCell id="1331" xr6:uid="{00000000-000C-0000-FFFF-FFFF31050000}" r="C14" connectionId="0">
    <xmlCellPr id="1" xr6:uid="{00000000-0010-0000-3105-000001000000}" uniqueName="ns2:Team5Consec1">
      <xmlPr mapId="4" xpath="/ns2:ScoreSheet/ns2:Diff3/ns2:Team5Consec1" xmlDataType="string"/>
    </xmlCellPr>
  </singleXmlCell>
  <singleXmlCell id="1332" xr6:uid="{00000000-000C-0000-FFFF-FFFF32050000}" r="D14" connectionId="0">
    <xmlCellPr id="1" xr6:uid="{00000000-0010-0000-3205-000001000000}" uniqueName="ns2:Team5Consec2">
      <xmlPr mapId="4" xpath="/ns2:ScoreSheet/ns2:Diff3/ns2:Team5Consec2" xmlDataType="string"/>
    </xmlCellPr>
  </singleXmlCell>
  <singleXmlCell id="1333" xr6:uid="{00000000-000C-0000-FFFF-FFFF33050000}" r="E14" connectionId="0">
    <xmlCellPr id="1" xr6:uid="{00000000-0010-0000-3305-000001000000}" uniqueName="ns2:Team5Consec3">
      <xmlPr mapId="4" xpath="/ns2:ScoreSheet/ns2:Diff3/ns2:Team5Consec3" xmlDataType="string"/>
    </xmlCellPr>
  </singleXmlCell>
  <singleXmlCell id="1334" xr6:uid="{00000000-000C-0000-FFFF-FFFF34050000}" r="F14" connectionId="0">
    <xmlCellPr id="1" xr6:uid="{00000000-0010-0000-3405-000001000000}" uniqueName="ns2:Team5Consec4">
      <xmlPr mapId="4" xpath="/ns2:ScoreSheet/ns2:Diff3/ns2:Team5Consec4" xmlDataType="string"/>
    </xmlCellPr>
  </singleXmlCell>
  <singleXmlCell id="1335" xr6:uid="{00000000-000C-0000-FFFF-FFFF35050000}" r="G14" connectionId="0">
    <xmlCellPr id="1" xr6:uid="{00000000-0010-0000-3505-000001000000}" uniqueName="ns2:Team5Consec5">
      <xmlPr mapId="4" xpath="/ns2:ScoreSheet/ns2:Diff3/ns2:Team5Consec5" xmlDataType="string"/>
    </xmlCellPr>
  </singleXmlCell>
  <singleXmlCell id="1336" xr6:uid="{00000000-000C-0000-FFFF-FFFF36050000}" r="H14" connectionId="0">
    <xmlCellPr id="1" xr6:uid="{00000000-0010-0000-3605-000001000000}" uniqueName="ns2:Team5Consec6">
      <xmlPr mapId="4" xpath="/ns2:ScoreSheet/ns2:Diff3/ns2:Team5Consec6" xmlDataType="string"/>
    </xmlCellPr>
  </singleXmlCell>
  <singleXmlCell id="1337" xr6:uid="{00000000-000C-0000-FFFF-FFFF37050000}" r="I14" connectionId="0">
    <xmlCellPr id="1" xr6:uid="{00000000-0010-0000-3705-000001000000}" uniqueName="ns2:Team5Consec7">
      <xmlPr mapId="4" xpath="/ns2:ScoreSheet/ns2:Diff3/ns2:Team5Consec7" xmlDataType="string"/>
    </xmlCellPr>
  </singleXmlCell>
  <singleXmlCell id="1338" xr6:uid="{00000000-000C-0000-FFFF-FFFF38050000}" r="J14" connectionId="0">
    <xmlCellPr id="1" xr6:uid="{00000000-0010-0000-3805-000001000000}" uniqueName="ns2:Team5Consec8">
      <xmlPr mapId="4" xpath="/ns2:ScoreSheet/ns2:Diff3/ns2:Team5Consec8" xmlDataType="string"/>
    </xmlCellPr>
  </singleXmlCell>
  <singleXmlCell id="1339" xr6:uid="{00000000-000C-0000-FFFF-FFFF39050000}" r="K14" connectionId="0">
    <xmlCellPr id="1" xr6:uid="{00000000-0010-0000-3905-000001000000}" uniqueName="ns2:Team5Consec9">
      <xmlPr mapId="4" xpath="/ns2:ScoreSheet/ns2:Diff3/ns2:Team5Consec9" xmlDataType="string"/>
    </xmlCellPr>
  </singleXmlCell>
  <singleXmlCell id="1340" xr6:uid="{00000000-000C-0000-FFFF-FFFF3A050000}" r="L14" connectionId="0">
    <xmlCellPr id="1" xr6:uid="{00000000-0010-0000-3A05-000001000000}" uniqueName="ns2:Team5Consec10">
      <xmlPr mapId="4" xpath="/ns2:ScoreSheet/ns2:Diff3/ns2:Team5Consec10" xmlDataType="string"/>
    </xmlCellPr>
  </singleXmlCell>
  <singleXmlCell id="1341" xr6:uid="{00000000-000C-0000-FFFF-FFFF3B050000}" r="M14" connectionId="0">
    <xmlCellPr id="1" xr6:uid="{00000000-0010-0000-3B05-000001000000}" uniqueName="ns2:Team5Consec11">
      <xmlPr mapId="4" xpath="/ns2:ScoreSheet/ns2:Diff3/ns2:Team5Consec11" xmlDataType="string"/>
    </xmlCellPr>
  </singleXmlCell>
  <singleXmlCell id="1342" xr6:uid="{00000000-000C-0000-FFFF-FFFF3C050000}" r="N14" connectionId="0">
    <xmlCellPr id="1" xr6:uid="{00000000-0010-0000-3C05-000001000000}" uniqueName="ns2:Team5Consec12">
      <xmlPr mapId="4" xpath="/ns2:ScoreSheet/ns2:Diff3/ns2:Team5Consec12" xmlDataType="string"/>
    </xmlCellPr>
  </singleXmlCell>
  <singleXmlCell id="1343" xr6:uid="{00000000-000C-0000-FFFF-FFFF3D050000}" r="O14" connectionId="0">
    <xmlCellPr id="1" xr6:uid="{00000000-0010-0000-3D05-000001000000}" uniqueName="ns2:Team5Consec13">
      <xmlPr mapId="4" xpath="/ns2:ScoreSheet/ns2:Diff3/ns2:Team5Consec13" xmlDataType="string"/>
    </xmlCellPr>
  </singleXmlCell>
  <singleXmlCell id="1344" xr6:uid="{00000000-000C-0000-FFFF-FFFF3E050000}" r="P14" connectionId="0">
    <xmlCellPr id="1" xr6:uid="{00000000-0010-0000-3E05-000001000000}" uniqueName="ns2:Team5Consec14">
      <xmlPr mapId="4" xpath="/ns2:ScoreSheet/ns2:Diff3/ns2:Team5Consec14" xmlDataType="string"/>
    </xmlCellPr>
  </singleXmlCell>
  <singleXmlCell id="1345" xr6:uid="{00000000-000C-0000-FFFF-FFFF3F050000}" r="Q14" connectionId="0">
    <xmlCellPr id="1" xr6:uid="{00000000-0010-0000-3F05-000001000000}" uniqueName="ns2:Team5Consec15">
      <xmlPr mapId="4" xpath="/ns2:ScoreSheet/ns2:Diff3/ns2:Team5Consec15" xmlDataType="string"/>
    </xmlCellPr>
  </singleXmlCell>
  <singleXmlCell id="1346" xr6:uid="{00000000-000C-0000-FFFF-FFFF40050000}" r="R14" connectionId="0">
    <xmlCellPr id="1" xr6:uid="{00000000-0010-0000-4005-000001000000}" uniqueName="ns2:Team5Consec16">
      <xmlPr mapId="4" xpath="/ns2:ScoreSheet/ns2:Diff3/ns2:Team5Consec16" xmlDataType="string"/>
    </xmlCellPr>
  </singleXmlCell>
  <singleXmlCell id="1347" xr6:uid="{00000000-000C-0000-FFFF-FFFF41050000}" r="S14" connectionId="0">
    <xmlCellPr id="1" xr6:uid="{00000000-0010-0000-4105-000001000000}" uniqueName="ns2:Team5Consec17">
      <xmlPr mapId="4" xpath="/ns2:ScoreSheet/ns2:Diff3/ns2:Team5Consec17" xmlDataType="string"/>
    </xmlCellPr>
  </singleXmlCell>
  <singleXmlCell id="1348" xr6:uid="{00000000-000C-0000-FFFF-FFFF42050000}" r="T14" connectionId="0">
    <xmlCellPr id="1" xr6:uid="{00000000-0010-0000-4205-000001000000}" uniqueName="ns2:Team5Consec18">
      <xmlPr mapId="4" xpath="/ns2:ScoreSheet/ns2:Diff3/ns2:Team5Consec18" xmlDataType="string"/>
    </xmlCellPr>
  </singleXmlCell>
  <singleXmlCell id="1349" xr6:uid="{00000000-000C-0000-FFFF-FFFF43050000}" r="U14" connectionId="0">
    <xmlCellPr id="1" xr6:uid="{00000000-0010-0000-4305-000001000000}" uniqueName="ns2:Team5Consec19">
      <xmlPr mapId="4" xpath="/ns2:ScoreSheet/ns2:Diff3/ns2:Team5Consec19" xmlDataType="string"/>
    </xmlCellPr>
  </singleXmlCell>
  <singleXmlCell id="1350" xr6:uid="{00000000-000C-0000-FFFF-FFFF44050000}" r="V14" connectionId="0">
    <xmlCellPr id="1" xr6:uid="{00000000-0010-0000-4405-000001000000}" uniqueName="ns2:Team5Consec20">
      <xmlPr mapId="4" xpath="/ns2:ScoreSheet/ns2:Diff3/ns2:Team5Consec20" xmlDataType="string"/>
    </xmlCellPr>
  </singleXmlCell>
  <singleXmlCell id="1351" xr6:uid="{00000000-000C-0000-FFFF-FFFF45050000}" r="C17" connectionId="0">
    <xmlCellPr id="1" xr6:uid="{00000000-0010-0000-4505-000001000000}" uniqueName="ns2:Team6Diff1">
      <xmlPr mapId="4" xpath="/ns2:ScoreSheet/ns2:Diff3/ns2:Team6Diff1" xmlDataType="decimal"/>
    </xmlCellPr>
  </singleXmlCell>
  <singleXmlCell id="1352" xr6:uid="{00000000-000C-0000-FFFF-FFFF46050000}" r="D17" connectionId="0">
    <xmlCellPr id="1" xr6:uid="{00000000-0010-0000-4605-000001000000}" uniqueName="ns2:Team6Diff2">
      <xmlPr mapId="4" xpath="/ns2:ScoreSheet/ns2:Diff3/ns2:Team6Diff2" xmlDataType="decimal"/>
    </xmlCellPr>
  </singleXmlCell>
  <singleXmlCell id="1353" xr6:uid="{00000000-000C-0000-FFFF-FFFF47050000}" r="E17" connectionId="0">
    <xmlCellPr id="1" xr6:uid="{00000000-0010-0000-4705-000001000000}" uniqueName="ns2:Team6Diff3">
      <xmlPr mapId="4" xpath="/ns2:ScoreSheet/ns2:Diff3/ns2:Team6Diff3" xmlDataType="decimal"/>
    </xmlCellPr>
  </singleXmlCell>
  <singleXmlCell id="1354" xr6:uid="{00000000-000C-0000-FFFF-FFFF48050000}" r="F17" connectionId="0">
    <xmlCellPr id="1" xr6:uid="{00000000-0010-0000-4805-000001000000}" uniqueName="ns2:Team6Diff4">
      <xmlPr mapId="4" xpath="/ns2:ScoreSheet/ns2:Diff3/ns2:Team6Diff4" xmlDataType="decimal"/>
    </xmlCellPr>
  </singleXmlCell>
  <singleXmlCell id="1355" xr6:uid="{00000000-000C-0000-FFFF-FFFF49050000}" r="G17" connectionId="0">
    <xmlCellPr id="1" xr6:uid="{00000000-0010-0000-4905-000001000000}" uniqueName="ns2:Team6Diff5">
      <xmlPr mapId="4" xpath="/ns2:ScoreSheet/ns2:Diff3/ns2:Team6Diff5" xmlDataType="decimal"/>
    </xmlCellPr>
  </singleXmlCell>
  <singleXmlCell id="1356" xr6:uid="{00000000-000C-0000-FFFF-FFFF4A050000}" r="H17" connectionId="0">
    <xmlCellPr id="1" xr6:uid="{00000000-0010-0000-4A05-000001000000}" uniqueName="ns2:Team6Diff6">
      <xmlPr mapId="4" xpath="/ns2:ScoreSheet/ns2:Diff3/ns2:Team6Diff6" xmlDataType="decimal"/>
    </xmlCellPr>
  </singleXmlCell>
  <singleXmlCell id="1357" xr6:uid="{00000000-000C-0000-FFFF-FFFF4B050000}" r="I17" connectionId="0">
    <xmlCellPr id="1" xr6:uid="{00000000-0010-0000-4B05-000001000000}" uniqueName="ns2:Team6Diff7">
      <xmlPr mapId="4" xpath="/ns2:ScoreSheet/ns2:Diff3/ns2:Team6Diff7" xmlDataType="decimal"/>
    </xmlCellPr>
  </singleXmlCell>
  <singleXmlCell id="1358" xr6:uid="{00000000-000C-0000-FFFF-FFFF4C050000}" r="J17" connectionId="0">
    <xmlCellPr id="1" xr6:uid="{00000000-0010-0000-4C05-000001000000}" uniqueName="ns2:Team6Diff8">
      <xmlPr mapId="4" xpath="/ns2:ScoreSheet/ns2:Diff3/ns2:Team6Diff8" xmlDataType="decimal"/>
    </xmlCellPr>
  </singleXmlCell>
  <singleXmlCell id="1359" xr6:uid="{00000000-000C-0000-FFFF-FFFF4D050000}" r="K17" connectionId="0">
    <xmlCellPr id="1" xr6:uid="{00000000-0010-0000-4D05-000001000000}" uniqueName="ns2:Team6Diff9">
      <xmlPr mapId="4" xpath="/ns2:ScoreSheet/ns2:Diff3/ns2:Team6Diff9" xmlDataType="decimal"/>
    </xmlCellPr>
  </singleXmlCell>
  <singleXmlCell id="1360" xr6:uid="{00000000-000C-0000-FFFF-FFFF4E050000}" r="L17" connectionId="0">
    <xmlCellPr id="1" xr6:uid="{00000000-0010-0000-4E05-000001000000}" uniqueName="ns2:Team6Diff10">
      <xmlPr mapId="4" xpath="/ns2:ScoreSheet/ns2:Diff3/ns2:Team6Diff10" xmlDataType="decimal"/>
    </xmlCellPr>
  </singleXmlCell>
  <singleXmlCell id="1361" xr6:uid="{00000000-000C-0000-FFFF-FFFF4F050000}" r="M17" connectionId="0">
    <xmlCellPr id="1" xr6:uid="{00000000-0010-0000-4F05-000001000000}" uniqueName="ns2:Team6Diff11">
      <xmlPr mapId="4" xpath="/ns2:ScoreSheet/ns2:Diff3/ns2:Team6Diff11" xmlDataType="decimal"/>
    </xmlCellPr>
  </singleXmlCell>
  <singleXmlCell id="1362" xr6:uid="{00000000-000C-0000-FFFF-FFFF50050000}" r="N17" connectionId="0">
    <xmlCellPr id="1" xr6:uid="{00000000-0010-0000-5005-000001000000}" uniqueName="ns2:Team6Diff12">
      <xmlPr mapId="4" xpath="/ns2:ScoreSheet/ns2:Diff3/ns2:Team6Diff12" xmlDataType="decimal"/>
    </xmlCellPr>
  </singleXmlCell>
  <singleXmlCell id="1363" xr6:uid="{00000000-000C-0000-FFFF-FFFF51050000}" r="O17" connectionId="0">
    <xmlCellPr id="1" xr6:uid="{00000000-0010-0000-5105-000001000000}" uniqueName="ns2:Team6Diff13">
      <xmlPr mapId="4" xpath="/ns2:ScoreSheet/ns2:Diff3/ns2:Team6Diff13" xmlDataType="decimal"/>
    </xmlCellPr>
  </singleXmlCell>
  <singleXmlCell id="1364" xr6:uid="{00000000-000C-0000-FFFF-FFFF52050000}" r="P17" connectionId="0">
    <xmlCellPr id="1" xr6:uid="{00000000-0010-0000-5205-000001000000}" uniqueName="ns2:Team6Diff14">
      <xmlPr mapId="4" xpath="/ns2:ScoreSheet/ns2:Diff3/ns2:Team6Diff14" xmlDataType="decimal"/>
    </xmlCellPr>
  </singleXmlCell>
  <singleXmlCell id="1365" xr6:uid="{00000000-000C-0000-FFFF-FFFF53050000}" r="Q17" connectionId="0">
    <xmlCellPr id="1" xr6:uid="{00000000-0010-0000-5305-000001000000}" uniqueName="ns2:Team6Diff15">
      <xmlPr mapId="4" xpath="/ns2:ScoreSheet/ns2:Diff3/ns2:Team6Diff15" xmlDataType="decimal"/>
    </xmlCellPr>
  </singleXmlCell>
  <singleXmlCell id="1366" xr6:uid="{00000000-000C-0000-FFFF-FFFF54050000}" r="R17" connectionId="0">
    <xmlCellPr id="1" xr6:uid="{00000000-0010-0000-5405-000001000000}" uniqueName="ns2:Team6Diff16">
      <xmlPr mapId="4" xpath="/ns2:ScoreSheet/ns2:Diff3/ns2:Team6Diff16" xmlDataType="decimal"/>
    </xmlCellPr>
  </singleXmlCell>
  <singleXmlCell id="1367" xr6:uid="{00000000-000C-0000-FFFF-FFFF55050000}" r="S17" connectionId="0">
    <xmlCellPr id="1" xr6:uid="{00000000-0010-0000-5505-000001000000}" uniqueName="ns2:Team6Diff17">
      <xmlPr mapId="4" xpath="/ns2:ScoreSheet/ns2:Diff3/ns2:Team6Diff17" xmlDataType="decimal"/>
    </xmlCellPr>
  </singleXmlCell>
  <singleXmlCell id="1368" xr6:uid="{00000000-000C-0000-FFFF-FFFF56050000}" r="T17" connectionId="0">
    <xmlCellPr id="1" xr6:uid="{00000000-0010-0000-5605-000001000000}" uniqueName="ns2:Team6Diff18">
      <xmlPr mapId="4" xpath="/ns2:ScoreSheet/ns2:Diff3/ns2:Team6Diff18" xmlDataType="decimal"/>
    </xmlCellPr>
  </singleXmlCell>
  <singleXmlCell id="1369" xr6:uid="{00000000-000C-0000-FFFF-FFFF57050000}" r="U17" connectionId="0">
    <xmlCellPr id="1" xr6:uid="{00000000-0010-0000-5705-000001000000}" uniqueName="ns2:Team6Diff19">
      <xmlPr mapId="4" xpath="/ns2:ScoreSheet/ns2:Diff3/ns2:Team6Diff19" xmlDataType="decimal"/>
    </xmlCellPr>
  </singleXmlCell>
  <singleXmlCell id="1370" xr6:uid="{00000000-000C-0000-FFFF-FFFF58050000}" r="V17" connectionId="0">
    <xmlCellPr id="1" xr6:uid="{00000000-0010-0000-5805-000001000000}" uniqueName="ns2:Team6Diff20">
      <xmlPr mapId="4" xpath="/ns2:ScoreSheet/ns2:Diff3/ns2:Team6Diff20" xmlDataType="decimal"/>
    </xmlCellPr>
  </singleXmlCell>
  <singleXmlCell id="1371" xr6:uid="{00000000-000C-0000-FFFF-FFFF59050000}" r="C16" connectionId="0">
    <xmlCellPr id="1" xr6:uid="{00000000-0010-0000-5905-000001000000}" uniqueName="ns2:Team6Consec1">
      <xmlPr mapId="4" xpath="/ns2:ScoreSheet/ns2:Diff3/ns2:Team6Consec1" xmlDataType="string"/>
    </xmlCellPr>
  </singleXmlCell>
  <singleXmlCell id="1372" xr6:uid="{00000000-000C-0000-FFFF-FFFF5A050000}" r="D16" connectionId="0">
    <xmlCellPr id="1" xr6:uid="{00000000-0010-0000-5A05-000001000000}" uniqueName="ns2:Team6Consec2">
      <xmlPr mapId="4" xpath="/ns2:ScoreSheet/ns2:Diff3/ns2:Team6Consec2" xmlDataType="string"/>
    </xmlCellPr>
  </singleXmlCell>
  <singleXmlCell id="1373" xr6:uid="{00000000-000C-0000-FFFF-FFFF5B050000}" r="E16" connectionId="0">
    <xmlCellPr id="1" xr6:uid="{00000000-0010-0000-5B05-000001000000}" uniqueName="ns2:Team6Consec3">
      <xmlPr mapId="4" xpath="/ns2:ScoreSheet/ns2:Diff3/ns2:Team6Consec3" xmlDataType="string"/>
    </xmlCellPr>
  </singleXmlCell>
  <singleXmlCell id="1374" xr6:uid="{00000000-000C-0000-FFFF-FFFF5C050000}" r="F16" connectionId="0">
    <xmlCellPr id="1" xr6:uid="{00000000-0010-0000-5C05-000001000000}" uniqueName="ns2:Team6Consec4">
      <xmlPr mapId="4" xpath="/ns2:ScoreSheet/ns2:Diff3/ns2:Team6Consec4" xmlDataType="string"/>
    </xmlCellPr>
  </singleXmlCell>
  <singleXmlCell id="1375" xr6:uid="{00000000-000C-0000-FFFF-FFFF5D050000}" r="G16" connectionId="0">
    <xmlCellPr id="1" xr6:uid="{00000000-0010-0000-5D05-000001000000}" uniqueName="ns2:Team6Consec5">
      <xmlPr mapId="4" xpath="/ns2:ScoreSheet/ns2:Diff3/ns2:Team6Consec5" xmlDataType="string"/>
    </xmlCellPr>
  </singleXmlCell>
  <singleXmlCell id="1376" xr6:uid="{00000000-000C-0000-FFFF-FFFF5E050000}" r="H16" connectionId="0">
    <xmlCellPr id="1" xr6:uid="{00000000-0010-0000-5E05-000001000000}" uniqueName="ns2:Team6Consec6">
      <xmlPr mapId="4" xpath="/ns2:ScoreSheet/ns2:Diff3/ns2:Team6Consec6" xmlDataType="string"/>
    </xmlCellPr>
  </singleXmlCell>
  <singleXmlCell id="1377" xr6:uid="{00000000-000C-0000-FFFF-FFFF5F050000}" r="I16" connectionId="0">
    <xmlCellPr id="1" xr6:uid="{00000000-0010-0000-5F05-000001000000}" uniqueName="ns2:Team6Consec7">
      <xmlPr mapId="4" xpath="/ns2:ScoreSheet/ns2:Diff3/ns2:Team6Consec7" xmlDataType="string"/>
    </xmlCellPr>
  </singleXmlCell>
  <singleXmlCell id="1378" xr6:uid="{00000000-000C-0000-FFFF-FFFF60050000}" r="J16" connectionId="0">
    <xmlCellPr id="1" xr6:uid="{00000000-0010-0000-6005-000001000000}" uniqueName="ns2:Team6Consec8">
      <xmlPr mapId="4" xpath="/ns2:ScoreSheet/ns2:Diff3/ns2:Team6Consec8" xmlDataType="string"/>
    </xmlCellPr>
  </singleXmlCell>
  <singleXmlCell id="1379" xr6:uid="{00000000-000C-0000-FFFF-FFFF61050000}" r="K16" connectionId="0">
    <xmlCellPr id="1" xr6:uid="{00000000-0010-0000-6105-000001000000}" uniqueName="ns2:Team6Consec9">
      <xmlPr mapId="4" xpath="/ns2:ScoreSheet/ns2:Diff3/ns2:Team6Consec9" xmlDataType="string"/>
    </xmlCellPr>
  </singleXmlCell>
  <singleXmlCell id="1380" xr6:uid="{00000000-000C-0000-FFFF-FFFF62050000}" r="L16" connectionId="0">
    <xmlCellPr id="1" xr6:uid="{00000000-0010-0000-6205-000001000000}" uniqueName="ns2:Team6Consec10">
      <xmlPr mapId="4" xpath="/ns2:ScoreSheet/ns2:Diff3/ns2:Team6Consec10" xmlDataType="string"/>
    </xmlCellPr>
  </singleXmlCell>
  <singleXmlCell id="1381" xr6:uid="{00000000-000C-0000-FFFF-FFFF63050000}" r="M16" connectionId="0">
    <xmlCellPr id="1" xr6:uid="{00000000-0010-0000-6305-000001000000}" uniqueName="ns2:Team6Consec11">
      <xmlPr mapId="4" xpath="/ns2:ScoreSheet/ns2:Diff3/ns2:Team6Consec11" xmlDataType="string"/>
    </xmlCellPr>
  </singleXmlCell>
  <singleXmlCell id="1382" xr6:uid="{00000000-000C-0000-FFFF-FFFF64050000}" r="N16" connectionId="0">
    <xmlCellPr id="1" xr6:uid="{00000000-0010-0000-6405-000001000000}" uniqueName="ns2:Team6Consec12">
      <xmlPr mapId="4" xpath="/ns2:ScoreSheet/ns2:Diff3/ns2:Team6Consec12" xmlDataType="string"/>
    </xmlCellPr>
  </singleXmlCell>
  <singleXmlCell id="1383" xr6:uid="{00000000-000C-0000-FFFF-FFFF65050000}" r="O16" connectionId="0">
    <xmlCellPr id="1" xr6:uid="{00000000-0010-0000-6505-000001000000}" uniqueName="ns2:Team6Consec13">
      <xmlPr mapId="4" xpath="/ns2:ScoreSheet/ns2:Diff3/ns2:Team6Consec13" xmlDataType="string"/>
    </xmlCellPr>
  </singleXmlCell>
  <singleXmlCell id="1384" xr6:uid="{00000000-000C-0000-FFFF-FFFF66050000}" r="P16" connectionId="0">
    <xmlCellPr id="1" xr6:uid="{00000000-0010-0000-6605-000001000000}" uniqueName="ns2:Team6Consec14">
      <xmlPr mapId="4" xpath="/ns2:ScoreSheet/ns2:Diff3/ns2:Team6Consec14" xmlDataType="string"/>
    </xmlCellPr>
  </singleXmlCell>
  <singleXmlCell id="1385" xr6:uid="{00000000-000C-0000-FFFF-FFFF67050000}" r="Q16" connectionId="0">
    <xmlCellPr id="1" xr6:uid="{00000000-0010-0000-6705-000001000000}" uniqueName="ns2:Team6Consec15">
      <xmlPr mapId="4" xpath="/ns2:ScoreSheet/ns2:Diff3/ns2:Team6Consec15" xmlDataType="string"/>
    </xmlCellPr>
  </singleXmlCell>
  <singleXmlCell id="1386" xr6:uid="{00000000-000C-0000-FFFF-FFFF68050000}" r="R16" connectionId="0">
    <xmlCellPr id="1" xr6:uid="{00000000-0010-0000-6805-000001000000}" uniqueName="ns2:Team6Consec16">
      <xmlPr mapId="4" xpath="/ns2:ScoreSheet/ns2:Diff3/ns2:Team6Consec16" xmlDataType="string"/>
    </xmlCellPr>
  </singleXmlCell>
  <singleXmlCell id="1387" xr6:uid="{00000000-000C-0000-FFFF-FFFF69050000}" r="S16" connectionId="0">
    <xmlCellPr id="1" xr6:uid="{00000000-0010-0000-6905-000001000000}" uniqueName="ns2:Team6Consec17">
      <xmlPr mapId="4" xpath="/ns2:ScoreSheet/ns2:Diff3/ns2:Team6Consec17" xmlDataType="string"/>
    </xmlCellPr>
  </singleXmlCell>
  <singleXmlCell id="1388" xr6:uid="{00000000-000C-0000-FFFF-FFFF6A050000}" r="T16" connectionId="0">
    <xmlCellPr id="1" xr6:uid="{00000000-0010-0000-6A05-000001000000}" uniqueName="ns2:Team6Consec18">
      <xmlPr mapId="4" xpath="/ns2:ScoreSheet/ns2:Diff3/ns2:Team6Consec18" xmlDataType="string"/>
    </xmlCellPr>
  </singleXmlCell>
  <singleXmlCell id="1389" xr6:uid="{00000000-000C-0000-FFFF-FFFF6B050000}" r="U16" connectionId="0">
    <xmlCellPr id="1" xr6:uid="{00000000-0010-0000-6B05-000001000000}" uniqueName="ns2:Team6Consec19">
      <xmlPr mapId="4" xpath="/ns2:ScoreSheet/ns2:Diff3/ns2:Team6Consec19" xmlDataType="string"/>
    </xmlCellPr>
  </singleXmlCell>
  <singleXmlCell id="1390" xr6:uid="{00000000-000C-0000-FFFF-FFFF6C050000}" r="V16" connectionId="0">
    <xmlCellPr id="1" xr6:uid="{00000000-0010-0000-6C05-000001000000}" uniqueName="ns2:Team6Consec20">
      <xmlPr mapId="4" xpath="/ns2:ScoreSheet/ns2:Diff3/ns2:Team6Consec20" xmlDataType="string"/>
    </xmlCellPr>
  </singleXmlCell>
  <singleXmlCell id="1391" xr6:uid="{00000000-000C-0000-FFFF-FFFF6D050000}" r="C19" connectionId="0">
    <xmlCellPr id="1" xr6:uid="{00000000-0010-0000-6D05-000001000000}" uniqueName="ns2:Team7Diff1">
      <xmlPr mapId="4" xpath="/ns2:ScoreSheet/ns2:Diff3/ns2:Team7Diff1" xmlDataType="decimal"/>
    </xmlCellPr>
  </singleXmlCell>
  <singleXmlCell id="1392" xr6:uid="{00000000-000C-0000-FFFF-FFFF6E050000}" r="D19" connectionId="0">
    <xmlCellPr id="1" xr6:uid="{00000000-0010-0000-6E05-000001000000}" uniqueName="ns2:Team7Diff2">
      <xmlPr mapId="4" xpath="/ns2:ScoreSheet/ns2:Diff3/ns2:Team7Diff2" xmlDataType="decimal"/>
    </xmlCellPr>
  </singleXmlCell>
  <singleXmlCell id="1393" xr6:uid="{00000000-000C-0000-FFFF-FFFF6F050000}" r="E19" connectionId="0">
    <xmlCellPr id="1" xr6:uid="{00000000-0010-0000-6F05-000001000000}" uniqueName="ns2:Team7Diff3">
      <xmlPr mapId="4" xpath="/ns2:ScoreSheet/ns2:Diff3/ns2:Team7Diff3" xmlDataType="decimal"/>
    </xmlCellPr>
  </singleXmlCell>
  <singleXmlCell id="1394" xr6:uid="{00000000-000C-0000-FFFF-FFFF70050000}" r="F19" connectionId="0">
    <xmlCellPr id="1" xr6:uid="{00000000-0010-0000-7005-000001000000}" uniqueName="ns2:Team7Diff4">
      <xmlPr mapId="4" xpath="/ns2:ScoreSheet/ns2:Diff3/ns2:Team7Diff4" xmlDataType="decimal"/>
    </xmlCellPr>
  </singleXmlCell>
  <singleXmlCell id="1395" xr6:uid="{00000000-000C-0000-FFFF-FFFF71050000}" r="G19" connectionId="0">
    <xmlCellPr id="1" xr6:uid="{00000000-0010-0000-7105-000001000000}" uniqueName="ns2:Team7Diff5">
      <xmlPr mapId="4" xpath="/ns2:ScoreSheet/ns2:Diff3/ns2:Team7Diff5" xmlDataType="decimal"/>
    </xmlCellPr>
  </singleXmlCell>
  <singleXmlCell id="1396" xr6:uid="{00000000-000C-0000-FFFF-FFFF72050000}" r="H19" connectionId="0">
    <xmlCellPr id="1" xr6:uid="{00000000-0010-0000-7205-000001000000}" uniqueName="ns2:Team7Diff6">
      <xmlPr mapId="4" xpath="/ns2:ScoreSheet/ns2:Diff3/ns2:Team7Diff6" xmlDataType="decimal"/>
    </xmlCellPr>
  </singleXmlCell>
  <singleXmlCell id="1397" xr6:uid="{00000000-000C-0000-FFFF-FFFF73050000}" r="I19" connectionId="0">
    <xmlCellPr id="1" xr6:uid="{00000000-0010-0000-7305-000001000000}" uniqueName="ns2:Team7Diff7">
      <xmlPr mapId="4" xpath="/ns2:ScoreSheet/ns2:Diff3/ns2:Team7Diff7" xmlDataType="decimal"/>
    </xmlCellPr>
  </singleXmlCell>
  <singleXmlCell id="1398" xr6:uid="{00000000-000C-0000-FFFF-FFFF74050000}" r="J19" connectionId="0">
    <xmlCellPr id="1" xr6:uid="{00000000-0010-0000-7405-000001000000}" uniqueName="ns2:Team7Diff8">
      <xmlPr mapId="4" xpath="/ns2:ScoreSheet/ns2:Diff3/ns2:Team7Diff8" xmlDataType="decimal"/>
    </xmlCellPr>
  </singleXmlCell>
  <singleXmlCell id="1399" xr6:uid="{00000000-000C-0000-FFFF-FFFF75050000}" r="K19" connectionId="0">
    <xmlCellPr id="1" xr6:uid="{00000000-0010-0000-7505-000001000000}" uniqueName="ns2:Team7Diff9">
      <xmlPr mapId="4" xpath="/ns2:ScoreSheet/ns2:Diff3/ns2:Team7Diff9" xmlDataType="decimal"/>
    </xmlCellPr>
  </singleXmlCell>
  <singleXmlCell id="1400" xr6:uid="{00000000-000C-0000-FFFF-FFFF76050000}" r="L19" connectionId="0">
    <xmlCellPr id="1" xr6:uid="{00000000-0010-0000-7605-000001000000}" uniqueName="ns2:Team7Diff10">
      <xmlPr mapId="4" xpath="/ns2:ScoreSheet/ns2:Diff3/ns2:Team7Diff10" xmlDataType="decimal"/>
    </xmlCellPr>
  </singleXmlCell>
  <singleXmlCell id="1401" xr6:uid="{00000000-000C-0000-FFFF-FFFF77050000}" r="M19" connectionId="0">
    <xmlCellPr id="1" xr6:uid="{00000000-0010-0000-7705-000001000000}" uniqueName="ns2:Team7Diff11">
      <xmlPr mapId="4" xpath="/ns2:ScoreSheet/ns2:Diff3/ns2:Team7Diff11" xmlDataType="decimal"/>
    </xmlCellPr>
  </singleXmlCell>
  <singleXmlCell id="1402" xr6:uid="{00000000-000C-0000-FFFF-FFFF78050000}" r="N19" connectionId="0">
    <xmlCellPr id="1" xr6:uid="{00000000-0010-0000-7805-000001000000}" uniqueName="ns2:Team7Diff12">
      <xmlPr mapId="4" xpath="/ns2:ScoreSheet/ns2:Diff3/ns2:Team7Diff12" xmlDataType="decimal"/>
    </xmlCellPr>
  </singleXmlCell>
  <singleXmlCell id="1403" xr6:uid="{00000000-000C-0000-FFFF-FFFF79050000}" r="O19" connectionId="0">
    <xmlCellPr id="1" xr6:uid="{00000000-0010-0000-7905-000001000000}" uniqueName="ns2:Team7Diff13">
      <xmlPr mapId="4" xpath="/ns2:ScoreSheet/ns2:Diff3/ns2:Team7Diff13" xmlDataType="decimal"/>
    </xmlCellPr>
  </singleXmlCell>
  <singleXmlCell id="1404" xr6:uid="{00000000-000C-0000-FFFF-FFFF7A050000}" r="P19" connectionId="0">
    <xmlCellPr id="1" xr6:uid="{00000000-0010-0000-7A05-000001000000}" uniqueName="ns2:Team7Diff14">
      <xmlPr mapId="4" xpath="/ns2:ScoreSheet/ns2:Diff3/ns2:Team7Diff14" xmlDataType="decimal"/>
    </xmlCellPr>
  </singleXmlCell>
  <singleXmlCell id="1405" xr6:uid="{00000000-000C-0000-FFFF-FFFF7B050000}" r="Q19" connectionId="0">
    <xmlCellPr id="1" xr6:uid="{00000000-0010-0000-7B05-000001000000}" uniqueName="ns2:Team7Diff15">
      <xmlPr mapId="4" xpath="/ns2:ScoreSheet/ns2:Diff3/ns2:Team7Diff15" xmlDataType="decimal"/>
    </xmlCellPr>
  </singleXmlCell>
  <singleXmlCell id="1406" xr6:uid="{00000000-000C-0000-FFFF-FFFF7C050000}" r="R19" connectionId="0">
    <xmlCellPr id="1" xr6:uid="{00000000-0010-0000-7C05-000001000000}" uniqueName="ns2:Team7Diff16">
      <xmlPr mapId="4" xpath="/ns2:ScoreSheet/ns2:Diff3/ns2:Team7Diff16" xmlDataType="decimal"/>
    </xmlCellPr>
  </singleXmlCell>
  <singleXmlCell id="1407" xr6:uid="{00000000-000C-0000-FFFF-FFFF7D050000}" r="S19" connectionId="0">
    <xmlCellPr id="1" xr6:uid="{00000000-0010-0000-7D05-000001000000}" uniqueName="ns2:Team7Diff17">
      <xmlPr mapId="4" xpath="/ns2:ScoreSheet/ns2:Diff3/ns2:Team7Diff17" xmlDataType="decimal"/>
    </xmlCellPr>
  </singleXmlCell>
  <singleXmlCell id="1408" xr6:uid="{00000000-000C-0000-FFFF-FFFF7E050000}" r="T19" connectionId="0">
    <xmlCellPr id="1" xr6:uid="{00000000-0010-0000-7E05-000001000000}" uniqueName="ns2:Team7Diff18">
      <xmlPr mapId="4" xpath="/ns2:ScoreSheet/ns2:Diff3/ns2:Team7Diff18" xmlDataType="decimal"/>
    </xmlCellPr>
  </singleXmlCell>
  <singleXmlCell id="1409" xr6:uid="{00000000-000C-0000-FFFF-FFFF7F050000}" r="U19" connectionId="0">
    <xmlCellPr id="1" xr6:uid="{00000000-0010-0000-7F05-000001000000}" uniqueName="ns2:Team7Diff19">
      <xmlPr mapId="4" xpath="/ns2:ScoreSheet/ns2:Diff3/ns2:Team7Diff19" xmlDataType="decimal"/>
    </xmlCellPr>
  </singleXmlCell>
  <singleXmlCell id="1410" xr6:uid="{00000000-000C-0000-FFFF-FFFF80050000}" r="V19" connectionId="0">
    <xmlCellPr id="1" xr6:uid="{00000000-0010-0000-8005-000001000000}" uniqueName="ns2:Team7Diff20">
      <xmlPr mapId="4" xpath="/ns2:ScoreSheet/ns2:Diff3/ns2:Team7Diff20" xmlDataType="decimal"/>
    </xmlCellPr>
  </singleXmlCell>
  <singleXmlCell id="1411" xr6:uid="{00000000-000C-0000-FFFF-FFFF81050000}" r="C18" connectionId="0">
    <xmlCellPr id="1" xr6:uid="{00000000-0010-0000-8105-000001000000}" uniqueName="ns2:Team7Consec1">
      <xmlPr mapId="4" xpath="/ns2:ScoreSheet/ns2:Diff3/ns2:Team7Consec1" xmlDataType="string"/>
    </xmlCellPr>
  </singleXmlCell>
  <singleXmlCell id="1412" xr6:uid="{00000000-000C-0000-FFFF-FFFF82050000}" r="D18" connectionId="0">
    <xmlCellPr id="1" xr6:uid="{00000000-0010-0000-8205-000001000000}" uniqueName="ns2:Team7Consec2">
      <xmlPr mapId="4" xpath="/ns2:ScoreSheet/ns2:Diff3/ns2:Team7Consec2" xmlDataType="string"/>
    </xmlCellPr>
  </singleXmlCell>
  <singleXmlCell id="1413" xr6:uid="{00000000-000C-0000-FFFF-FFFF83050000}" r="E18" connectionId="0">
    <xmlCellPr id="1" xr6:uid="{00000000-0010-0000-8305-000001000000}" uniqueName="ns2:Team7Consec3">
      <xmlPr mapId="4" xpath="/ns2:ScoreSheet/ns2:Diff3/ns2:Team7Consec3" xmlDataType="string"/>
    </xmlCellPr>
  </singleXmlCell>
  <singleXmlCell id="1414" xr6:uid="{00000000-000C-0000-FFFF-FFFF84050000}" r="F18" connectionId="0">
    <xmlCellPr id="1" xr6:uid="{00000000-0010-0000-8405-000001000000}" uniqueName="ns2:Team7Consec4">
      <xmlPr mapId="4" xpath="/ns2:ScoreSheet/ns2:Diff3/ns2:Team7Consec4" xmlDataType="string"/>
    </xmlCellPr>
  </singleXmlCell>
  <singleXmlCell id="1415" xr6:uid="{00000000-000C-0000-FFFF-FFFF85050000}" r="G18" connectionId="0">
    <xmlCellPr id="1" xr6:uid="{00000000-0010-0000-8505-000001000000}" uniqueName="ns2:Team7Consec5">
      <xmlPr mapId="4" xpath="/ns2:ScoreSheet/ns2:Diff3/ns2:Team7Consec5" xmlDataType="string"/>
    </xmlCellPr>
  </singleXmlCell>
  <singleXmlCell id="1416" xr6:uid="{00000000-000C-0000-FFFF-FFFF86050000}" r="H18" connectionId="0">
    <xmlCellPr id="1" xr6:uid="{00000000-0010-0000-8605-000001000000}" uniqueName="ns2:Team7Consec6">
      <xmlPr mapId="4" xpath="/ns2:ScoreSheet/ns2:Diff3/ns2:Team7Consec6" xmlDataType="string"/>
    </xmlCellPr>
  </singleXmlCell>
  <singleXmlCell id="1417" xr6:uid="{00000000-000C-0000-FFFF-FFFF87050000}" r="I18" connectionId="0">
    <xmlCellPr id="1" xr6:uid="{00000000-0010-0000-8705-000001000000}" uniqueName="ns2:Team7Consec7">
      <xmlPr mapId="4" xpath="/ns2:ScoreSheet/ns2:Diff3/ns2:Team7Consec7" xmlDataType="string"/>
    </xmlCellPr>
  </singleXmlCell>
  <singleXmlCell id="1418" xr6:uid="{00000000-000C-0000-FFFF-FFFF88050000}" r="J18" connectionId="0">
    <xmlCellPr id="1" xr6:uid="{00000000-0010-0000-8805-000001000000}" uniqueName="ns2:Team7Consec8">
      <xmlPr mapId="4" xpath="/ns2:ScoreSheet/ns2:Diff3/ns2:Team7Consec8" xmlDataType="string"/>
    </xmlCellPr>
  </singleXmlCell>
  <singleXmlCell id="1419" xr6:uid="{00000000-000C-0000-FFFF-FFFF89050000}" r="K18" connectionId="0">
    <xmlCellPr id="1" xr6:uid="{00000000-0010-0000-8905-000001000000}" uniqueName="ns2:Team7Consec9">
      <xmlPr mapId="4" xpath="/ns2:ScoreSheet/ns2:Diff3/ns2:Team7Consec9" xmlDataType="string"/>
    </xmlCellPr>
  </singleXmlCell>
  <singleXmlCell id="1420" xr6:uid="{00000000-000C-0000-FFFF-FFFF8A050000}" r="L18" connectionId="0">
    <xmlCellPr id="1" xr6:uid="{00000000-0010-0000-8A05-000001000000}" uniqueName="ns2:Team7Consec10">
      <xmlPr mapId="4" xpath="/ns2:ScoreSheet/ns2:Diff3/ns2:Team7Consec10" xmlDataType="string"/>
    </xmlCellPr>
  </singleXmlCell>
  <singleXmlCell id="1421" xr6:uid="{00000000-000C-0000-FFFF-FFFF8B050000}" r="M18" connectionId="0">
    <xmlCellPr id="1" xr6:uid="{00000000-0010-0000-8B05-000001000000}" uniqueName="ns2:Team7Consec11">
      <xmlPr mapId="4" xpath="/ns2:ScoreSheet/ns2:Diff3/ns2:Team7Consec11" xmlDataType="string"/>
    </xmlCellPr>
  </singleXmlCell>
  <singleXmlCell id="1422" xr6:uid="{00000000-000C-0000-FFFF-FFFF8C050000}" r="N18" connectionId="0">
    <xmlCellPr id="1" xr6:uid="{00000000-0010-0000-8C05-000001000000}" uniqueName="ns2:Team7Consec12">
      <xmlPr mapId="4" xpath="/ns2:ScoreSheet/ns2:Diff3/ns2:Team7Consec12" xmlDataType="string"/>
    </xmlCellPr>
  </singleXmlCell>
  <singleXmlCell id="1423" xr6:uid="{00000000-000C-0000-FFFF-FFFF8D050000}" r="O18" connectionId="0">
    <xmlCellPr id="1" xr6:uid="{00000000-0010-0000-8D05-000001000000}" uniqueName="ns2:Team7Consec13">
      <xmlPr mapId="4" xpath="/ns2:ScoreSheet/ns2:Diff3/ns2:Team7Consec13" xmlDataType="string"/>
    </xmlCellPr>
  </singleXmlCell>
  <singleXmlCell id="1424" xr6:uid="{00000000-000C-0000-FFFF-FFFF8E050000}" r="P18" connectionId="0">
    <xmlCellPr id="1" xr6:uid="{00000000-0010-0000-8E05-000001000000}" uniqueName="ns2:Team7Consec14">
      <xmlPr mapId="4" xpath="/ns2:ScoreSheet/ns2:Diff3/ns2:Team7Consec14" xmlDataType="string"/>
    </xmlCellPr>
  </singleXmlCell>
  <singleXmlCell id="1425" xr6:uid="{00000000-000C-0000-FFFF-FFFF8F050000}" r="Q18" connectionId="0">
    <xmlCellPr id="1" xr6:uid="{00000000-0010-0000-8F05-000001000000}" uniqueName="ns2:Team7Consec15">
      <xmlPr mapId="4" xpath="/ns2:ScoreSheet/ns2:Diff3/ns2:Team7Consec15" xmlDataType="string"/>
    </xmlCellPr>
  </singleXmlCell>
  <singleXmlCell id="1426" xr6:uid="{00000000-000C-0000-FFFF-FFFF90050000}" r="R18" connectionId="0">
    <xmlCellPr id="1" xr6:uid="{00000000-0010-0000-9005-000001000000}" uniqueName="ns2:Team7Consec16">
      <xmlPr mapId="4" xpath="/ns2:ScoreSheet/ns2:Diff3/ns2:Team7Consec16" xmlDataType="string"/>
    </xmlCellPr>
  </singleXmlCell>
  <singleXmlCell id="1427" xr6:uid="{00000000-000C-0000-FFFF-FFFF91050000}" r="S18" connectionId="0">
    <xmlCellPr id="1" xr6:uid="{00000000-0010-0000-9105-000001000000}" uniqueName="ns2:Team7Consec17">
      <xmlPr mapId="4" xpath="/ns2:ScoreSheet/ns2:Diff3/ns2:Team7Consec17" xmlDataType="string"/>
    </xmlCellPr>
  </singleXmlCell>
  <singleXmlCell id="1428" xr6:uid="{00000000-000C-0000-FFFF-FFFF92050000}" r="T18" connectionId="0">
    <xmlCellPr id="1" xr6:uid="{00000000-0010-0000-9205-000001000000}" uniqueName="ns2:Team7Consec18">
      <xmlPr mapId="4" xpath="/ns2:ScoreSheet/ns2:Diff3/ns2:Team7Consec18" xmlDataType="string"/>
    </xmlCellPr>
  </singleXmlCell>
  <singleXmlCell id="1429" xr6:uid="{00000000-000C-0000-FFFF-FFFF93050000}" r="U18" connectionId="0">
    <xmlCellPr id="1" xr6:uid="{00000000-0010-0000-9305-000001000000}" uniqueName="ns2:Team7Consec19">
      <xmlPr mapId="4" xpath="/ns2:ScoreSheet/ns2:Diff3/ns2:Team7Consec19" xmlDataType="string"/>
    </xmlCellPr>
  </singleXmlCell>
  <singleXmlCell id="1430" xr6:uid="{00000000-000C-0000-FFFF-FFFF94050000}" r="V18" connectionId="0">
    <xmlCellPr id="1" xr6:uid="{00000000-0010-0000-9405-000001000000}" uniqueName="ns2:Team7Consec20">
      <xmlPr mapId="4" xpath="/ns2:ScoreSheet/ns2:Diff3/ns2:Team7Consec20" xmlDataType="string"/>
    </xmlCellPr>
  </singleXmlCell>
  <singleXmlCell id="1431" xr6:uid="{00000000-000C-0000-FFFF-FFFF95050000}" r="C21" connectionId="0">
    <xmlCellPr id="1" xr6:uid="{00000000-0010-0000-9505-000001000000}" uniqueName="ns2:Team8Diff1">
      <xmlPr mapId="4" xpath="/ns2:ScoreSheet/ns2:Diff3/ns2:Team8Diff1" xmlDataType="decimal"/>
    </xmlCellPr>
  </singleXmlCell>
  <singleXmlCell id="1432" xr6:uid="{00000000-000C-0000-FFFF-FFFF96050000}" r="D21" connectionId="0">
    <xmlCellPr id="1" xr6:uid="{00000000-0010-0000-9605-000001000000}" uniqueName="ns2:Team8Diff2">
      <xmlPr mapId="4" xpath="/ns2:ScoreSheet/ns2:Diff3/ns2:Team8Diff2" xmlDataType="decimal"/>
    </xmlCellPr>
  </singleXmlCell>
  <singleXmlCell id="1433" xr6:uid="{00000000-000C-0000-FFFF-FFFF97050000}" r="E21" connectionId="0">
    <xmlCellPr id="1" xr6:uid="{00000000-0010-0000-9705-000001000000}" uniqueName="ns2:Team8Diff3">
      <xmlPr mapId="4" xpath="/ns2:ScoreSheet/ns2:Diff3/ns2:Team8Diff3" xmlDataType="decimal"/>
    </xmlCellPr>
  </singleXmlCell>
  <singleXmlCell id="1434" xr6:uid="{00000000-000C-0000-FFFF-FFFF98050000}" r="F21" connectionId="0">
    <xmlCellPr id="1" xr6:uid="{00000000-0010-0000-9805-000001000000}" uniqueName="ns2:Team8Diff4">
      <xmlPr mapId="4" xpath="/ns2:ScoreSheet/ns2:Diff3/ns2:Team8Diff4" xmlDataType="decimal"/>
    </xmlCellPr>
  </singleXmlCell>
  <singleXmlCell id="1435" xr6:uid="{00000000-000C-0000-FFFF-FFFF99050000}" r="G21" connectionId="0">
    <xmlCellPr id="1" xr6:uid="{00000000-0010-0000-9905-000001000000}" uniqueName="ns2:Team8Diff5">
      <xmlPr mapId="4" xpath="/ns2:ScoreSheet/ns2:Diff3/ns2:Team8Diff5" xmlDataType="decimal"/>
    </xmlCellPr>
  </singleXmlCell>
  <singleXmlCell id="1436" xr6:uid="{00000000-000C-0000-FFFF-FFFF9A050000}" r="H21" connectionId="0">
    <xmlCellPr id="1" xr6:uid="{00000000-0010-0000-9A05-000001000000}" uniqueName="ns2:Team8Diff6">
      <xmlPr mapId="4" xpath="/ns2:ScoreSheet/ns2:Diff3/ns2:Team8Diff6" xmlDataType="decimal"/>
    </xmlCellPr>
  </singleXmlCell>
  <singleXmlCell id="1437" xr6:uid="{00000000-000C-0000-FFFF-FFFF9B050000}" r="I21" connectionId="0">
    <xmlCellPr id="1" xr6:uid="{00000000-0010-0000-9B05-000001000000}" uniqueName="ns2:Team8Diff7">
      <xmlPr mapId="4" xpath="/ns2:ScoreSheet/ns2:Diff3/ns2:Team8Diff7" xmlDataType="decimal"/>
    </xmlCellPr>
  </singleXmlCell>
  <singleXmlCell id="1438" xr6:uid="{00000000-000C-0000-FFFF-FFFF9C050000}" r="J21" connectionId="0">
    <xmlCellPr id="1" xr6:uid="{00000000-0010-0000-9C05-000001000000}" uniqueName="ns2:Team8Diff8">
      <xmlPr mapId="4" xpath="/ns2:ScoreSheet/ns2:Diff3/ns2:Team8Diff8" xmlDataType="decimal"/>
    </xmlCellPr>
  </singleXmlCell>
  <singleXmlCell id="1439" xr6:uid="{00000000-000C-0000-FFFF-FFFF9D050000}" r="K21" connectionId="0">
    <xmlCellPr id="1" xr6:uid="{00000000-0010-0000-9D05-000001000000}" uniqueName="ns2:Team8Diff9">
      <xmlPr mapId="4" xpath="/ns2:ScoreSheet/ns2:Diff3/ns2:Team8Diff9" xmlDataType="decimal"/>
    </xmlCellPr>
  </singleXmlCell>
  <singleXmlCell id="1440" xr6:uid="{00000000-000C-0000-FFFF-FFFF9E050000}" r="L21" connectionId="0">
    <xmlCellPr id="1" xr6:uid="{00000000-0010-0000-9E05-000001000000}" uniqueName="ns2:Team8Diff10">
      <xmlPr mapId="4" xpath="/ns2:ScoreSheet/ns2:Diff3/ns2:Team8Diff10" xmlDataType="decimal"/>
    </xmlCellPr>
  </singleXmlCell>
  <singleXmlCell id="1441" xr6:uid="{00000000-000C-0000-FFFF-FFFF9F050000}" r="M21" connectionId="0">
    <xmlCellPr id="1" xr6:uid="{00000000-0010-0000-9F05-000001000000}" uniqueName="ns2:Team8Diff11">
      <xmlPr mapId="4" xpath="/ns2:ScoreSheet/ns2:Diff3/ns2:Team8Diff11" xmlDataType="decimal"/>
    </xmlCellPr>
  </singleXmlCell>
  <singleXmlCell id="1442" xr6:uid="{00000000-000C-0000-FFFF-FFFFA0050000}" r="N21" connectionId="0">
    <xmlCellPr id="1" xr6:uid="{00000000-0010-0000-A005-000001000000}" uniqueName="ns2:Team8Diff12">
      <xmlPr mapId="4" xpath="/ns2:ScoreSheet/ns2:Diff3/ns2:Team8Diff12" xmlDataType="decimal"/>
    </xmlCellPr>
  </singleXmlCell>
  <singleXmlCell id="1443" xr6:uid="{00000000-000C-0000-FFFF-FFFFA1050000}" r="O21" connectionId="0">
    <xmlCellPr id="1" xr6:uid="{00000000-0010-0000-A105-000001000000}" uniqueName="ns2:Team8Diff13">
      <xmlPr mapId="4" xpath="/ns2:ScoreSheet/ns2:Diff3/ns2:Team8Diff13" xmlDataType="decimal"/>
    </xmlCellPr>
  </singleXmlCell>
  <singleXmlCell id="1444" xr6:uid="{00000000-000C-0000-FFFF-FFFFA2050000}" r="P21" connectionId="0">
    <xmlCellPr id="1" xr6:uid="{00000000-0010-0000-A205-000001000000}" uniqueName="ns2:Team8Diff14">
      <xmlPr mapId="4" xpath="/ns2:ScoreSheet/ns2:Diff3/ns2:Team8Diff14" xmlDataType="decimal"/>
    </xmlCellPr>
  </singleXmlCell>
  <singleXmlCell id="1445" xr6:uid="{00000000-000C-0000-FFFF-FFFFA3050000}" r="Q21" connectionId="0">
    <xmlCellPr id="1" xr6:uid="{00000000-0010-0000-A305-000001000000}" uniqueName="ns2:Team8Diff15">
      <xmlPr mapId="4" xpath="/ns2:ScoreSheet/ns2:Diff3/ns2:Team8Diff15" xmlDataType="decimal"/>
    </xmlCellPr>
  </singleXmlCell>
  <singleXmlCell id="1446" xr6:uid="{00000000-000C-0000-FFFF-FFFFA4050000}" r="R21" connectionId="0">
    <xmlCellPr id="1" xr6:uid="{00000000-0010-0000-A405-000001000000}" uniqueName="ns2:Team8Diff16">
      <xmlPr mapId="4" xpath="/ns2:ScoreSheet/ns2:Diff3/ns2:Team8Diff16" xmlDataType="decimal"/>
    </xmlCellPr>
  </singleXmlCell>
  <singleXmlCell id="1447" xr6:uid="{00000000-000C-0000-FFFF-FFFFA5050000}" r="S21" connectionId="0">
    <xmlCellPr id="1" xr6:uid="{00000000-0010-0000-A505-000001000000}" uniqueName="ns2:Team8Diff17">
      <xmlPr mapId="4" xpath="/ns2:ScoreSheet/ns2:Diff3/ns2:Team8Diff17" xmlDataType="decimal"/>
    </xmlCellPr>
  </singleXmlCell>
  <singleXmlCell id="1448" xr6:uid="{00000000-000C-0000-FFFF-FFFFA6050000}" r="T21" connectionId="0">
    <xmlCellPr id="1" xr6:uid="{00000000-0010-0000-A605-000001000000}" uniqueName="ns2:Team8Diff18">
      <xmlPr mapId="4" xpath="/ns2:ScoreSheet/ns2:Diff3/ns2:Team8Diff18" xmlDataType="decimal"/>
    </xmlCellPr>
  </singleXmlCell>
  <singleXmlCell id="1449" xr6:uid="{00000000-000C-0000-FFFF-FFFFA7050000}" r="U21" connectionId="0">
    <xmlCellPr id="1" xr6:uid="{00000000-0010-0000-A705-000001000000}" uniqueName="ns2:Team8Diff19">
      <xmlPr mapId="4" xpath="/ns2:ScoreSheet/ns2:Diff3/ns2:Team8Diff19" xmlDataType="decimal"/>
    </xmlCellPr>
  </singleXmlCell>
  <singleXmlCell id="1450" xr6:uid="{00000000-000C-0000-FFFF-FFFFA8050000}" r="V21" connectionId="0">
    <xmlCellPr id="1" xr6:uid="{00000000-0010-0000-A805-000001000000}" uniqueName="ns2:Team8Diff20">
      <xmlPr mapId="4" xpath="/ns2:ScoreSheet/ns2:Diff3/ns2:Team8Diff20" xmlDataType="decimal"/>
    </xmlCellPr>
  </singleXmlCell>
  <singleXmlCell id="1451" xr6:uid="{00000000-000C-0000-FFFF-FFFFA9050000}" r="C20" connectionId="0">
    <xmlCellPr id="1" xr6:uid="{00000000-0010-0000-A905-000001000000}" uniqueName="ns2:Team8Consec1">
      <xmlPr mapId="4" xpath="/ns2:ScoreSheet/ns2:Diff3/ns2:Team8Consec1" xmlDataType="string"/>
    </xmlCellPr>
  </singleXmlCell>
  <singleXmlCell id="1452" xr6:uid="{00000000-000C-0000-FFFF-FFFFAA050000}" r="D20" connectionId="0">
    <xmlCellPr id="1" xr6:uid="{00000000-0010-0000-AA05-000001000000}" uniqueName="ns2:Team8Consec2">
      <xmlPr mapId="4" xpath="/ns2:ScoreSheet/ns2:Diff3/ns2:Team8Consec2" xmlDataType="string"/>
    </xmlCellPr>
  </singleXmlCell>
  <singleXmlCell id="1453" xr6:uid="{00000000-000C-0000-FFFF-FFFFAB050000}" r="E20" connectionId="0">
    <xmlCellPr id="1" xr6:uid="{00000000-0010-0000-AB05-000001000000}" uniqueName="ns2:Team8Consec3">
      <xmlPr mapId="4" xpath="/ns2:ScoreSheet/ns2:Diff3/ns2:Team8Consec3" xmlDataType="string"/>
    </xmlCellPr>
  </singleXmlCell>
  <singleXmlCell id="1454" xr6:uid="{00000000-000C-0000-FFFF-FFFFAC050000}" r="F20" connectionId="0">
    <xmlCellPr id="1" xr6:uid="{00000000-0010-0000-AC05-000001000000}" uniqueName="ns2:Team8Consec4">
      <xmlPr mapId="4" xpath="/ns2:ScoreSheet/ns2:Diff3/ns2:Team8Consec4" xmlDataType="string"/>
    </xmlCellPr>
  </singleXmlCell>
  <singleXmlCell id="1455" xr6:uid="{00000000-000C-0000-FFFF-FFFFAD050000}" r="G20" connectionId="0">
    <xmlCellPr id="1" xr6:uid="{00000000-0010-0000-AD05-000001000000}" uniqueName="ns2:Team8Consec5">
      <xmlPr mapId="4" xpath="/ns2:ScoreSheet/ns2:Diff3/ns2:Team8Consec5" xmlDataType="string"/>
    </xmlCellPr>
  </singleXmlCell>
  <singleXmlCell id="1456" xr6:uid="{00000000-000C-0000-FFFF-FFFFAE050000}" r="H20" connectionId="0">
    <xmlCellPr id="1" xr6:uid="{00000000-0010-0000-AE05-000001000000}" uniqueName="ns2:Team8Consec6">
      <xmlPr mapId="4" xpath="/ns2:ScoreSheet/ns2:Diff3/ns2:Team8Consec6" xmlDataType="string"/>
    </xmlCellPr>
  </singleXmlCell>
  <singleXmlCell id="1457" xr6:uid="{00000000-000C-0000-FFFF-FFFFAF050000}" r="I20" connectionId="0">
    <xmlCellPr id="1" xr6:uid="{00000000-0010-0000-AF05-000001000000}" uniqueName="ns2:Team8Consec7">
      <xmlPr mapId="4" xpath="/ns2:ScoreSheet/ns2:Diff3/ns2:Team8Consec7" xmlDataType="string"/>
    </xmlCellPr>
  </singleXmlCell>
  <singleXmlCell id="1458" xr6:uid="{00000000-000C-0000-FFFF-FFFFB0050000}" r="J20" connectionId="0">
    <xmlCellPr id="1" xr6:uid="{00000000-0010-0000-B005-000001000000}" uniqueName="ns2:Team8Consec8">
      <xmlPr mapId="4" xpath="/ns2:ScoreSheet/ns2:Diff3/ns2:Team8Consec8" xmlDataType="string"/>
    </xmlCellPr>
  </singleXmlCell>
  <singleXmlCell id="1459" xr6:uid="{00000000-000C-0000-FFFF-FFFFB1050000}" r="K20" connectionId="0">
    <xmlCellPr id="1" xr6:uid="{00000000-0010-0000-B105-000001000000}" uniqueName="ns2:Team8Consec9">
      <xmlPr mapId="4" xpath="/ns2:ScoreSheet/ns2:Diff3/ns2:Team8Consec9" xmlDataType="string"/>
    </xmlCellPr>
  </singleXmlCell>
  <singleXmlCell id="1460" xr6:uid="{00000000-000C-0000-FFFF-FFFFB2050000}" r="L20" connectionId="0">
    <xmlCellPr id="1" xr6:uid="{00000000-0010-0000-B205-000001000000}" uniqueName="ns2:Team8Consec10">
      <xmlPr mapId="4" xpath="/ns2:ScoreSheet/ns2:Diff3/ns2:Team8Consec10" xmlDataType="string"/>
    </xmlCellPr>
  </singleXmlCell>
  <singleXmlCell id="1461" xr6:uid="{00000000-000C-0000-FFFF-FFFFB3050000}" r="M20" connectionId="0">
    <xmlCellPr id="1" xr6:uid="{00000000-0010-0000-B305-000001000000}" uniqueName="ns2:Team8Consec11">
      <xmlPr mapId="4" xpath="/ns2:ScoreSheet/ns2:Diff3/ns2:Team8Consec11" xmlDataType="string"/>
    </xmlCellPr>
  </singleXmlCell>
  <singleXmlCell id="1462" xr6:uid="{00000000-000C-0000-FFFF-FFFFB4050000}" r="N20" connectionId="0">
    <xmlCellPr id="1" xr6:uid="{00000000-0010-0000-B405-000001000000}" uniqueName="ns2:Team8Consec12">
      <xmlPr mapId="4" xpath="/ns2:ScoreSheet/ns2:Diff3/ns2:Team8Consec12" xmlDataType="string"/>
    </xmlCellPr>
  </singleXmlCell>
  <singleXmlCell id="1463" xr6:uid="{00000000-000C-0000-FFFF-FFFFB5050000}" r="O20" connectionId="0">
    <xmlCellPr id="1" xr6:uid="{00000000-0010-0000-B505-000001000000}" uniqueName="ns2:Team8Consec13">
      <xmlPr mapId="4" xpath="/ns2:ScoreSheet/ns2:Diff3/ns2:Team8Consec13" xmlDataType="string"/>
    </xmlCellPr>
  </singleXmlCell>
  <singleXmlCell id="1464" xr6:uid="{00000000-000C-0000-FFFF-FFFFB6050000}" r="P20" connectionId="0">
    <xmlCellPr id="1" xr6:uid="{00000000-0010-0000-B605-000001000000}" uniqueName="ns2:Team8Consec14">
      <xmlPr mapId="4" xpath="/ns2:ScoreSheet/ns2:Diff3/ns2:Team8Consec14" xmlDataType="string"/>
    </xmlCellPr>
  </singleXmlCell>
  <singleXmlCell id="1465" xr6:uid="{00000000-000C-0000-FFFF-FFFFB7050000}" r="Q20" connectionId="0">
    <xmlCellPr id="1" xr6:uid="{00000000-0010-0000-B705-000001000000}" uniqueName="ns2:Team8Consec15">
      <xmlPr mapId="4" xpath="/ns2:ScoreSheet/ns2:Diff3/ns2:Team8Consec15" xmlDataType="string"/>
    </xmlCellPr>
  </singleXmlCell>
  <singleXmlCell id="1466" xr6:uid="{00000000-000C-0000-FFFF-FFFFB8050000}" r="R20" connectionId="0">
    <xmlCellPr id="1" xr6:uid="{00000000-0010-0000-B805-000001000000}" uniqueName="ns2:Team8Consec16">
      <xmlPr mapId="4" xpath="/ns2:ScoreSheet/ns2:Diff3/ns2:Team8Consec16" xmlDataType="string"/>
    </xmlCellPr>
  </singleXmlCell>
  <singleXmlCell id="1467" xr6:uid="{00000000-000C-0000-FFFF-FFFFB9050000}" r="S20" connectionId="0">
    <xmlCellPr id="1" xr6:uid="{00000000-0010-0000-B905-000001000000}" uniqueName="ns2:Team8Consec17">
      <xmlPr mapId="4" xpath="/ns2:ScoreSheet/ns2:Diff3/ns2:Team8Consec17" xmlDataType="string"/>
    </xmlCellPr>
  </singleXmlCell>
  <singleXmlCell id="1468" xr6:uid="{00000000-000C-0000-FFFF-FFFFBA050000}" r="T20" connectionId="0">
    <xmlCellPr id="1" xr6:uid="{00000000-0010-0000-BA05-000001000000}" uniqueName="ns2:Team8Consec18">
      <xmlPr mapId="4" xpath="/ns2:ScoreSheet/ns2:Diff3/ns2:Team8Consec18" xmlDataType="string"/>
    </xmlCellPr>
  </singleXmlCell>
  <singleXmlCell id="1469" xr6:uid="{00000000-000C-0000-FFFF-FFFFBB050000}" r="U20" connectionId="0">
    <xmlCellPr id="1" xr6:uid="{00000000-0010-0000-BB05-000001000000}" uniqueName="ns2:Team8Consec19">
      <xmlPr mapId="4" xpath="/ns2:ScoreSheet/ns2:Diff3/ns2:Team8Consec19" xmlDataType="string"/>
    </xmlCellPr>
  </singleXmlCell>
  <singleXmlCell id="1470" xr6:uid="{00000000-000C-0000-FFFF-FFFFBC050000}" r="V20" connectionId="0">
    <xmlCellPr id="1" xr6:uid="{00000000-0010-0000-BC05-000001000000}" uniqueName="ns2:Team8Consec20">
      <xmlPr mapId="4" xpath="/ns2:ScoreSheet/ns2:Diff3/ns2:Team8Consec20" xmlDataType="string"/>
    </xmlCellPr>
  </singleXmlCell>
  <singleXmlCell id="1471" xr6:uid="{00000000-000C-0000-FFFF-FFFFBD050000}" r="C23" connectionId="0">
    <xmlCellPr id="1" xr6:uid="{00000000-0010-0000-BD05-000001000000}" uniqueName="ns2:Team9Diff1">
      <xmlPr mapId="4" xpath="/ns2:ScoreSheet/ns2:Diff3/ns2:Team9Diff1" xmlDataType="decimal"/>
    </xmlCellPr>
  </singleXmlCell>
  <singleXmlCell id="1472" xr6:uid="{00000000-000C-0000-FFFF-FFFFBE050000}" r="D23" connectionId="0">
    <xmlCellPr id="1" xr6:uid="{00000000-0010-0000-BE05-000001000000}" uniqueName="ns2:Team9Diff2">
      <xmlPr mapId="4" xpath="/ns2:ScoreSheet/ns2:Diff3/ns2:Team9Diff2" xmlDataType="decimal"/>
    </xmlCellPr>
  </singleXmlCell>
  <singleXmlCell id="1473" xr6:uid="{00000000-000C-0000-FFFF-FFFFBF050000}" r="E23" connectionId="0">
    <xmlCellPr id="1" xr6:uid="{00000000-0010-0000-BF05-000001000000}" uniqueName="ns2:Team9Diff3">
      <xmlPr mapId="4" xpath="/ns2:ScoreSheet/ns2:Diff3/ns2:Team9Diff3" xmlDataType="decimal"/>
    </xmlCellPr>
  </singleXmlCell>
  <singleXmlCell id="1474" xr6:uid="{00000000-000C-0000-FFFF-FFFFC0050000}" r="F23" connectionId="0">
    <xmlCellPr id="1" xr6:uid="{00000000-0010-0000-C005-000001000000}" uniqueName="ns2:Team9Diff4">
      <xmlPr mapId="4" xpath="/ns2:ScoreSheet/ns2:Diff3/ns2:Team9Diff4" xmlDataType="decimal"/>
    </xmlCellPr>
  </singleXmlCell>
  <singleXmlCell id="1475" xr6:uid="{00000000-000C-0000-FFFF-FFFFC1050000}" r="G23" connectionId="0">
    <xmlCellPr id="1" xr6:uid="{00000000-0010-0000-C105-000001000000}" uniqueName="ns2:Team9Diff5">
      <xmlPr mapId="4" xpath="/ns2:ScoreSheet/ns2:Diff3/ns2:Team9Diff5" xmlDataType="decimal"/>
    </xmlCellPr>
  </singleXmlCell>
  <singleXmlCell id="1476" xr6:uid="{00000000-000C-0000-FFFF-FFFFC2050000}" r="H23" connectionId="0">
    <xmlCellPr id="1" xr6:uid="{00000000-0010-0000-C205-000001000000}" uniqueName="ns2:Team9Diff6">
      <xmlPr mapId="4" xpath="/ns2:ScoreSheet/ns2:Diff3/ns2:Team9Diff6" xmlDataType="decimal"/>
    </xmlCellPr>
  </singleXmlCell>
  <singleXmlCell id="1477" xr6:uid="{00000000-000C-0000-FFFF-FFFFC3050000}" r="I23" connectionId="0">
    <xmlCellPr id="1" xr6:uid="{00000000-0010-0000-C305-000001000000}" uniqueName="ns2:Team9Diff7">
      <xmlPr mapId="4" xpath="/ns2:ScoreSheet/ns2:Diff3/ns2:Team9Diff7" xmlDataType="decimal"/>
    </xmlCellPr>
  </singleXmlCell>
  <singleXmlCell id="1478" xr6:uid="{00000000-000C-0000-FFFF-FFFFC4050000}" r="J23" connectionId="0">
    <xmlCellPr id="1" xr6:uid="{00000000-0010-0000-C405-000001000000}" uniqueName="ns2:Team9Diff8">
      <xmlPr mapId="4" xpath="/ns2:ScoreSheet/ns2:Diff3/ns2:Team9Diff8" xmlDataType="decimal"/>
    </xmlCellPr>
  </singleXmlCell>
  <singleXmlCell id="1479" xr6:uid="{00000000-000C-0000-FFFF-FFFFC5050000}" r="K23" connectionId="0">
    <xmlCellPr id="1" xr6:uid="{00000000-0010-0000-C505-000001000000}" uniqueName="ns2:Team9Diff9">
      <xmlPr mapId="4" xpath="/ns2:ScoreSheet/ns2:Diff3/ns2:Team9Diff9" xmlDataType="decimal"/>
    </xmlCellPr>
  </singleXmlCell>
  <singleXmlCell id="1480" xr6:uid="{00000000-000C-0000-FFFF-FFFFC6050000}" r="L23" connectionId="0">
    <xmlCellPr id="1" xr6:uid="{00000000-0010-0000-C605-000001000000}" uniqueName="ns2:Team9Diff10">
      <xmlPr mapId="4" xpath="/ns2:ScoreSheet/ns2:Diff3/ns2:Team9Diff10" xmlDataType="decimal"/>
    </xmlCellPr>
  </singleXmlCell>
  <singleXmlCell id="1481" xr6:uid="{00000000-000C-0000-FFFF-FFFFC7050000}" r="M23" connectionId="0">
    <xmlCellPr id="1" xr6:uid="{00000000-0010-0000-C705-000001000000}" uniqueName="ns2:Team9Diff11">
      <xmlPr mapId="4" xpath="/ns2:ScoreSheet/ns2:Diff3/ns2:Team9Diff11" xmlDataType="decimal"/>
    </xmlCellPr>
  </singleXmlCell>
  <singleXmlCell id="1482" xr6:uid="{00000000-000C-0000-FFFF-FFFFC8050000}" r="N23" connectionId="0">
    <xmlCellPr id="1" xr6:uid="{00000000-0010-0000-C805-000001000000}" uniqueName="ns2:Team9Diff12">
      <xmlPr mapId="4" xpath="/ns2:ScoreSheet/ns2:Diff3/ns2:Team9Diff12" xmlDataType="decimal"/>
    </xmlCellPr>
  </singleXmlCell>
  <singleXmlCell id="1483" xr6:uid="{00000000-000C-0000-FFFF-FFFFC9050000}" r="O23" connectionId="0">
    <xmlCellPr id="1" xr6:uid="{00000000-0010-0000-C905-000001000000}" uniqueName="ns2:Team9Diff13">
      <xmlPr mapId="4" xpath="/ns2:ScoreSheet/ns2:Diff3/ns2:Team9Diff13" xmlDataType="decimal"/>
    </xmlCellPr>
  </singleXmlCell>
  <singleXmlCell id="1484" xr6:uid="{00000000-000C-0000-FFFF-FFFFCA050000}" r="P23" connectionId="0">
    <xmlCellPr id="1" xr6:uid="{00000000-0010-0000-CA05-000001000000}" uniqueName="ns2:Team9Diff14">
      <xmlPr mapId="4" xpath="/ns2:ScoreSheet/ns2:Diff3/ns2:Team9Diff14" xmlDataType="decimal"/>
    </xmlCellPr>
  </singleXmlCell>
  <singleXmlCell id="1485" xr6:uid="{00000000-000C-0000-FFFF-FFFFCB050000}" r="Q23" connectionId="0">
    <xmlCellPr id="1" xr6:uid="{00000000-0010-0000-CB05-000001000000}" uniqueName="ns2:Team9Diff15">
      <xmlPr mapId="4" xpath="/ns2:ScoreSheet/ns2:Diff3/ns2:Team9Diff15" xmlDataType="decimal"/>
    </xmlCellPr>
  </singleXmlCell>
  <singleXmlCell id="1486" xr6:uid="{00000000-000C-0000-FFFF-FFFFCC050000}" r="R23" connectionId="0">
    <xmlCellPr id="1" xr6:uid="{00000000-0010-0000-CC05-000001000000}" uniqueName="ns2:Team9Diff16">
      <xmlPr mapId="4" xpath="/ns2:ScoreSheet/ns2:Diff3/ns2:Team9Diff16" xmlDataType="decimal"/>
    </xmlCellPr>
  </singleXmlCell>
  <singleXmlCell id="1487" xr6:uid="{00000000-000C-0000-FFFF-FFFFCD050000}" r="S23" connectionId="0">
    <xmlCellPr id="1" xr6:uid="{00000000-0010-0000-CD05-000001000000}" uniqueName="ns2:Team9Diff17">
      <xmlPr mapId="4" xpath="/ns2:ScoreSheet/ns2:Diff3/ns2:Team9Diff17" xmlDataType="decimal"/>
    </xmlCellPr>
  </singleXmlCell>
  <singleXmlCell id="1488" xr6:uid="{00000000-000C-0000-FFFF-FFFFCE050000}" r="T23" connectionId="0">
    <xmlCellPr id="1" xr6:uid="{00000000-0010-0000-CE05-000001000000}" uniqueName="ns2:Team9Diff18">
      <xmlPr mapId="4" xpath="/ns2:ScoreSheet/ns2:Diff3/ns2:Team9Diff18" xmlDataType="decimal"/>
    </xmlCellPr>
  </singleXmlCell>
  <singleXmlCell id="1489" xr6:uid="{00000000-000C-0000-FFFF-FFFFCF050000}" r="U23" connectionId="0">
    <xmlCellPr id="1" xr6:uid="{00000000-0010-0000-CF05-000001000000}" uniqueName="ns2:Team9Diff19">
      <xmlPr mapId="4" xpath="/ns2:ScoreSheet/ns2:Diff3/ns2:Team9Diff19" xmlDataType="decimal"/>
    </xmlCellPr>
  </singleXmlCell>
  <singleXmlCell id="1490" xr6:uid="{00000000-000C-0000-FFFF-FFFFD0050000}" r="V23" connectionId="0">
    <xmlCellPr id="1" xr6:uid="{00000000-0010-0000-D005-000001000000}" uniqueName="ns2:Team9Diff20">
      <xmlPr mapId="4" xpath="/ns2:ScoreSheet/ns2:Diff3/ns2:Team9Diff20" xmlDataType="decimal"/>
    </xmlCellPr>
  </singleXmlCell>
  <singleXmlCell id="1491" xr6:uid="{00000000-000C-0000-FFFF-FFFFD1050000}" r="C22" connectionId="0">
    <xmlCellPr id="1" xr6:uid="{00000000-0010-0000-D105-000001000000}" uniqueName="ns2:Team9Consec1">
      <xmlPr mapId="4" xpath="/ns2:ScoreSheet/ns2:Diff3/ns2:Team9Consec1" xmlDataType="string"/>
    </xmlCellPr>
  </singleXmlCell>
  <singleXmlCell id="1492" xr6:uid="{00000000-000C-0000-FFFF-FFFFD2050000}" r="D22" connectionId="0">
    <xmlCellPr id="1" xr6:uid="{00000000-0010-0000-D205-000001000000}" uniqueName="ns2:Team9Consec2">
      <xmlPr mapId="4" xpath="/ns2:ScoreSheet/ns2:Diff3/ns2:Team9Consec2" xmlDataType="string"/>
    </xmlCellPr>
  </singleXmlCell>
  <singleXmlCell id="1493" xr6:uid="{00000000-000C-0000-FFFF-FFFFD3050000}" r="E22" connectionId="0">
    <xmlCellPr id="1" xr6:uid="{00000000-0010-0000-D305-000001000000}" uniqueName="ns2:Team9Consec3">
      <xmlPr mapId="4" xpath="/ns2:ScoreSheet/ns2:Diff3/ns2:Team9Consec3" xmlDataType="string"/>
    </xmlCellPr>
  </singleXmlCell>
  <singleXmlCell id="1494" xr6:uid="{00000000-000C-0000-FFFF-FFFFD4050000}" r="F22" connectionId="0">
    <xmlCellPr id="1" xr6:uid="{00000000-0010-0000-D405-000001000000}" uniqueName="ns2:Team9Consec4">
      <xmlPr mapId="4" xpath="/ns2:ScoreSheet/ns2:Diff3/ns2:Team9Consec4" xmlDataType="string"/>
    </xmlCellPr>
  </singleXmlCell>
  <singleXmlCell id="1495" xr6:uid="{00000000-000C-0000-FFFF-FFFFD5050000}" r="G22" connectionId="0">
    <xmlCellPr id="1" xr6:uid="{00000000-0010-0000-D505-000001000000}" uniqueName="ns2:Team9Consec5">
      <xmlPr mapId="4" xpath="/ns2:ScoreSheet/ns2:Diff3/ns2:Team9Consec5" xmlDataType="string"/>
    </xmlCellPr>
  </singleXmlCell>
  <singleXmlCell id="1496" xr6:uid="{00000000-000C-0000-FFFF-FFFFD6050000}" r="H22" connectionId="0">
    <xmlCellPr id="1" xr6:uid="{00000000-0010-0000-D605-000001000000}" uniqueName="ns2:Team9Consec6">
      <xmlPr mapId="4" xpath="/ns2:ScoreSheet/ns2:Diff3/ns2:Team9Consec6" xmlDataType="string"/>
    </xmlCellPr>
  </singleXmlCell>
  <singleXmlCell id="1497" xr6:uid="{00000000-000C-0000-FFFF-FFFFD7050000}" r="I22" connectionId="0">
    <xmlCellPr id="1" xr6:uid="{00000000-0010-0000-D705-000001000000}" uniqueName="ns2:Team9Consec7">
      <xmlPr mapId="4" xpath="/ns2:ScoreSheet/ns2:Diff3/ns2:Team9Consec7" xmlDataType="string"/>
    </xmlCellPr>
  </singleXmlCell>
  <singleXmlCell id="1498" xr6:uid="{00000000-000C-0000-FFFF-FFFFD8050000}" r="J22" connectionId="0">
    <xmlCellPr id="1" xr6:uid="{00000000-0010-0000-D805-000001000000}" uniqueName="ns2:Team9Consec8">
      <xmlPr mapId="4" xpath="/ns2:ScoreSheet/ns2:Diff3/ns2:Team9Consec8" xmlDataType="string"/>
    </xmlCellPr>
  </singleXmlCell>
  <singleXmlCell id="1499" xr6:uid="{00000000-000C-0000-FFFF-FFFFD9050000}" r="K22" connectionId="0">
    <xmlCellPr id="1" xr6:uid="{00000000-0010-0000-D905-000001000000}" uniqueName="ns2:Team9Consec9">
      <xmlPr mapId="4" xpath="/ns2:ScoreSheet/ns2:Diff3/ns2:Team9Consec9" xmlDataType="string"/>
    </xmlCellPr>
  </singleXmlCell>
  <singleXmlCell id="1500" xr6:uid="{00000000-000C-0000-FFFF-FFFFDA050000}" r="L22" connectionId="0">
    <xmlCellPr id="1" xr6:uid="{00000000-0010-0000-DA05-000001000000}" uniqueName="ns2:Team9Consec10">
      <xmlPr mapId="4" xpath="/ns2:ScoreSheet/ns2:Diff3/ns2:Team9Consec10" xmlDataType="string"/>
    </xmlCellPr>
  </singleXmlCell>
  <singleXmlCell id="1501" xr6:uid="{00000000-000C-0000-FFFF-FFFFDB050000}" r="M22" connectionId="0">
    <xmlCellPr id="1" xr6:uid="{00000000-0010-0000-DB05-000001000000}" uniqueName="ns2:Team9Consec11">
      <xmlPr mapId="4" xpath="/ns2:ScoreSheet/ns2:Diff3/ns2:Team9Consec11" xmlDataType="string"/>
    </xmlCellPr>
  </singleXmlCell>
  <singleXmlCell id="1502" xr6:uid="{00000000-000C-0000-FFFF-FFFFDC050000}" r="N22" connectionId="0">
    <xmlCellPr id="1" xr6:uid="{00000000-0010-0000-DC05-000001000000}" uniqueName="ns2:Team9Consec12">
      <xmlPr mapId="4" xpath="/ns2:ScoreSheet/ns2:Diff3/ns2:Team9Consec12" xmlDataType="string"/>
    </xmlCellPr>
  </singleXmlCell>
  <singleXmlCell id="1503" xr6:uid="{00000000-000C-0000-FFFF-FFFFDD050000}" r="O22" connectionId="0">
    <xmlCellPr id="1" xr6:uid="{00000000-0010-0000-DD05-000001000000}" uniqueName="ns2:Team9Consec13">
      <xmlPr mapId="4" xpath="/ns2:ScoreSheet/ns2:Diff3/ns2:Team9Consec13" xmlDataType="string"/>
    </xmlCellPr>
  </singleXmlCell>
  <singleXmlCell id="1504" xr6:uid="{00000000-000C-0000-FFFF-FFFFDE050000}" r="P22" connectionId="0">
    <xmlCellPr id="1" xr6:uid="{00000000-0010-0000-DE05-000001000000}" uniqueName="ns2:Team9Consec14">
      <xmlPr mapId="4" xpath="/ns2:ScoreSheet/ns2:Diff3/ns2:Team9Consec14" xmlDataType="string"/>
    </xmlCellPr>
  </singleXmlCell>
  <singleXmlCell id="1505" xr6:uid="{00000000-000C-0000-FFFF-FFFFDF050000}" r="Q22" connectionId="0">
    <xmlCellPr id="1" xr6:uid="{00000000-0010-0000-DF05-000001000000}" uniqueName="ns2:Team9Consec15">
      <xmlPr mapId="4" xpath="/ns2:ScoreSheet/ns2:Diff3/ns2:Team9Consec15" xmlDataType="string"/>
    </xmlCellPr>
  </singleXmlCell>
  <singleXmlCell id="1506" xr6:uid="{00000000-000C-0000-FFFF-FFFFE0050000}" r="R22" connectionId="0">
    <xmlCellPr id="1" xr6:uid="{00000000-0010-0000-E005-000001000000}" uniqueName="ns2:Team9Consec16">
      <xmlPr mapId="4" xpath="/ns2:ScoreSheet/ns2:Diff3/ns2:Team9Consec16" xmlDataType="string"/>
    </xmlCellPr>
  </singleXmlCell>
  <singleXmlCell id="1507" xr6:uid="{00000000-000C-0000-FFFF-FFFFE1050000}" r="S22" connectionId="0">
    <xmlCellPr id="1" xr6:uid="{00000000-0010-0000-E105-000001000000}" uniqueName="ns2:Team9Consec17">
      <xmlPr mapId="4" xpath="/ns2:ScoreSheet/ns2:Diff3/ns2:Team9Consec17" xmlDataType="string"/>
    </xmlCellPr>
  </singleXmlCell>
  <singleXmlCell id="1508" xr6:uid="{00000000-000C-0000-FFFF-FFFFE2050000}" r="T22" connectionId="0">
    <xmlCellPr id="1" xr6:uid="{00000000-0010-0000-E205-000001000000}" uniqueName="ns2:Team9Consec18">
      <xmlPr mapId="4" xpath="/ns2:ScoreSheet/ns2:Diff3/ns2:Team9Consec18" xmlDataType="string"/>
    </xmlCellPr>
  </singleXmlCell>
  <singleXmlCell id="1509" xr6:uid="{00000000-000C-0000-FFFF-FFFFE3050000}" r="U22" connectionId="0">
    <xmlCellPr id="1" xr6:uid="{00000000-0010-0000-E305-000001000000}" uniqueName="ns2:Team9Consec19">
      <xmlPr mapId="4" xpath="/ns2:ScoreSheet/ns2:Diff3/ns2:Team9Consec19" xmlDataType="string"/>
    </xmlCellPr>
  </singleXmlCell>
  <singleXmlCell id="1510" xr6:uid="{00000000-000C-0000-FFFF-FFFFE4050000}" r="V22" connectionId="0">
    <xmlCellPr id="1" xr6:uid="{00000000-0010-0000-E405-000001000000}" uniqueName="ns2:Team9Consec20">
      <xmlPr mapId="4" xpath="/ns2:ScoreSheet/ns2:Diff3/ns2:Team9Consec20" xmlDataType="string"/>
    </xmlCellPr>
  </singleXmlCell>
  <singleXmlCell id="1511" xr6:uid="{00000000-000C-0000-FFFF-FFFFE5050000}" r="C25" connectionId="0">
    <xmlCellPr id="1" xr6:uid="{00000000-0010-0000-E505-000001000000}" uniqueName="ns2:Team10Diff1">
      <xmlPr mapId="4" xpath="/ns2:ScoreSheet/ns2:Diff3/ns2:Team10Diff1" xmlDataType="decimal"/>
    </xmlCellPr>
  </singleXmlCell>
  <singleXmlCell id="1512" xr6:uid="{00000000-000C-0000-FFFF-FFFFE6050000}" r="D25" connectionId="0">
    <xmlCellPr id="1" xr6:uid="{00000000-0010-0000-E605-000001000000}" uniqueName="ns2:Team10Diff2">
      <xmlPr mapId="4" xpath="/ns2:ScoreSheet/ns2:Diff3/ns2:Team10Diff2" xmlDataType="decimal"/>
    </xmlCellPr>
  </singleXmlCell>
  <singleXmlCell id="1513" xr6:uid="{00000000-000C-0000-FFFF-FFFFE7050000}" r="E25" connectionId="0">
    <xmlCellPr id="1" xr6:uid="{00000000-0010-0000-E705-000001000000}" uniqueName="ns2:Team10Diff3">
      <xmlPr mapId="4" xpath="/ns2:ScoreSheet/ns2:Diff3/ns2:Team10Diff3" xmlDataType="decimal"/>
    </xmlCellPr>
  </singleXmlCell>
  <singleXmlCell id="1514" xr6:uid="{00000000-000C-0000-FFFF-FFFFE8050000}" r="F25" connectionId="0">
    <xmlCellPr id="1" xr6:uid="{00000000-0010-0000-E805-000001000000}" uniqueName="ns2:Team10Diff4">
      <xmlPr mapId="4" xpath="/ns2:ScoreSheet/ns2:Diff3/ns2:Team10Diff4" xmlDataType="decimal"/>
    </xmlCellPr>
  </singleXmlCell>
  <singleXmlCell id="1515" xr6:uid="{00000000-000C-0000-FFFF-FFFFE9050000}" r="G25" connectionId="0">
    <xmlCellPr id="1" xr6:uid="{00000000-0010-0000-E905-000001000000}" uniqueName="ns2:Team10Diff5">
      <xmlPr mapId="4" xpath="/ns2:ScoreSheet/ns2:Diff3/ns2:Team10Diff5" xmlDataType="decimal"/>
    </xmlCellPr>
  </singleXmlCell>
  <singleXmlCell id="1516" xr6:uid="{00000000-000C-0000-FFFF-FFFFEA050000}" r="H25" connectionId="0">
    <xmlCellPr id="1" xr6:uid="{00000000-0010-0000-EA05-000001000000}" uniqueName="ns2:Team10Diff6">
      <xmlPr mapId="4" xpath="/ns2:ScoreSheet/ns2:Diff3/ns2:Team10Diff6" xmlDataType="decimal"/>
    </xmlCellPr>
  </singleXmlCell>
  <singleXmlCell id="1517" xr6:uid="{00000000-000C-0000-FFFF-FFFFEB050000}" r="I25" connectionId="0">
    <xmlCellPr id="1" xr6:uid="{00000000-0010-0000-EB05-000001000000}" uniqueName="ns2:Team10Diff7">
      <xmlPr mapId="4" xpath="/ns2:ScoreSheet/ns2:Diff3/ns2:Team10Diff7" xmlDataType="decimal"/>
    </xmlCellPr>
  </singleXmlCell>
  <singleXmlCell id="1518" xr6:uid="{00000000-000C-0000-FFFF-FFFFEC050000}" r="J25" connectionId="0">
    <xmlCellPr id="1" xr6:uid="{00000000-0010-0000-EC05-000001000000}" uniqueName="ns2:Team10Diff8">
      <xmlPr mapId="4" xpath="/ns2:ScoreSheet/ns2:Diff3/ns2:Team10Diff8" xmlDataType="decimal"/>
    </xmlCellPr>
  </singleXmlCell>
  <singleXmlCell id="1519" xr6:uid="{00000000-000C-0000-FFFF-FFFFED050000}" r="K25" connectionId="0">
    <xmlCellPr id="1" xr6:uid="{00000000-0010-0000-ED05-000001000000}" uniqueName="ns2:Team10Diff9">
      <xmlPr mapId="4" xpath="/ns2:ScoreSheet/ns2:Diff3/ns2:Team10Diff9" xmlDataType="decimal"/>
    </xmlCellPr>
  </singleXmlCell>
  <singleXmlCell id="1520" xr6:uid="{00000000-000C-0000-FFFF-FFFFEE050000}" r="L25" connectionId="0">
    <xmlCellPr id="1" xr6:uid="{00000000-0010-0000-EE05-000001000000}" uniqueName="ns2:Team10Diff10">
      <xmlPr mapId="4" xpath="/ns2:ScoreSheet/ns2:Diff3/ns2:Team10Diff10" xmlDataType="decimal"/>
    </xmlCellPr>
  </singleXmlCell>
  <singleXmlCell id="1521" xr6:uid="{00000000-000C-0000-FFFF-FFFFEF050000}" r="M25" connectionId="0">
    <xmlCellPr id="1" xr6:uid="{00000000-0010-0000-EF05-000001000000}" uniqueName="ns2:Team10Diff11">
      <xmlPr mapId="4" xpath="/ns2:ScoreSheet/ns2:Diff3/ns2:Team10Diff11" xmlDataType="decimal"/>
    </xmlCellPr>
  </singleXmlCell>
  <singleXmlCell id="1522" xr6:uid="{00000000-000C-0000-FFFF-FFFFF0050000}" r="N25" connectionId="0">
    <xmlCellPr id="1" xr6:uid="{00000000-0010-0000-F005-000001000000}" uniqueName="ns2:Team10Diff12">
      <xmlPr mapId="4" xpath="/ns2:ScoreSheet/ns2:Diff3/ns2:Team10Diff12" xmlDataType="decimal"/>
    </xmlCellPr>
  </singleXmlCell>
  <singleXmlCell id="1523" xr6:uid="{00000000-000C-0000-FFFF-FFFFF1050000}" r="O25" connectionId="0">
    <xmlCellPr id="1" xr6:uid="{00000000-0010-0000-F105-000001000000}" uniqueName="ns2:Team10Diff13">
      <xmlPr mapId="4" xpath="/ns2:ScoreSheet/ns2:Diff3/ns2:Team10Diff13" xmlDataType="decimal"/>
    </xmlCellPr>
  </singleXmlCell>
  <singleXmlCell id="1524" xr6:uid="{00000000-000C-0000-FFFF-FFFFF2050000}" r="P25" connectionId="0">
    <xmlCellPr id="1" xr6:uid="{00000000-0010-0000-F205-000001000000}" uniqueName="ns2:Team10Diff14">
      <xmlPr mapId="4" xpath="/ns2:ScoreSheet/ns2:Diff3/ns2:Team10Diff14" xmlDataType="decimal"/>
    </xmlCellPr>
  </singleXmlCell>
  <singleXmlCell id="1525" xr6:uid="{00000000-000C-0000-FFFF-FFFFF3050000}" r="Q25" connectionId="0">
    <xmlCellPr id="1" xr6:uid="{00000000-0010-0000-F305-000001000000}" uniqueName="ns2:Team10Diff15">
      <xmlPr mapId="4" xpath="/ns2:ScoreSheet/ns2:Diff3/ns2:Team10Diff15" xmlDataType="decimal"/>
    </xmlCellPr>
  </singleXmlCell>
  <singleXmlCell id="1526" xr6:uid="{00000000-000C-0000-FFFF-FFFFF4050000}" r="R25" connectionId="0">
    <xmlCellPr id="1" xr6:uid="{00000000-0010-0000-F405-000001000000}" uniqueName="ns2:Team10Diff16">
      <xmlPr mapId="4" xpath="/ns2:ScoreSheet/ns2:Diff3/ns2:Team10Diff16" xmlDataType="decimal"/>
    </xmlCellPr>
  </singleXmlCell>
  <singleXmlCell id="1527" xr6:uid="{00000000-000C-0000-FFFF-FFFFF5050000}" r="S25" connectionId="0">
    <xmlCellPr id="1" xr6:uid="{00000000-0010-0000-F505-000001000000}" uniqueName="ns2:Team10Diff17">
      <xmlPr mapId="4" xpath="/ns2:ScoreSheet/ns2:Diff3/ns2:Team10Diff17" xmlDataType="decimal"/>
    </xmlCellPr>
  </singleXmlCell>
  <singleXmlCell id="1528" xr6:uid="{00000000-000C-0000-FFFF-FFFFF6050000}" r="T25" connectionId="0">
    <xmlCellPr id="1" xr6:uid="{00000000-0010-0000-F605-000001000000}" uniqueName="ns2:Team10Diff18">
      <xmlPr mapId="4" xpath="/ns2:ScoreSheet/ns2:Diff3/ns2:Team10Diff18" xmlDataType="decimal"/>
    </xmlCellPr>
  </singleXmlCell>
  <singleXmlCell id="1529" xr6:uid="{00000000-000C-0000-FFFF-FFFFF7050000}" r="U25" connectionId="0">
    <xmlCellPr id="1" xr6:uid="{00000000-0010-0000-F705-000001000000}" uniqueName="ns2:Team10Diff19">
      <xmlPr mapId="4" xpath="/ns2:ScoreSheet/ns2:Diff3/ns2:Team10Diff19" xmlDataType="decimal"/>
    </xmlCellPr>
  </singleXmlCell>
  <singleXmlCell id="1530" xr6:uid="{00000000-000C-0000-FFFF-FFFFF8050000}" r="V25" connectionId="0">
    <xmlCellPr id="1" xr6:uid="{00000000-0010-0000-F805-000001000000}" uniqueName="ns2:Team10Diff20">
      <xmlPr mapId="4" xpath="/ns2:ScoreSheet/ns2:Diff3/ns2:Team10Diff20" xmlDataType="decimal"/>
    </xmlCellPr>
  </singleXmlCell>
  <singleXmlCell id="1531" xr6:uid="{00000000-000C-0000-FFFF-FFFFF9050000}" r="C24" connectionId="0">
    <xmlCellPr id="1" xr6:uid="{00000000-0010-0000-F905-000001000000}" uniqueName="ns2:Team10Consec1">
      <xmlPr mapId="4" xpath="/ns2:ScoreSheet/ns2:Diff3/ns2:Team10Consec1" xmlDataType="string"/>
    </xmlCellPr>
  </singleXmlCell>
  <singleXmlCell id="1532" xr6:uid="{00000000-000C-0000-FFFF-FFFFFA050000}" r="D24" connectionId="0">
    <xmlCellPr id="1" xr6:uid="{00000000-0010-0000-FA05-000001000000}" uniqueName="ns2:Team10Consec2">
      <xmlPr mapId="4" xpath="/ns2:ScoreSheet/ns2:Diff3/ns2:Team10Consec2" xmlDataType="string"/>
    </xmlCellPr>
  </singleXmlCell>
  <singleXmlCell id="1533" xr6:uid="{00000000-000C-0000-FFFF-FFFFFB050000}" r="E24" connectionId="0">
    <xmlCellPr id="1" xr6:uid="{00000000-0010-0000-FB05-000001000000}" uniqueName="ns2:Team10Consec3">
      <xmlPr mapId="4" xpath="/ns2:ScoreSheet/ns2:Diff3/ns2:Team10Consec3" xmlDataType="string"/>
    </xmlCellPr>
  </singleXmlCell>
  <singleXmlCell id="1534" xr6:uid="{00000000-000C-0000-FFFF-FFFFFC050000}" r="F24" connectionId="0">
    <xmlCellPr id="1" xr6:uid="{00000000-0010-0000-FC05-000001000000}" uniqueName="ns2:Team10Consec4">
      <xmlPr mapId="4" xpath="/ns2:ScoreSheet/ns2:Diff3/ns2:Team10Consec4" xmlDataType="string"/>
    </xmlCellPr>
  </singleXmlCell>
  <singleXmlCell id="1535" xr6:uid="{00000000-000C-0000-FFFF-FFFFFD050000}" r="G24" connectionId="0">
    <xmlCellPr id="1" xr6:uid="{00000000-0010-0000-FD05-000001000000}" uniqueName="ns2:Team10Consec5">
      <xmlPr mapId="4" xpath="/ns2:ScoreSheet/ns2:Diff3/ns2:Team10Consec5" xmlDataType="string"/>
    </xmlCellPr>
  </singleXmlCell>
  <singleXmlCell id="1536" xr6:uid="{00000000-000C-0000-FFFF-FFFFFE050000}" r="H24" connectionId="0">
    <xmlCellPr id="1" xr6:uid="{00000000-0010-0000-FE05-000001000000}" uniqueName="ns2:Team10Consec6">
      <xmlPr mapId="4" xpath="/ns2:ScoreSheet/ns2:Diff3/ns2:Team10Consec6" xmlDataType="string"/>
    </xmlCellPr>
  </singleXmlCell>
  <singleXmlCell id="1537" xr6:uid="{00000000-000C-0000-FFFF-FFFFFF050000}" r="I24" connectionId="0">
    <xmlCellPr id="1" xr6:uid="{00000000-0010-0000-FF05-000001000000}" uniqueName="ns2:Team10Consec7">
      <xmlPr mapId="4" xpath="/ns2:ScoreSheet/ns2:Diff3/ns2:Team10Consec7" xmlDataType="string"/>
    </xmlCellPr>
  </singleXmlCell>
  <singleXmlCell id="1538" xr6:uid="{00000000-000C-0000-FFFF-FFFF00060000}" r="J24" connectionId="0">
    <xmlCellPr id="1" xr6:uid="{00000000-0010-0000-0006-000001000000}" uniqueName="ns2:Team10Consec8">
      <xmlPr mapId="4" xpath="/ns2:ScoreSheet/ns2:Diff3/ns2:Team10Consec8" xmlDataType="string"/>
    </xmlCellPr>
  </singleXmlCell>
  <singleXmlCell id="1539" xr6:uid="{00000000-000C-0000-FFFF-FFFF01060000}" r="K24" connectionId="0">
    <xmlCellPr id="1" xr6:uid="{00000000-0010-0000-0106-000001000000}" uniqueName="ns2:Team10Consec9">
      <xmlPr mapId="4" xpath="/ns2:ScoreSheet/ns2:Diff3/ns2:Team10Consec9" xmlDataType="string"/>
    </xmlCellPr>
  </singleXmlCell>
  <singleXmlCell id="1540" xr6:uid="{00000000-000C-0000-FFFF-FFFF02060000}" r="L24" connectionId="0">
    <xmlCellPr id="1" xr6:uid="{00000000-0010-0000-0206-000001000000}" uniqueName="ns2:Team10Consec10">
      <xmlPr mapId="4" xpath="/ns2:ScoreSheet/ns2:Diff3/ns2:Team10Consec10" xmlDataType="string"/>
    </xmlCellPr>
  </singleXmlCell>
  <singleXmlCell id="1541" xr6:uid="{00000000-000C-0000-FFFF-FFFF03060000}" r="M24" connectionId="0">
    <xmlCellPr id="1" xr6:uid="{00000000-0010-0000-0306-000001000000}" uniqueName="ns2:Team10Consec11">
      <xmlPr mapId="4" xpath="/ns2:ScoreSheet/ns2:Diff3/ns2:Team10Consec11" xmlDataType="string"/>
    </xmlCellPr>
  </singleXmlCell>
  <singleXmlCell id="1542" xr6:uid="{00000000-000C-0000-FFFF-FFFF04060000}" r="N24" connectionId="0">
    <xmlCellPr id="1" xr6:uid="{00000000-0010-0000-0406-000001000000}" uniqueName="ns2:Team10Consec12">
      <xmlPr mapId="4" xpath="/ns2:ScoreSheet/ns2:Diff3/ns2:Team10Consec12" xmlDataType="string"/>
    </xmlCellPr>
  </singleXmlCell>
  <singleXmlCell id="1543" xr6:uid="{00000000-000C-0000-FFFF-FFFF05060000}" r="O24" connectionId="0">
    <xmlCellPr id="1" xr6:uid="{00000000-0010-0000-0506-000001000000}" uniqueName="ns2:Team10Consec13">
      <xmlPr mapId="4" xpath="/ns2:ScoreSheet/ns2:Diff3/ns2:Team10Consec13" xmlDataType="string"/>
    </xmlCellPr>
  </singleXmlCell>
  <singleXmlCell id="1544" xr6:uid="{00000000-000C-0000-FFFF-FFFF06060000}" r="P24" connectionId="0">
    <xmlCellPr id="1" xr6:uid="{00000000-0010-0000-0606-000001000000}" uniqueName="ns2:Team10Consec14">
      <xmlPr mapId="4" xpath="/ns2:ScoreSheet/ns2:Diff3/ns2:Team10Consec14" xmlDataType="string"/>
    </xmlCellPr>
  </singleXmlCell>
  <singleXmlCell id="1545" xr6:uid="{00000000-000C-0000-FFFF-FFFF07060000}" r="Q24" connectionId="0">
    <xmlCellPr id="1" xr6:uid="{00000000-0010-0000-0706-000001000000}" uniqueName="ns2:Team10Consec15">
      <xmlPr mapId="4" xpath="/ns2:ScoreSheet/ns2:Diff3/ns2:Team10Consec15" xmlDataType="string"/>
    </xmlCellPr>
  </singleXmlCell>
  <singleXmlCell id="1546" xr6:uid="{00000000-000C-0000-FFFF-FFFF08060000}" r="R24" connectionId="0">
    <xmlCellPr id="1" xr6:uid="{00000000-0010-0000-0806-000001000000}" uniqueName="ns2:Team10Consec16">
      <xmlPr mapId="4" xpath="/ns2:ScoreSheet/ns2:Diff3/ns2:Team10Consec16" xmlDataType="string"/>
    </xmlCellPr>
  </singleXmlCell>
  <singleXmlCell id="1547" xr6:uid="{00000000-000C-0000-FFFF-FFFF09060000}" r="S24" connectionId="0">
    <xmlCellPr id="1" xr6:uid="{00000000-0010-0000-0906-000001000000}" uniqueName="ns2:Team10Consec17">
      <xmlPr mapId="4" xpath="/ns2:ScoreSheet/ns2:Diff3/ns2:Team10Consec17" xmlDataType="string"/>
    </xmlCellPr>
  </singleXmlCell>
  <singleXmlCell id="1548" xr6:uid="{00000000-000C-0000-FFFF-FFFF0A060000}" r="T24" connectionId="0">
    <xmlCellPr id="1" xr6:uid="{00000000-0010-0000-0A06-000001000000}" uniqueName="ns2:Team10Consec18">
      <xmlPr mapId="4" xpath="/ns2:ScoreSheet/ns2:Diff3/ns2:Team10Consec18" xmlDataType="string"/>
    </xmlCellPr>
  </singleXmlCell>
  <singleXmlCell id="1549" xr6:uid="{00000000-000C-0000-FFFF-FFFF0B060000}" r="U24" connectionId="0">
    <xmlCellPr id="1" xr6:uid="{00000000-0010-0000-0B06-000001000000}" uniqueName="ns2:Team10Consec19">
      <xmlPr mapId="4" xpath="/ns2:ScoreSheet/ns2:Diff3/ns2:Team10Consec19" xmlDataType="string"/>
    </xmlCellPr>
  </singleXmlCell>
  <singleXmlCell id="1550" xr6:uid="{00000000-000C-0000-FFFF-FFFF0C060000}" r="V24" connectionId="0">
    <xmlCellPr id="1" xr6:uid="{00000000-0010-0000-0C06-000001000000}" uniqueName="ns2:Team10Consec20">
      <xmlPr mapId="4" xpath="/ns2:ScoreSheet/ns2:Diff3/ns2:Team10Consec20" xmlDataType="string"/>
    </xmlCellPr>
  </singleXmlCell>
</singleXmlCell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2.xml"/><Relationship Id="rId13" Type="http://schemas.openxmlformats.org/officeDocument/2006/relationships/image" Target="../media/image4.emf"/><Relationship Id="rId18" Type="http://schemas.openxmlformats.org/officeDocument/2006/relationships/control" Target="../activeX/activeX7.xml"/><Relationship Id="rId3" Type="http://schemas.openxmlformats.org/officeDocument/2006/relationships/printerSettings" Target="../printerSettings/printerSettings1.bin"/><Relationship Id="rId7" Type="http://schemas.openxmlformats.org/officeDocument/2006/relationships/image" Target="../media/image1.emf"/><Relationship Id="rId12" Type="http://schemas.openxmlformats.org/officeDocument/2006/relationships/control" Target="../activeX/activeX4.xml"/><Relationship Id="rId17" Type="http://schemas.openxmlformats.org/officeDocument/2006/relationships/image" Target="../media/image6.emf"/><Relationship Id="rId2" Type="http://schemas.openxmlformats.org/officeDocument/2006/relationships/hyperlink" Target="mailto:freestyle_ranking@googlegroups.com?subject=Results:%20%3cTournament%20Name%3e" TargetMode="External"/><Relationship Id="rId16" Type="http://schemas.openxmlformats.org/officeDocument/2006/relationships/control" Target="../activeX/activeX6.xml"/><Relationship Id="rId1" Type="http://schemas.openxmlformats.org/officeDocument/2006/relationships/hyperlink" Target="mailto:flo@freestylefrisbee.de?subject=FPA%20Scoresheets:%20" TargetMode="External"/><Relationship Id="rId6" Type="http://schemas.openxmlformats.org/officeDocument/2006/relationships/control" Target="../activeX/activeX1.xml"/><Relationship Id="rId11" Type="http://schemas.openxmlformats.org/officeDocument/2006/relationships/image" Target="../media/image3.emf"/><Relationship Id="rId5" Type="http://schemas.openxmlformats.org/officeDocument/2006/relationships/vmlDrawing" Target="../drawings/vmlDrawing1.vml"/><Relationship Id="rId15" Type="http://schemas.openxmlformats.org/officeDocument/2006/relationships/image" Target="../media/image5.emf"/><Relationship Id="rId10" Type="http://schemas.openxmlformats.org/officeDocument/2006/relationships/control" Target="../activeX/activeX3.xml"/><Relationship Id="rId19" Type="http://schemas.openxmlformats.org/officeDocument/2006/relationships/image" Target="../media/image7.emf"/><Relationship Id="rId4" Type="http://schemas.openxmlformats.org/officeDocument/2006/relationships/drawing" Target="../drawings/drawing1.xml"/><Relationship Id="rId9" Type="http://schemas.openxmlformats.org/officeDocument/2006/relationships/image" Target="../media/image2.emf"/><Relationship Id="rId14" Type="http://schemas.openxmlformats.org/officeDocument/2006/relationships/control" Target="../activeX/activeX5.xm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2.vml"/><Relationship Id="rId7" Type="http://schemas.openxmlformats.org/officeDocument/2006/relationships/tableSingleCells" Target="../tables/tableSingleCell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image" Target="../media/image8.emf"/><Relationship Id="rId5" Type="http://schemas.openxmlformats.org/officeDocument/2006/relationships/control" Target="../activeX/activeX8.xml"/><Relationship Id="rId4" Type="http://schemas.openxmlformats.org/officeDocument/2006/relationships/vmlDrawing" Target="../drawings/vmlDrawing3.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vmlDrawing" Target="../drawings/vmlDrawing4.v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tableSingleCells" Target="../tables/tableSingleCells2.xml"/></Relationships>
</file>

<file path=xl/worksheets/_rels/sheet4.xml.rels><?xml version="1.0" encoding="UTF-8" standalone="yes"?>
<Relationships xmlns="http://schemas.openxmlformats.org/package/2006/relationships"><Relationship Id="rId3" Type="http://schemas.openxmlformats.org/officeDocument/2006/relationships/tableSingleCells" Target="../tables/tableSingleCells3.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SingleCells" Target="../tables/tableSingleCells4.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SingleCells" Target="../tables/tableSingleCells5.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SingleCells" Target="../tables/tableSingleCells6.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SingleCells" Target="../tables/tableSingleCells7.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SingleCells" Target="../tables/tableSingleCells8.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SingleCells" Target="../tables/tableSingleCells9.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SingleCells" Target="../tables/tableSingleCells10.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15.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3.xml"/><Relationship Id="rId1" Type="http://schemas.openxmlformats.org/officeDocument/2006/relationships/printerSettings" Target="../printerSettings/printerSettings17.bin"/><Relationship Id="rId6" Type="http://schemas.openxmlformats.org/officeDocument/2006/relationships/table" Target="../tables/table1.xml"/><Relationship Id="rId5" Type="http://schemas.openxmlformats.org/officeDocument/2006/relationships/image" Target="../media/image11.emf"/><Relationship Id="rId4" Type="http://schemas.openxmlformats.org/officeDocument/2006/relationships/control" Target="../activeX/activeX9.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mailto:freestyle_ranking@googlegroups.com?subject=Results:%20%3cTournament%20Name%3e" TargetMode="External"/><Relationship Id="rId1" Type="http://schemas.openxmlformats.org/officeDocument/2006/relationships/hyperlink" Target="mailto:freestyle_ranking@googlegroups.com?subject=Results:%20%3cTournament%20Name%3e" TargetMode="External"/><Relationship Id="rId5" Type="http://schemas.openxmlformats.org/officeDocument/2006/relationships/vmlDrawing" Target="../drawings/vmlDrawing17.vml"/><Relationship Id="rId4" Type="http://schemas.openxmlformats.org/officeDocument/2006/relationships/drawing" Target="../drawings/drawing4.xml"/></Relationships>
</file>

<file path=xl/worksheets/_rels/sheet20.xml.rels><?xml version="1.0" encoding="UTF-8" standalone="yes"?>
<Relationships xmlns="http://schemas.openxmlformats.org/package/2006/relationships"><Relationship Id="rId2" Type="http://schemas.openxmlformats.org/officeDocument/2006/relationships/vmlDrawing" Target="../drawings/vmlDrawing18.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ettings"/>
  <dimension ref="A1:C25"/>
  <sheetViews>
    <sheetView showGridLines="0" showRowColHeaders="0" showRuler="0" zoomScaleNormal="100" workbookViewId="0">
      <selection activeCell="B5" sqref="B5"/>
    </sheetView>
  </sheetViews>
  <sheetFormatPr defaultColWidth="9.140625" defaultRowHeight="15" x14ac:dyDescent="0.25"/>
  <cols>
    <col min="1" max="1" width="25.7109375" customWidth="1"/>
    <col min="2" max="2" width="41.5703125" customWidth="1"/>
    <col min="3" max="3" width="98.140625" customWidth="1"/>
    <col min="4" max="256" width="11.42578125" customWidth="1"/>
  </cols>
  <sheetData>
    <row r="1" spans="1:3" ht="33.75" x14ac:dyDescent="0.5">
      <c r="A1" s="124" t="s">
        <v>55</v>
      </c>
      <c r="C1" s="129" t="s">
        <v>1468</v>
      </c>
    </row>
    <row r="3" spans="1:3" ht="27.75" customHeight="1" x14ac:dyDescent="0.25">
      <c r="A3" s="116" t="s">
        <v>77</v>
      </c>
      <c r="B3" s="127" t="s">
        <v>1748</v>
      </c>
      <c r="C3" s="337" t="s">
        <v>1271</v>
      </c>
    </row>
    <row r="4" spans="1:3" ht="27.75" customHeight="1" x14ac:dyDescent="0.25">
      <c r="A4" s="116" t="s">
        <v>56</v>
      </c>
      <c r="B4" s="127" t="s">
        <v>1749</v>
      </c>
      <c r="C4" s="337" t="s">
        <v>1344</v>
      </c>
    </row>
    <row r="5" spans="1:3" ht="27.75" customHeight="1" x14ac:dyDescent="0.25">
      <c r="A5" s="138" t="s">
        <v>87</v>
      </c>
      <c r="B5" s="127" t="s">
        <v>1749</v>
      </c>
      <c r="C5" s="337" t="s">
        <v>1343</v>
      </c>
    </row>
    <row r="6" spans="1:3" ht="27.75" customHeight="1" x14ac:dyDescent="0.25">
      <c r="A6" s="138" t="s">
        <v>1345</v>
      </c>
      <c r="B6" s="328" t="s">
        <v>88</v>
      </c>
      <c r="C6" s="337" t="s">
        <v>1346</v>
      </c>
    </row>
    <row r="7" spans="1:3" ht="27.75" customHeight="1" x14ac:dyDescent="0.25">
      <c r="A7" s="116" t="s">
        <v>78</v>
      </c>
      <c r="B7" s="126"/>
      <c r="C7" s="337" t="s">
        <v>152</v>
      </c>
    </row>
    <row r="8" spans="1:3" ht="27.75" customHeight="1" x14ac:dyDescent="0.25">
      <c r="A8" s="116" t="s">
        <v>79</v>
      </c>
      <c r="B8" s="126"/>
      <c r="C8" s="337" t="s">
        <v>147</v>
      </c>
    </row>
    <row r="9" spans="1:3" ht="28.5" customHeight="1" x14ac:dyDescent="0.25">
      <c r="A9" s="138" t="s">
        <v>1353</v>
      </c>
      <c r="B9" s="126"/>
      <c r="C9" s="398" t="s">
        <v>82</v>
      </c>
    </row>
    <row r="10" spans="1:3" ht="27.75" customHeight="1" x14ac:dyDescent="0.25">
      <c r="C10" s="398"/>
    </row>
    <row r="11" spans="1:3" ht="27.75" customHeight="1" x14ac:dyDescent="0.25">
      <c r="A11" s="138" t="s">
        <v>1355</v>
      </c>
      <c r="C11" s="338" t="s">
        <v>151</v>
      </c>
    </row>
    <row r="12" spans="1:3" ht="27.75" customHeight="1" x14ac:dyDescent="0.25">
      <c r="C12" s="339" t="s">
        <v>80</v>
      </c>
    </row>
    <row r="13" spans="1:3" ht="27.75" customHeight="1" x14ac:dyDescent="0.25">
      <c r="C13" s="338" t="s">
        <v>1351</v>
      </c>
    </row>
    <row r="14" spans="1:3" ht="27.75" customHeight="1" x14ac:dyDescent="0.25">
      <c r="C14" s="340"/>
    </row>
    <row r="15" spans="1:3" x14ac:dyDescent="0.25">
      <c r="A15" s="138" t="s">
        <v>84</v>
      </c>
      <c r="B15" t="s">
        <v>83</v>
      </c>
      <c r="C15" s="341" t="s">
        <v>150</v>
      </c>
    </row>
    <row r="16" spans="1:3" x14ac:dyDescent="0.25">
      <c r="B16" t="s">
        <v>85</v>
      </c>
      <c r="C16" s="338" t="s">
        <v>154</v>
      </c>
    </row>
    <row r="17" spans="1:3" x14ac:dyDescent="0.25">
      <c r="B17" s="139" t="s">
        <v>1352</v>
      </c>
      <c r="C17" s="338" t="s">
        <v>153</v>
      </c>
    </row>
    <row r="18" spans="1:3" x14ac:dyDescent="0.25">
      <c r="C18" s="338" t="s">
        <v>149</v>
      </c>
    </row>
    <row r="19" spans="1:3" x14ac:dyDescent="0.25">
      <c r="C19" s="338" t="s">
        <v>148</v>
      </c>
    </row>
    <row r="22" spans="1:3" x14ac:dyDescent="0.25">
      <c r="A22" s="336" t="s">
        <v>1350</v>
      </c>
      <c r="B22" s="139" t="s">
        <v>1348</v>
      </c>
      <c r="C22" s="341" t="s">
        <v>1349</v>
      </c>
    </row>
    <row r="23" spans="1:3" x14ac:dyDescent="0.25">
      <c r="A23" s="336" t="s">
        <v>1347</v>
      </c>
      <c r="B23" s="139"/>
      <c r="C23" s="338" t="s">
        <v>1356</v>
      </c>
    </row>
    <row r="24" spans="1:3" x14ac:dyDescent="0.25">
      <c r="C24" s="340"/>
    </row>
    <row r="25" spans="1:3" x14ac:dyDescent="0.25">
      <c r="C25" s="340"/>
    </row>
  </sheetData>
  <mergeCells count="1">
    <mergeCell ref="C9:C10"/>
  </mergeCells>
  <phoneticPr fontId="18" type="noConversion"/>
  <hyperlinks>
    <hyperlink ref="B17" r:id="rId1" xr:uid="{00000000-0004-0000-0000-000000000000}"/>
    <hyperlink ref="B22" r:id="rId2" tooltip="Send Results to the World Rankings" xr:uid="{00000000-0004-0000-0000-000001000000}"/>
  </hyperlinks>
  <pageMargins left="0.53863636363636369" right="0.47244094488188981" top="0.62992125984251968" bottom="0.78740157480314965" header="0.31496062992125984" footer="0.31496062992125984"/>
  <pageSetup paperSize="9" scale="79" orientation="landscape" r:id="rId3"/>
  <headerFooter alignWithMargins="0"/>
  <cellWatches>
    <cellWatch r="B13"/>
  </cellWatches>
  <drawing r:id="rId4"/>
  <legacyDrawing r:id="rId5"/>
  <controls>
    <mc:AlternateContent xmlns:mc="http://schemas.openxmlformats.org/markup-compatibility/2006">
      <mc:Choice Requires="x14">
        <control shapeId="9221" r:id="rId6" name="cboJudgesCount">
          <controlPr defaultSize="0" autoLine="0" r:id="rId7">
            <anchor moveWithCells="1">
              <from>
                <xdr:col>1</xdr:col>
                <xdr:colOff>9525</xdr:colOff>
                <xdr:row>7</xdr:row>
                <xdr:rowOff>95250</xdr:rowOff>
              </from>
              <to>
                <xdr:col>1</xdr:col>
                <xdr:colOff>1238250</xdr:colOff>
                <xdr:row>8</xdr:row>
                <xdr:rowOff>19050</xdr:rowOff>
              </to>
            </anchor>
          </controlPr>
        </control>
      </mc:Choice>
      <mc:Fallback>
        <control shapeId="9221" r:id="rId6" name="cboJudgesCount"/>
      </mc:Fallback>
    </mc:AlternateContent>
    <mc:AlternateContent xmlns:mc="http://schemas.openxmlformats.org/markup-compatibility/2006">
      <mc:Choice Requires="x14">
        <control shapeId="9222" r:id="rId8" name="PrintSheets">
          <controlPr defaultSize="0" autoLine="0" autoPict="0" r:id="rId9">
            <anchor moveWithCells="1">
              <from>
                <xdr:col>1</xdr:col>
                <xdr:colOff>9525</xdr:colOff>
                <xdr:row>10</xdr:row>
                <xdr:rowOff>28575</xdr:rowOff>
              </from>
              <to>
                <xdr:col>1</xdr:col>
                <xdr:colOff>1238250</xdr:colOff>
                <xdr:row>10</xdr:row>
                <xdr:rowOff>333375</xdr:rowOff>
              </to>
            </anchor>
          </controlPr>
        </control>
      </mc:Choice>
      <mc:Fallback>
        <control shapeId="9222" r:id="rId8" name="PrintSheets"/>
      </mc:Fallback>
    </mc:AlternateContent>
    <mc:AlternateContent xmlns:mc="http://schemas.openxmlformats.org/markup-compatibility/2006">
      <mc:Choice Requires="x14">
        <control shapeId="9223" r:id="rId10" name="LockSheets">
          <controlPr autoLine="0" r:id="rId11">
            <anchor moveWithCells="1">
              <from>
                <xdr:col>1</xdr:col>
                <xdr:colOff>9525</xdr:colOff>
                <xdr:row>11</xdr:row>
                <xdr:rowOff>28575</xdr:rowOff>
              </from>
              <to>
                <xdr:col>1</xdr:col>
                <xdr:colOff>1247775</xdr:colOff>
                <xdr:row>12</xdr:row>
                <xdr:rowOff>9525</xdr:rowOff>
              </to>
            </anchor>
          </controlPr>
        </control>
      </mc:Choice>
      <mc:Fallback>
        <control shapeId="9223" r:id="rId10" name="LockSheets"/>
      </mc:Fallback>
    </mc:AlternateContent>
    <mc:AlternateContent xmlns:mc="http://schemas.openxmlformats.org/markup-compatibility/2006">
      <mc:Choice Requires="x14">
        <control shapeId="9224" r:id="rId12" name="cboEditMethod">
          <controlPr print="0" autoLine="0" r:id="rId13">
            <anchor moveWithCells="1">
              <from>
                <xdr:col>1</xdr:col>
                <xdr:colOff>9525</xdr:colOff>
                <xdr:row>8</xdr:row>
                <xdr:rowOff>114300</xdr:rowOff>
              </from>
              <to>
                <xdr:col>1</xdr:col>
                <xdr:colOff>1209675</xdr:colOff>
                <xdr:row>9</xdr:row>
                <xdr:rowOff>28575</xdr:rowOff>
              </to>
            </anchor>
          </controlPr>
        </control>
      </mc:Choice>
      <mc:Fallback>
        <control shapeId="9224" r:id="rId12" name="cboEditMethod"/>
      </mc:Fallback>
    </mc:AlternateContent>
    <mc:AlternateContent xmlns:mc="http://schemas.openxmlformats.org/markup-compatibility/2006">
      <mc:Choice Requires="x14">
        <control shapeId="9228" r:id="rId14" name="cboTeamsCount">
          <controlPr defaultSize="0" autoLine="0" r:id="rId15">
            <anchor moveWithCells="1">
              <from>
                <xdr:col>1</xdr:col>
                <xdr:colOff>9525</xdr:colOff>
                <xdr:row>6</xdr:row>
                <xdr:rowOff>38100</xdr:rowOff>
              </from>
              <to>
                <xdr:col>1</xdr:col>
                <xdr:colOff>1247775</xdr:colOff>
                <xdr:row>6</xdr:row>
                <xdr:rowOff>323850</xdr:rowOff>
              </to>
            </anchor>
          </controlPr>
        </control>
      </mc:Choice>
      <mc:Fallback>
        <control shapeId="9228" r:id="rId14" name="cboTeamsCount"/>
      </mc:Fallback>
    </mc:AlternateContent>
    <mc:AlternateContent xmlns:mc="http://schemas.openxmlformats.org/markup-compatibility/2006">
      <mc:Choice Requires="x14">
        <control shapeId="9248" r:id="rId16" name="btnExportTextResults">
          <controlPr defaultSize="0" autoLine="0" autoPict="0" r:id="rId17">
            <anchor moveWithCells="1">
              <from>
                <xdr:col>1</xdr:col>
                <xdr:colOff>9525</xdr:colOff>
                <xdr:row>12</xdr:row>
                <xdr:rowOff>57150</xdr:rowOff>
              </from>
              <to>
                <xdr:col>1</xdr:col>
                <xdr:colOff>1238250</xdr:colOff>
                <xdr:row>12</xdr:row>
                <xdr:rowOff>323850</xdr:rowOff>
              </to>
            </anchor>
          </controlPr>
        </control>
      </mc:Choice>
      <mc:Fallback>
        <control shapeId="9248" r:id="rId16" name="btnExportTextResults"/>
      </mc:Fallback>
    </mc:AlternateContent>
    <mc:AlternateContent xmlns:mc="http://schemas.openxmlformats.org/markup-compatibility/2006">
      <mc:Choice Requires="x14">
        <control shapeId="9249" r:id="rId18" name="CommandButton1">
          <controlPr defaultSize="0" autoLine="0" autoPict="0" r:id="rId19">
            <anchor moveWithCells="1">
              <from>
                <xdr:col>1</xdr:col>
                <xdr:colOff>0</xdr:colOff>
                <xdr:row>13</xdr:row>
                <xdr:rowOff>19050</xdr:rowOff>
              </from>
              <to>
                <xdr:col>1</xdr:col>
                <xdr:colOff>1238250</xdr:colOff>
                <xdr:row>13</xdr:row>
                <xdr:rowOff>314325</xdr:rowOff>
              </to>
            </anchor>
          </controlPr>
        </control>
      </mc:Choice>
      <mc:Fallback>
        <control shapeId="9249" r:id="rId18" name="CommandButton1"/>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'Point Scale'!$B$1:$G$1</xm:f>
          </x14:formula1>
          <xm:sqref>B6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tarterlist"/>
  <dimension ref="A1:AA23"/>
  <sheetViews>
    <sheetView showGridLines="0" showRowColHeaders="0" showZeros="0" tabSelected="1" showRuler="0" topLeftCell="A6" zoomScaleNormal="100" zoomScaleSheetLayoutView="100" zoomScalePageLayoutView="85" workbookViewId="0">
      <selection activeCell="F13" activeCellId="8" sqref="J13:J21 A1:A2 B4:C4 D4:E4 F4:G4 J3:J8 B13:B22 D13:D22 F13:F22"/>
    </sheetView>
  </sheetViews>
  <sheetFormatPr defaultColWidth="11.140625" defaultRowHeight="15" x14ac:dyDescent="0.25"/>
  <cols>
    <col min="1" max="1" width="4" style="5" customWidth="1"/>
    <col min="2" max="2" width="25.7109375" style="6" customWidth="1"/>
    <col min="3" max="3" width="7.140625" style="6" customWidth="1"/>
    <col min="4" max="4" width="25.7109375" style="6" customWidth="1"/>
    <col min="5" max="5" width="7.140625" style="6" customWidth="1"/>
    <col min="6" max="6" width="25.7109375" style="7" customWidth="1"/>
    <col min="7" max="7" width="7.140625" style="7" customWidth="1"/>
    <col min="8" max="8" width="9.7109375" style="7" customWidth="1"/>
    <col min="9" max="9" width="19.85546875" style="7" customWidth="1"/>
    <col min="10" max="10" width="23.85546875" style="7" customWidth="1"/>
    <col min="11" max="13" width="8.140625" style="5" customWidth="1"/>
    <col min="14" max="14" width="7.7109375" style="5" customWidth="1"/>
    <col min="15" max="16384" width="11.140625" style="5"/>
  </cols>
  <sheetData>
    <row r="1" spans="1:27" ht="33.75" x14ac:dyDescent="0.5">
      <c r="A1" s="124" t="str">
        <f>Settings!B3</f>
        <v>FPAW 2018</v>
      </c>
      <c r="D1"/>
      <c r="E1"/>
      <c r="F1" s="31"/>
      <c r="G1" s="31"/>
      <c r="H1" s="31"/>
      <c r="I1" s="31"/>
      <c r="J1" s="31"/>
    </row>
    <row r="2" spans="1:27" ht="36" customHeight="1" x14ac:dyDescent="0.35">
      <c r="A2" s="125" t="str">
        <f>Settings!B4</f>
        <v>Trnava, Slowakia</v>
      </c>
      <c r="D2" s="9"/>
      <c r="E2" s="9"/>
      <c r="F2" s="31"/>
      <c r="G2" s="31"/>
      <c r="H2" s="31"/>
      <c r="I2" s="5"/>
      <c r="J2" s="5"/>
    </row>
    <row r="3" spans="1:27" ht="22.5" customHeight="1" x14ac:dyDescent="0.25">
      <c r="B3" s="48" t="s">
        <v>13</v>
      </c>
      <c r="C3" s="48"/>
      <c r="D3" s="13" t="s">
        <v>14</v>
      </c>
      <c r="E3" s="13"/>
      <c r="F3" s="399" t="s">
        <v>169</v>
      </c>
      <c r="G3" s="399"/>
      <c r="H3" s="11"/>
      <c r="I3" s="352" t="s">
        <v>29</v>
      </c>
      <c r="J3" s="353">
        <v>42322</v>
      </c>
      <c r="K3" s="13"/>
      <c r="L3" s="13"/>
      <c r="M3" s="13"/>
      <c r="N3" s="13"/>
    </row>
    <row r="4" spans="1:27" ht="22.5" customHeight="1" x14ac:dyDescent="0.35">
      <c r="B4" s="401" t="s">
        <v>168</v>
      </c>
      <c r="C4" s="401"/>
      <c r="D4" s="402" t="s">
        <v>386</v>
      </c>
      <c r="E4" s="402"/>
      <c r="F4" s="402" t="s">
        <v>179</v>
      </c>
      <c r="G4" s="402"/>
      <c r="H4" s="12"/>
      <c r="I4" s="354" t="s">
        <v>39</v>
      </c>
      <c r="J4" s="355">
        <v>0.58333333333333337</v>
      </c>
      <c r="K4" s="13"/>
      <c r="L4" s="13"/>
      <c r="M4" s="13"/>
      <c r="N4" s="13"/>
    </row>
    <row r="5" spans="1:27" ht="22.5" customHeight="1" x14ac:dyDescent="0.35">
      <c r="B5" s="49"/>
      <c r="C5" s="49"/>
      <c r="D5" s="9"/>
      <c r="E5" s="9"/>
      <c r="F5" s="9"/>
      <c r="G5" s="9"/>
      <c r="H5" s="12"/>
      <c r="I5" s="354" t="s">
        <v>33</v>
      </c>
      <c r="J5" s="369">
        <v>4</v>
      </c>
      <c r="K5" s="13"/>
      <c r="L5" s="13"/>
      <c r="M5" s="13"/>
      <c r="N5" s="13"/>
    </row>
    <row r="6" spans="1:27" ht="22.5" customHeight="1" x14ac:dyDescent="0.35">
      <c r="B6" s="9"/>
      <c r="C6" s="9"/>
      <c r="D6" s="9"/>
      <c r="E6" s="9"/>
      <c r="F6" s="9"/>
      <c r="G6" s="9"/>
      <c r="H6" s="12"/>
      <c r="I6" s="354" t="s">
        <v>81</v>
      </c>
      <c r="J6" s="381"/>
      <c r="K6" s="13"/>
      <c r="L6" s="13"/>
      <c r="M6" s="13"/>
      <c r="N6" s="13"/>
    </row>
    <row r="7" spans="1:27" ht="22.5" customHeight="1" x14ac:dyDescent="0.35">
      <c r="B7" s="9"/>
      <c r="C7" s="9"/>
      <c r="D7" s="9"/>
      <c r="E7" s="9"/>
      <c r="F7" s="9"/>
      <c r="G7" s="9"/>
      <c r="H7" s="12"/>
      <c r="I7" s="382" t="s">
        <v>183</v>
      </c>
      <c r="J7" s="400"/>
      <c r="K7" s="13"/>
      <c r="L7" s="13"/>
      <c r="M7" s="13"/>
      <c r="N7" s="13"/>
    </row>
    <row r="8" spans="1:27" ht="22.5" customHeight="1" x14ac:dyDescent="0.35">
      <c r="B8" s="9"/>
      <c r="C8" s="9"/>
      <c r="D8" s="9"/>
      <c r="E8" s="9"/>
      <c r="F8" s="9"/>
      <c r="G8" s="9"/>
      <c r="H8" s="12"/>
      <c r="I8" s="96"/>
      <c r="J8" s="400"/>
      <c r="K8" s="13"/>
      <c r="L8" s="13"/>
      <c r="M8" s="13"/>
      <c r="N8" s="13"/>
    </row>
    <row r="9" spans="1:27" ht="57" customHeight="1" x14ac:dyDescent="0.35">
      <c r="B9" s="9"/>
      <c r="C9" s="9"/>
      <c r="D9" s="9"/>
      <c r="E9" s="9"/>
      <c r="F9" s="9"/>
      <c r="G9" s="9"/>
      <c r="H9" s="12"/>
      <c r="I9" s="185" t="s">
        <v>174</v>
      </c>
      <c r="J9" s="400"/>
      <c r="K9" s="94"/>
      <c r="L9" s="13"/>
      <c r="M9" s="13"/>
      <c r="N9" s="13"/>
      <c r="P9" s="13"/>
    </row>
    <row r="10" spans="1:27" ht="22.5" customHeight="1" x14ac:dyDescent="0.3">
      <c r="A10" s="28" t="s">
        <v>38</v>
      </c>
      <c r="B10" s="8"/>
      <c r="C10" s="8"/>
      <c r="D10" s="8"/>
      <c r="E10" s="8"/>
      <c r="F10" s="27"/>
      <c r="G10" s="361"/>
      <c r="H10" s="27"/>
      <c r="I10" s="28" t="s">
        <v>12</v>
      </c>
      <c r="J10" s="400"/>
      <c r="K10" s="13"/>
      <c r="L10" s="13"/>
      <c r="M10" s="13"/>
      <c r="N10" s="13"/>
      <c r="O10" s="13"/>
      <c r="Q10" s="13"/>
      <c r="R10" s="13"/>
      <c r="S10" s="13"/>
      <c r="T10" s="13"/>
      <c r="U10" s="13"/>
      <c r="V10" s="13"/>
      <c r="W10" s="13"/>
      <c r="X10" s="13"/>
      <c r="Y10" s="13"/>
      <c r="Z10" s="13"/>
      <c r="AA10" s="13"/>
    </row>
    <row r="11" spans="1:27" ht="20.100000000000001" customHeight="1" x14ac:dyDescent="0.25">
      <c r="H11" s="13"/>
      <c r="J11" s="5"/>
      <c r="K11" s="13"/>
      <c r="L11" s="13"/>
      <c r="M11" s="13"/>
      <c r="N11" s="13"/>
      <c r="O11" s="13"/>
      <c r="P11" s="13"/>
      <c r="Q11" s="13"/>
      <c r="R11" s="13"/>
      <c r="S11" s="13"/>
      <c r="T11" s="13"/>
      <c r="U11" s="13"/>
      <c r="V11" s="13"/>
      <c r="W11" s="13"/>
      <c r="X11" s="13"/>
      <c r="Y11" s="13"/>
      <c r="Z11" s="13"/>
      <c r="AA11" s="13"/>
    </row>
    <row r="12" spans="1:27" ht="20.100000000000001" customHeight="1" thickBot="1" x14ac:dyDescent="0.3">
      <c r="A12" s="46" t="s">
        <v>9</v>
      </c>
      <c r="B12" s="363" t="s">
        <v>10</v>
      </c>
      <c r="C12" s="364"/>
      <c r="D12" s="363" t="s">
        <v>11</v>
      </c>
      <c r="E12" s="366"/>
      <c r="F12" s="45" t="s">
        <v>15</v>
      </c>
      <c r="G12" s="367"/>
      <c r="H12" s="13"/>
      <c r="J12"/>
      <c r="K12" s="48"/>
      <c r="L12" s="48"/>
      <c r="M12" s="13"/>
      <c r="N12" s="13"/>
      <c r="O12" s="13"/>
      <c r="P12" s="13"/>
      <c r="Q12" s="13"/>
      <c r="R12" s="13"/>
      <c r="S12" s="13"/>
      <c r="T12" s="13"/>
      <c r="U12" s="13"/>
      <c r="V12" s="13"/>
      <c r="W12" s="13"/>
      <c r="X12" s="13"/>
      <c r="Y12" s="13"/>
      <c r="Z12" s="13"/>
      <c r="AA12" s="13"/>
    </row>
    <row r="13" spans="1:27" ht="20.100000000000001" customHeight="1" x14ac:dyDescent="0.25">
      <c r="A13" s="33">
        <v>1</v>
      </c>
      <c r="B13" s="365"/>
      <c r="C13" s="368">
        <f>IF(ISNA(VLOOKUP(B13,Rankings!C:E,2,FALSE)),0,VLOOKUP(B13,Rankings!C:E,2,FALSE))</f>
        <v>0</v>
      </c>
      <c r="D13" s="365"/>
      <c r="E13" s="368">
        <f>IF(ISNA(VLOOKUP(D13,Rankings!C:E,2,FALSE)),0,VLOOKUP(D13,Rankings!C:E,2,FALSE))</f>
        <v>0</v>
      </c>
      <c r="F13" s="365"/>
      <c r="G13" s="368">
        <f>IF(ISNA(VLOOKUP(F13,Rankings!C:E,2,FALSE)),0,VLOOKUP(F13,Rankings!C:E,2,FALSE))</f>
        <v>0</v>
      </c>
      <c r="H13" s="13"/>
      <c r="I13" s="154" t="s">
        <v>1</v>
      </c>
      <c r="J13" s="371"/>
      <c r="K13" s="380">
        <f>IF(ISNA(VLOOKUP(J13,Rankings!C:E,2,FALSE)),0,VLOOKUP(J13,Rankings!C:E,2,FALSE))</f>
        <v>0</v>
      </c>
      <c r="L13" s="13"/>
      <c r="M13" s="13"/>
      <c r="N13" s="13"/>
      <c r="O13" s="13"/>
      <c r="P13" s="13"/>
      <c r="Q13" s="13"/>
      <c r="R13" s="13"/>
      <c r="S13" s="13"/>
      <c r="T13" s="13"/>
      <c r="U13" s="13"/>
      <c r="V13" s="13"/>
      <c r="W13" s="13"/>
      <c r="X13" s="13"/>
      <c r="Y13" s="13"/>
      <c r="Z13" s="13"/>
      <c r="AA13" s="13"/>
    </row>
    <row r="14" spans="1:27" ht="20.100000000000001" customHeight="1" x14ac:dyDescent="0.25">
      <c r="A14" s="34">
        <v>2</v>
      </c>
      <c r="B14" s="365"/>
      <c r="C14" s="368">
        <f>IF(ISNA(VLOOKUP(B14,Rankings!C:E,2,FALSE)),0,VLOOKUP(B14,Rankings!C:E,2,FALSE))</f>
        <v>0</v>
      </c>
      <c r="D14" s="365"/>
      <c r="E14" s="368">
        <f>IF(ISNA(VLOOKUP(D14,Rankings!C:E,2,FALSE)),0,VLOOKUP(D14,Rankings!C:E,2,FALSE))</f>
        <v>0</v>
      </c>
      <c r="F14" s="365"/>
      <c r="G14" s="368">
        <f>IF(ISNA(VLOOKUP(F14,Rankings!C:E,2,FALSE)),0,VLOOKUP(F14,Rankings!C:E,2,FALSE))</f>
        <v>0</v>
      </c>
      <c r="H14" s="13"/>
      <c r="I14" s="155"/>
      <c r="J14" s="365"/>
      <c r="K14" s="368">
        <f>IF(ISNA(VLOOKUP(J14,Rankings!C:E,2,FALSE)),0,VLOOKUP(J14,Rankings!C:E,2,FALSE))</f>
        <v>0</v>
      </c>
      <c r="L14" s="13"/>
      <c r="M14" s="13"/>
      <c r="N14" s="13"/>
      <c r="O14" s="13"/>
      <c r="P14" s="13"/>
      <c r="Q14" s="13"/>
      <c r="R14" s="13"/>
      <c r="S14" s="13"/>
      <c r="T14" s="13"/>
      <c r="U14" s="13"/>
      <c r="V14" s="13"/>
      <c r="W14" s="13"/>
      <c r="X14" s="13"/>
      <c r="Y14" s="13"/>
      <c r="Z14" s="13"/>
      <c r="AA14" s="13"/>
    </row>
    <row r="15" spans="1:27" ht="20.100000000000001" customHeight="1" x14ac:dyDescent="0.25">
      <c r="A15" s="34">
        <v>3</v>
      </c>
      <c r="B15" s="365"/>
      <c r="C15" s="368">
        <f>IF(ISNA(VLOOKUP(B15,Rankings!C:E,2,FALSE)),0,VLOOKUP(B15,Rankings!C:E,2,FALSE))</f>
        <v>0</v>
      </c>
      <c r="D15" s="365"/>
      <c r="E15" s="368">
        <f>IF(ISNA(VLOOKUP(D15,Rankings!C:E,2,FALSE)),0,VLOOKUP(D15,Rankings!C:E,2,FALSE))</f>
        <v>0</v>
      </c>
      <c r="F15" s="365"/>
      <c r="G15" s="368">
        <f>IF(ISNA(VLOOKUP(F15,Rankings!C:E,2,FALSE)),0,VLOOKUP(F15,Rankings!C:E,2,FALSE))</f>
        <v>0</v>
      </c>
      <c r="H15" s="13"/>
      <c r="I15" s="156"/>
      <c r="J15" s="365"/>
      <c r="K15" s="368">
        <f>IF(ISNA(VLOOKUP(J15,Rankings!C:E,2,FALSE)),0,VLOOKUP(J15,Rankings!C:E,2,FALSE))</f>
        <v>0</v>
      </c>
      <c r="L15" s="13"/>
      <c r="M15" s="13"/>
      <c r="N15" s="13"/>
      <c r="O15" s="13"/>
      <c r="P15" s="13"/>
      <c r="Q15" s="13"/>
      <c r="R15" s="13"/>
      <c r="S15" s="13"/>
      <c r="T15" s="13"/>
      <c r="U15" s="13"/>
      <c r="V15" s="13"/>
      <c r="W15" s="13"/>
      <c r="X15" s="13"/>
      <c r="Y15" s="13"/>
      <c r="Z15" s="13"/>
      <c r="AA15" s="13"/>
    </row>
    <row r="16" spans="1:27" ht="20.100000000000001" customHeight="1" x14ac:dyDescent="0.25">
      <c r="A16" s="34">
        <v>4</v>
      </c>
      <c r="B16" s="365"/>
      <c r="C16" s="368">
        <f>IF(ISNA(VLOOKUP(B16,Rankings!C:E,2,FALSE)),0,VLOOKUP(B16,Rankings!C:E,2,FALSE))</f>
        <v>0</v>
      </c>
      <c r="D16" s="365"/>
      <c r="E16" s="368">
        <f>IF(ISNA(VLOOKUP(D16,Rankings!C:E,2,FALSE)),0,VLOOKUP(D16,Rankings!C:E,2,FALSE))</f>
        <v>0</v>
      </c>
      <c r="F16" s="365"/>
      <c r="G16" s="368">
        <f>IF(ISNA(VLOOKUP(F16,Rankings!C:E,2,FALSE)),0,VLOOKUP(F16,Rankings!C:E,2,FALSE))</f>
        <v>0</v>
      </c>
      <c r="H16" s="13"/>
      <c r="I16" s="154" t="s">
        <v>2</v>
      </c>
      <c r="J16" s="365"/>
      <c r="K16" s="368">
        <f>IF(ISNA(VLOOKUP(J16,Rankings!C:E,2,FALSE)),0,VLOOKUP(J16,Rankings!C:E,2,FALSE))</f>
        <v>0</v>
      </c>
      <c r="L16" s="13"/>
      <c r="M16" s="13"/>
      <c r="N16" s="13"/>
      <c r="O16" s="13"/>
      <c r="P16" s="13"/>
      <c r="Q16" s="13"/>
      <c r="R16" s="13"/>
      <c r="S16" s="13"/>
      <c r="T16" s="13"/>
      <c r="U16" s="13"/>
      <c r="V16" s="13"/>
      <c r="W16" s="13"/>
      <c r="X16" s="13"/>
      <c r="Y16" s="13"/>
      <c r="Z16" s="13"/>
      <c r="AA16" s="13"/>
    </row>
    <row r="17" spans="1:27" ht="20.100000000000001" customHeight="1" x14ac:dyDescent="0.25">
      <c r="A17" s="34">
        <v>5</v>
      </c>
      <c r="B17" s="365"/>
      <c r="C17" s="368">
        <f>IF(ISNA(VLOOKUP(B17,Rankings!C:E,2,FALSE)),0,VLOOKUP(B17,Rankings!C:E,2,FALSE))</f>
        <v>0</v>
      </c>
      <c r="D17" s="365"/>
      <c r="E17" s="368">
        <f>IF(ISNA(VLOOKUP(D17,Rankings!C:E,2,FALSE)),0,VLOOKUP(D17,Rankings!C:E,2,FALSE))</f>
        <v>0</v>
      </c>
      <c r="F17" s="365"/>
      <c r="G17" s="368">
        <f>IF(ISNA(VLOOKUP(F17,Rankings!C:E,2,FALSE)),0,VLOOKUP(F17,Rankings!C:E,2,FALSE))</f>
        <v>0</v>
      </c>
      <c r="H17" s="13"/>
      <c r="I17" s="155"/>
      <c r="J17" s="365"/>
      <c r="K17" s="368">
        <f>IF(ISNA(VLOOKUP(J17,Rankings!C:E,2,FALSE)),0,VLOOKUP(J17,Rankings!C:E,2,FALSE))</f>
        <v>0</v>
      </c>
      <c r="L17" s="13"/>
      <c r="M17" s="13"/>
      <c r="N17" s="13"/>
      <c r="O17" s="13"/>
      <c r="P17" s="13"/>
      <c r="Q17" s="13"/>
      <c r="R17" s="13"/>
      <c r="S17" s="13"/>
      <c r="T17" s="13"/>
      <c r="U17" s="13"/>
      <c r="V17" s="13"/>
      <c r="W17" s="13"/>
      <c r="X17" s="13"/>
      <c r="Y17" s="13"/>
      <c r="Z17" s="13"/>
      <c r="AA17" s="13"/>
    </row>
    <row r="18" spans="1:27" ht="20.100000000000001" customHeight="1" x14ac:dyDescent="0.25">
      <c r="A18" s="34">
        <v>6</v>
      </c>
      <c r="B18" s="365"/>
      <c r="C18" s="368">
        <f>IF(ISNA(VLOOKUP(B18,Rankings!C:E,2,FALSE)),0,VLOOKUP(B18,Rankings!C:E,2,FALSE))</f>
        <v>0</v>
      </c>
      <c r="D18" s="365"/>
      <c r="E18" s="368">
        <f>IF(ISNA(VLOOKUP(D18,Rankings!C:E,2,FALSE)),0,VLOOKUP(D18,Rankings!C:E,2,FALSE))</f>
        <v>0</v>
      </c>
      <c r="F18" s="365"/>
      <c r="G18" s="368">
        <f>IF(ISNA(VLOOKUP(F18,Rankings!C:E,2,FALSE)),0,VLOOKUP(F18,Rankings!C:E,2,FALSE))</f>
        <v>0</v>
      </c>
      <c r="H18" s="13"/>
      <c r="I18" s="156"/>
      <c r="J18" s="365"/>
      <c r="K18" s="368">
        <f>IF(ISNA(VLOOKUP(J18,Rankings!C:E,2,FALSE)),0,VLOOKUP(J18,Rankings!C:E,2,FALSE))</f>
        <v>0</v>
      </c>
      <c r="L18" s="13"/>
      <c r="M18" s="13"/>
      <c r="N18" s="13"/>
      <c r="O18" s="13"/>
      <c r="P18" s="13"/>
      <c r="Q18" s="13"/>
      <c r="R18" s="13"/>
      <c r="S18" s="13"/>
      <c r="T18" s="13"/>
      <c r="U18" s="13"/>
      <c r="V18" s="13"/>
      <c r="W18" s="13"/>
      <c r="X18" s="13"/>
      <c r="Y18" s="13"/>
      <c r="Z18" s="13"/>
      <c r="AA18" s="13"/>
    </row>
    <row r="19" spans="1:27" ht="20.100000000000001" customHeight="1" x14ac:dyDescent="0.25">
      <c r="A19" s="34">
        <v>7</v>
      </c>
      <c r="B19" s="365"/>
      <c r="C19" s="368">
        <f>IF(ISNA(VLOOKUP(B19,Rankings!C:E,2,FALSE)),0,VLOOKUP(B19,Rankings!C:E,2,FALSE))</f>
        <v>0</v>
      </c>
      <c r="D19" s="365"/>
      <c r="E19" s="368">
        <f>IF(ISNA(VLOOKUP(D19,Rankings!C:E,2,FALSE)),0,VLOOKUP(D19,Rankings!C:E,2,FALSE))</f>
        <v>0</v>
      </c>
      <c r="F19" s="365"/>
      <c r="G19" s="368">
        <f>IF(ISNA(VLOOKUP(F19,Rankings!C:E,2,FALSE)),0,VLOOKUP(F19,Rankings!C:E,2,FALSE))</f>
        <v>0</v>
      </c>
      <c r="H19" s="13"/>
      <c r="I19" s="154" t="s">
        <v>3</v>
      </c>
      <c r="J19" s="365"/>
      <c r="K19" s="368">
        <f>IF(ISNA(VLOOKUP(J19,Rankings!C:E,2,FALSE)),0,VLOOKUP(J19,Rankings!C:E,2,FALSE))</f>
        <v>0</v>
      </c>
      <c r="L19" s="13"/>
      <c r="M19" s="13"/>
      <c r="N19" s="13"/>
      <c r="O19" s="13"/>
      <c r="P19" s="13"/>
      <c r="Q19" s="13"/>
      <c r="R19" s="13"/>
      <c r="S19" s="13"/>
      <c r="T19" s="13"/>
      <c r="U19" s="13"/>
      <c r="V19" s="13"/>
      <c r="W19" s="13"/>
      <c r="X19" s="13"/>
      <c r="Y19" s="13"/>
      <c r="Z19" s="13"/>
      <c r="AA19" s="13"/>
    </row>
    <row r="20" spans="1:27" ht="20.100000000000001" customHeight="1" x14ac:dyDescent="0.25">
      <c r="A20" s="34">
        <v>8</v>
      </c>
      <c r="B20" s="365"/>
      <c r="C20" s="368">
        <f>IF(ISNA(VLOOKUP(B20,Rankings!C:E,2,FALSE)),0,VLOOKUP(B20,Rankings!C:E,2,FALSE))</f>
        <v>0</v>
      </c>
      <c r="D20" s="365"/>
      <c r="E20" s="368">
        <f>IF(ISNA(VLOOKUP(D20,Rankings!C:E,2,FALSE)),0,VLOOKUP(D20,Rankings!C:E,2,FALSE))</f>
        <v>0</v>
      </c>
      <c r="F20" s="365"/>
      <c r="G20" s="368">
        <f>IF(ISNA(VLOOKUP(F20,Rankings!C:E,2,FALSE)),0,VLOOKUP(F20,Rankings!C:E,2,FALSE))</f>
        <v>0</v>
      </c>
      <c r="H20" s="13"/>
      <c r="I20" s="155"/>
      <c r="J20" s="365"/>
      <c r="K20" s="368">
        <f>IF(ISNA(VLOOKUP(J20,Rankings!C:E,2,FALSE)),0,VLOOKUP(J20,Rankings!C:E,2,FALSE))</f>
        <v>0</v>
      </c>
      <c r="L20" s="13"/>
      <c r="M20" s="13"/>
      <c r="N20" s="13"/>
      <c r="O20" s="13"/>
      <c r="P20" s="13"/>
      <c r="Q20" s="13"/>
      <c r="R20" s="13"/>
      <c r="S20" s="13"/>
      <c r="T20" s="13"/>
      <c r="U20" s="13"/>
      <c r="V20" s="13"/>
      <c r="W20" s="13"/>
      <c r="X20" s="13"/>
      <c r="Y20" s="13"/>
      <c r="Z20" s="13"/>
      <c r="AA20" s="13"/>
    </row>
    <row r="21" spans="1:27" ht="19.5" customHeight="1" x14ac:dyDescent="0.25">
      <c r="A21" s="34">
        <v>9</v>
      </c>
      <c r="B21" s="365"/>
      <c r="C21" s="368">
        <f>IF(ISNA(VLOOKUP(B21,Rankings!C:E,2,FALSE)),0,VLOOKUP(B21,Rankings!C:E,2,FALSE))</f>
        <v>0</v>
      </c>
      <c r="D21" s="365"/>
      <c r="E21" s="368">
        <f>IF(ISNA(VLOOKUP(D21,Rankings!C:E,2,FALSE)),0,VLOOKUP(D21,Rankings!C:E,2,FALSE))</f>
        <v>0</v>
      </c>
      <c r="F21" s="365"/>
      <c r="G21" s="368">
        <f>IF(ISNA(VLOOKUP(F21,Rankings!C:E,2,FALSE)),0,VLOOKUP(F21,Rankings!C:E,2,FALSE))</f>
        <v>0</v>
      </c>
      <c r="H21" s="13"/>
      <c r="I21" s="156"/>
      <c r="J21" s="365"/>
      <c r="K21" s="368">
        <f>IF(ISNA(VLOOKUP(J21,Rankings!C:E,2,FALSE)),0,VLOOKUP(J21,Rankings!C:E,2,FALSE))</f>
        <v>0</v>
      </c>
      <c r="L21" s="13"/>
      <c r="M21" s="13"/>
      <c r="N21" s="13"/>
      <c r="O21" s="13"/>
      <c r="P21" s="13"/>
      <c r="Q21" s="13"/>
      <c r="R21" s="13"/>
      <c r="S21" s="13"/>
      <c r="T21" s="13"/>
      <c r="U21" s="13"/>
      <c r="V21" s="13"/>
      <c r="W21" s="13"/>
      <c r="X21" s="13"/>
      <c r="Y21" s="13"/>
      <c r="Z21" s="13"/>
      <c r="AA21" s="13"/>
    </row>
    <row r="22" spans="1:27" ht="19.5" customHeight="1" x14ac:dyDescent="0.25">
      <c r="A22" s="34">
        <v>10</v>
      </c>
      <c r="B22" s="365"/>
      <c r="C22" s="368">
        <f>IF(ISNA(VLOOKUP(B22,Rankings!C:E,2,FALSE)),0,VLOOKUP(B22,Rankings!C:E,2,FALSE))</f>
        <v>0</v>
      </c>
      <c r="D22" s="365"/>
      <c r="E22" s="368">
        <f>IF(ISNA(VLOOKUP(D22,Rankings!C:E,2,FALSE)),0,VLOOKUP(D22,Rankings!C:E,2,FALSE))</f>
        <v>0</v>
      </c>
      <c r="F22" s="365"/>
      <c r="G22" s="368">
        <f>IF(ISNA(VLOOKUP(F22,Rankings!C:E,2,FALSE)),0,VLOOKUP(F22,Rankings!C:E,2,FALSE))</f>
        <v>0</v>
      </c>
      <c r="H22" s="13"/>
      <c r="L22" s="13"/>
      <c r="M22" s="13"/>
      <c r="N22" s="13"/>
      <c r="O22" s="13"/>
      <c r="P22" s="13"/>
      <c r="Q22" s="13"/>
      <c r="R22" s="13"/>
      <c r="S22" s="13"/>
      <c r="T22" s="13"/>
      <c r="U22" s="13"/>
      <c r="V22" s="13"/>
      <c r="W22" s="13"/>
      <c r="X22" s="13"/>
      <c r="Y22" s="13"/>
      <c r="Z22" s="13"/>
      <c r="AA22" s="13"/>
    </row>
    <row r="23" spans="1:27" x14ac:dyDescent="0.25">
      <c r="K23" s="370"/>
    </row>
  </sheetData>
  <mergeCells count="6">
    <mergeCell ref="F3:G3"/>
    <mergeCell ref="J7:J8"/>
    <mergeCell ref="J9:J10"/>
    <mergeCell ref="B4:C4"/>
    <mergeCell ref="D4:E4"/>
    <mergeCell ref="F4:G4"/>
  </mergeCells>
  <phoneticPr fontId="0" type="noConversion"/>
  <dataValidations count="4">
    <dataValidation type="list" allowBlank="1" showInputMessage="1" showErrorMessage="1" sqref="B4" xr:uid="{00000000-0002-0000-0100-000000000000}">
      <formula1>"Open Pairs,Open Coop,Mixed Pairs, Women Pairs"</formula1>
    </dataValidation>
    <dataValidation type="list" allowBlank="1" showInputMessage="1" showErrorMessage="1" sqref="D4" xr:uid="{00000000-0002-0000-0100-000001000000}">
      <formula1>"Preliminairs, Quarter-Final,Semi-Final,Final"</formula1>
    </dataValidation>
    <dataValidation type="list" allowBlank="1" showInputMessage="1" showErrorMessage="1" sqref="F4" xr:uid="{00000000-0002-0000-0100-000002000000}">
      <formula1>"A,B,C,D"</formula1>
    </dataValidation>
    <dataValidation type="list" showInputMessage="1" showErrorMessage="1" errorTitle="Time" error="Duration of the Routines needed to calculate Difficulty Divider!" sqref="J5" xr:uid="{00000000-0002-0000-0100-000003000000}">
      <formula1>"3,4,5"</formula1>
    </dataValidation>
  </dataValidations>
  <pageMargins left="0.43137254901960786" right="0.25" top="0.75" bottom="0.75" header="0.3" footer="0.3"/>
  <pageSetup paperSize="9" scale="85" orientation="landscape" r:id="rId1"/>
  <headerFooter alignWithMargins="0">
    <oddHeader>&amp;C&amp;18Starterlist&amp;R&amp;G</oddHeader>
  </headerFooter>
  <cellWatches>
    <cellWatch r="J7"/>
    <cellWatch r="K8"/>
    <cellWatch r="K9"/>
  </cellWatches>
  <drawing r:id="rId2"/>
  <legacyDrawing r:id="rId3"/>
  <legacyDrawingHF r:id="rId4"/>
  <controls>
    <mc:AlternateContent xmlns:mc="http://schemas.openxmlformats.org/markup-compatibility/2006">
      <mc:Choice Requires="x14">
        <control shapeId="13315" r:id="rId5" name="TempCombo">
          <controlPr defaultSize="0" autoLine="0" autoPict="0" r:id="rId6">
            <anchor moveWithCells="1">
              <from>
                <xdr:col>0</xdr:col>
                <xdr:colOff>123825</xdr:colOff>
                <xdr:row>0</xdr:row>
                <xdr:rowOff>123825</xdr:rowOff>
              </from>
              <to>
                <xdr:col>0</xdr:col>
                <xdr:colOff>123825</xdr:colOff>
                <xdr:row>0</xdr:row>
                <xdr:rowOff>342900</xdr:rowOff>
              </to>
            </anchor>
          </controlPr>
        </control>
      </mc:Choice>
      <mc:Fallback>
        <control shapeId="13315" r:id="rId5" name="TempCombo"/>
      </mc:Fallback>
    </mc:AlternateContent>
  </controls>
  <extLst>
    <ext xmlns:x14="http://schemas.microsoft.com/office/spreadsheetml/2009/9/main" uri="{CCE6A557-97BC-4b89-ADB6-D9C93CAAB3DF}">
      <x14:dataValidations xmlns:xm="http://schemas.microsoft.com/office/excel/2006/main" count="2">
        <x14:dataValidation type="list" errorStyle="warning" allowBlank="1" showDropDown="1" errorTitle="Wrong Player Name" error="Please input a valid player name!_x000a_If the name of the player does not appear in the dropdownlist, the player is not in the Rankings and this warning could be ignored." promptTitle="test" xr:uid="{00000000-0002-0000-0100-000004000000}">
          <x14:formula1>
            <xm:f>Competitors!$A:$A</xm:f>
          </x14:formula1>
          <xm:sqref>J6 K23 J13:J21 F13:F22 D13:D22 B13:B22</xm:sqref>
        </x14:dataValidation>
        <x14:dataValidation type="list" errorStyle="warning" allowBlank="1" showDropDown="1" errorTitle="Wrong Player Name" error="Please input a valid player name!_x000a_If the name of the player does not appear in the dropdownlist, the player is not in the Rankings and this warning could be ignored." promptTitle="test" xr:uid="{00000000-0002-0000-0100-000005000000}">
          <x14:formula1>
            <xm:f>Countries!$A:$A</xm:f>
          </x14:formula1>
          <xm:sqref>C13:C22 E13:E22 G13:G22 K13:K21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Ex1">
    <tabColor indexed="43"/>
  </sheetPr>
  <dimension ref="A1:X16"/>
  <sheetViews>
    <sheetView showGridLines="0" showRowColHeaders="0" showZeros="0" zoomScaleNormal="100" zoomScaleSheetLayoutView="85" zoomScalePageLayoutView="85" workbookViewId="0">
      <selection activeCell="Y32" sqref="Y32"/>
    </sheetView>
  </sheetViews>
  <sheetFormatPr defaultColWidth="11.140625" defaultRowHeight="15" x14ac:dyDescent="0.25"/>
  <cols>
    <col min="1" max="1" width="4.28515625" style="5" customWidth="1"/>
    <col min="2" max="2" width="35.28515625" style="5" customWidth="1"/>
    <col min="3" max="4" width="15.85546875" style="6" customWidth="1"/>
    <col min="5" max="8" width="15.85546875" style="7" customWidth="1"/>
    <col min="9" max="9" width="9.85546875" customWidth="1"/>
    <col min="10" max="16384" width="11.140625" style="5"/>
  </cols>
  <sheetData>
    <row r="1" spans="1:24" ht="30" customHeight="1" x14ac:dyDescent="0.5">
      <c r="A1" s="32" t="str">
        <f>Starterlist!A1</f>
        <v>FPAW 2018</v>
      </c>
      <c r="C1" s="13" t="s">
        <v>13</v>
      </c>
      <c r="E1" s="13" t="s">
        <v>14</v>
      </c>
      <c r="G1" s="13" t="str">
        <f>Starterlist!F3</f>
        <v>Pool</v>
      </c>
      <c r="H1" s="13" t="s">
        <v>37</v>
      </c>
      <c r="K1" s="13"/>
    </row>
    <row r="2" spans="1:24" ht="19.5" customHeight="1" x14ac:dyDescent="0.35">
      <c r="A2" s="13" t="str">
        <f>Starterlist!A2</f>
        <v>Trnava, Slowakia</v>
      </c>
      <c r="B2" s="12"/>
      <c r="C2" s="9" t="str">
        <f>Starterlist!B4</f>
        <v>Open Pairs</v>
      </c>
      <c r="E2" s="9" t="str">
        <f>Starterlist!D4</f>
        <v>Semi-Final</v>
      </c>
      <c r="G2" s="9" t="str">
        <f>Starterlist!F4</f>
        <v>A</v>
      </c>
      <c r="H2" s="403">
        <f>Starterlist!J13</f>
        <v>0</v>
      </c>
      <c r="I2" s="403"/>
      <c r="J2" s="11"/>
      <c r="K2" s="13"/>
    </row>
    <row r="3" spans="1:24" ht="8.25" customHeight="1" thickBot="1" x14ac:dyDescent="0.3">
      <c r="B3" s="13"/>
      <c r="C3" s="8"/>
      <c r="D3" s="8"/>
      <c r="E3" s="11"/>
      <c r="F3" s="11"/>
      <c r="G3" s="11"/>
      <c r="H3" s="11"/>
      <c r="J3" s="13"/>
      <c r="K3" s="13"/>
    </row>
    <row r="4" spans="1:24" ht="35.25" customHeight="1" thickBot="1" x14ac:dyDescent="0.4">
      <c r="A4" s="13"/>
      <c r="B4" s="13"/>
      <c r="C4" s="41" t="s">
        <v>176</v>
      </c>
      <c r="D4" s="41" t="s">
        <v>17</v>
      </c>
      <c r="E4" s="41" t="s">
        <v>177</v>
      </c>
      <c r="F4" s="42" t="s">
        <v>178</v>
      </c>
      <c r="G4" s="26" t="s">
        <v>31</v>
      </c>
      <c r="H4" s="222" t="s">
        <v>19</v>
      </c>
      <c r="I4" s="223" t="s">
        <v>0</v>
      </c>
      <c r="J4" s="13"/>
      <c r="K4" s="13"/>
      <c r="L4" s="13"/>
      <c r="M4" s="13"/>
      <c r="N4" s="13"/>
      <c r="O4" s="13"/>
      <c r="P4" s="13"/>
      <c r="Q4" s="13"/>
      <c r="R4" s="13"/>
      <c r="S4" s="13"/>
      <c r="T4" s="13"/>
      <c r="U4" s="13"/>
      <c r="V4" s="13"/>
      <c r="W4" s="13"/>
      <c r="X4" s="13"/>
    </row>
    <row r="5" spans="1:24" ht="20.25" customHeight="1" thickBot="1" x14ac:dyDescent="0.4">
      <c r="A5" s="19" t="s">
        <v>9</v>
      </c>
      <c r="B5" s="20" t="s">
        <v>16</v>
      </c>
      <c r="C5" s="35">
        <v>-0.1</v>
      </c>
      <c r="D5" s="35">
        <v>-0.2</v>
      </c>
      <c r="E5" s="35">
        <v>-0.3</v>
      </c>
      <c r="F5" s="36">
        <v>-0.5</v>
      </c>
      <c r="G5" s="37"/>
      <c r="H5" s="113" t="s">
        <v>184</v>
      </c>
      <c r="I5" s="37"/>
      <c r="J5" s="214"/>
      <c r="K5" s="13"/>
      <c r="L5" s="13"/>
      <c r="M5" s="13"/>
      <c r="N5" s="13"/>
      <c r="O5" s="13"/>
      <c r="P5" s="13"/>
      <c r="Q5" s="13"/>
      <c r="R5" s="13"/>
      <c r="S5" s="13"/>
      <c r="T5" s="13"/>
      <c r="U5" s="13"/>
      <c r="V5" s="13"/>
      <c r="W5" s="13"/>
      <c r="X5" s="13"/>
    </row>
    <row r="6" spans="1:24" ht="43.5" customHeight="1" thickBot="1" x14ac:dyDescent="0.3">
      <c r="A6" s="97">
        <v>1</v>
      </c>
      <c r="B6" s="112" t="str">
        <f>(Starterlist!B13)&amp;CHAR(10)&amp;(Starterlist!D13)&amp;CHAR(10)&amp;(Starterlist!F13)</f>
        <v xml:space="preserve">
</v>
      </c>
      <c r="C6" s="107"/>
      <c r="D6" s="107"/>
      <c r="E6" s="107"/>
      <c r="F6" s="108"/>
      <c r="G6" s="109">
        <f t="shared" ref="G6:G13" si="0">(0.1*C6)+(0.2*D6)+(0.3*E6)+(0.5*F6)</f>
        <v>0</v>
      </c>
      <c r="H6" s="105" t="str">
        <f t="shared" ref="H6:H13" si="1">IF(G6=0,"",10-G6)</f>
        <v/>
      </c>
      <c r="I6" s="106" t="str">
        <f>IF(H6="","",RANK(H6,H$5:H$15))</f>
        <v/>
      </c>
      <c r="J6" s="214"/>
      <c r="K6" s="13"/>
      <c r="L6" s="13"/>
      <c r="M6" s="13"/>
      <c r="N6" s="13"/>
      <c r="O6" s="13"/>
      <c r="P6" s="13"/>
      <c r="Q6" s="13"/>
      <c r="R6" s="13"/>
      <c r="S6" s="13"/>
      <c r="T6" s="13"/>
      <c r="U6" s="13"/>
      <c r="V6" s="13"/>
      <c r="W6" s="13"/>
      <c r="X6" s="13"/>
    </row>
    <row r="7" spans="1:24" ht="43.5" customHeight="1" thickBot="1" x14ac:dyDescent="0.3">
      <c r="A7" s="97">
        <v>2</v>
      </c>
      <c r="B7" s="112" t="str">
        <f>(Starterlist!B14)&amp;CHAR(10)&amp;(Starterlist!D14)&amp;CHAR(10)&amp;(Starterlist!F14)</f>
        <v xml:space="preserve">
</v>
      </c>
      <c r="C7" s="107"/>
      <c r="D7" s="107"/>
      <c r="E7" s="107"/>
      <c r="F7" s="108"/>
      <c r="G7" s="109">
        <f t="shared" si="0"/>
        <v>0</v>
      </c>
      <c r="H7" s="105" t="str">
        <f t="shared" si="1"/>
        <v/>
      </c>
      <c r="I7" s="106" t="str">
        <f t="shared" ref="I7:I15" si="2">IF(H7="","",RANK(H7,H$5:H$15))</f>
        <v/>
      </c>
      <c r="J7" s="214"/>
      <c r="K7" s="13"/>
      <c r="L7" s="13"/>
      <c r="M7" s="13"/>
      <c r="N7" s="13"/>
      <c r="O7" s="13"/>
      <c r="P7" s="13"/>
      <c r="Q7" s="13"/>
      <c r="R7" s="13"/>
      <c r="S7" s="13"/>
      <c r="T7" s="13"/>
      <c r="U7" s="13"/>
      <c r="V7" s="13"/>
      <c r="W7" s="13"/>
      <c r="X7" s="13"/>
    </row>
    <row r="8" spans="1:24" ht="43.5" customHeight="1" thickBot="1" x14ac:dyDescent="0.3">
      <c r="A8" s="97">
        <v>3</v>
      </c>
      <c r="B8" s="112" t="str">
        <f>(Starterlist!B15)&amp;CHAR(10)&amp;(Starterlist!D15)&amp;CHAR(10)&amp;(Starterlist!F15)</f>
        <v xml:space="preserve">
</v>
      </c>
      <c r="C8" s="107"/>
      <c r="D8" s="107"/>
      <c r="E8" s="107"/>
      <c r="F8" s="108"/>
      <c r="G8" s="109">
        <f t="shared" si="0"/>
        <v>0</v>
      </c>
      <c r="H8" s="105" t="str">
        <f t="shared" si="1"/>
        <v/>
      </c>
      <c r="I8" s="106" t="str">
        <f t="shared" si="2"/>
        <v/>
      </c>
      <c r="J8" s="214"/>
      <c r="K8" s="13"/>
      <c r="L8" s="13"/>
      <c r="M8" s="13"/>
      <c r="N8" s="13"/>
      <c r="O8" s="13"/>
      <c r="P8" s="13"/>
      <c r="Q8" s="13"/>
      <c r="R8" s="13"/>
      <c r="S8" s="13"/>
      <c r="T8" s="13"/>
      <c r="U8" s="13"/>
      <c r="V8" s="13"/>
      <c r="W8" s="13"/>
      <c r="X8" s="13"/>
    </row>
    <row r="9" spans="1:24" ht="43.5" customHeight="1" thickBot="1" x14ac:dyDescent="0.3">
      <c r="A9" s="97">
        <v>4</v>
      </c>
      <c r="B9" s="112" t="str">
        <f>(Starterlist!B16)&amp;CHAR(10)&amp;(Starterlist!D16)&amp;CHAR(10)&amp;(Starterlist!F16)</f>
        <v xml:space="preserve">
</v>
      </c>
      <c r="C9" s="107"/>
      <c r="D9" s="107"/>
      <c r="E9" s="107"/>
      <c r="F9" s="108"/>
      <c r="G9" s="109">
        <f t="shared" si="0"/>
        <v>0</v>
      </c>
      <c r="H9" s="105" t="str">
        <f t="shared" si="1"/>
        <v/>
      </c>
      <c r="I9" s="106" t="str">
        <f t="shared" si="2"/>
        <v/>
      </c>
      <c r="J9" s="214"/>
      <c r="K9" s="13"/>
      <c r="L9" s="13"/>
      <c r="M9" s="13"/>
      <c r="N9" s="13"/>
      <c r="O9" s="13"/>
      <c r="P9" s="13"/>
      <c r="Q9" s="13"/>
      <c r="R9" s="13"/>
      <c r="S9" s="13"/>
      <c r="T9" s="13"/>
      <c r="U9" s="13"/>
      <c r="V9" s="13"/>
      <c r="W9" s="13"/>
      <c r="X9" s="13"/>
    </row>
    <row r="10" spans="1:24" ht="43.5" customHeight="1" thickBot="1" x14ac:dyDescent="0.3">
      <c r="A10" s="158">
        <v>5</v>
      </c>
      <c r="B10" s="159" t="str">
        <f>(Starterlist!B17)&amp;CHAR(10)&amp;(Starterlist!D17)&amp;CHAR(10)&amp;(Starterlist!F17)</f>
        <v xml:space="preserve">
</v>
      </c>
      <c r="C10" s="107"/>
      <c r="D10" s="205"/>
      <c r="E10" s="205"/>
      <c r="F10" s="206"/>
      <c r="G10" s="207">
        <f t="shared" si="0"/>
        <v>0</v>
      </c>
      <c r="H10" s="208" t="str">
        <f t="shared" si="1"/>
        <v/>
      </c>
      <c r="I10" s="157" t="str">
        <f t="shared" si="2"/>
        <v/>
      </c>
      <c r="J10" s="214"/>
      <c r="K10" s="13"/>
      <c r="L10" s="13"/>
      <c r="M10" s="13"/>
      <c r="N10" s="13"/>
      <c r="O10" s="13"/>
      <c r="P10" s="13"/>
      <c r="Q10" s="13"/>
      <c r="R10" s="13"/>
      <c r="S10" s="13"/>
      <c r="T10" s="13"/>
      <c r="U10" s="13"/>
      <c r="V10" s="13"/>
      <c r="W10" s="13"/>
      <c r="X10" s="13"/>
    </row>
    <row r="11" spans="1:24" ht="43.5" customHeight="1" thickBot="1" x14ac:dyDescent="0.3">
      <c r="A11" s="97">
        <v>6</v>
      </c>
      <c r="B11" s="112" t="str">
        <f>(Starterlist!B18)&amp;CHAR(10)&amp;(Starterlist!D18)&amp;CHAR(10)&amp;(Starterlist!F18)</f>
        <v xml:space="preserve">
</v>
      </c>
      <c r="C11" s="107"/>
      <c r="D11" s="107"/>
      <c r="E11" s="107"/>
      <c r="F11" s="108"/>
      <c r="G11" s="109">
        <f t="shared" si="0"/>
        <v>0</v>
      </c>
      <c r="H11" s="105" t="str">
        <f t="shared" si="1"/>
        <v/>
      </c>
      <c r="I11" s="106" t="str">
        <f t="shared" si="2"/>
        <v/>
      </c>
      <c r="J11" s="214"/>
      <c r="K11" s="13"/>
      <c r="L11" s="13"/>
      <c r="M11" s="13"/>
      <c r="N11" s="13"/>
      <c r="O11" s="13"/>
      <c r="P11" s="13"/>
      <c r="Q11" s="13"/>
      <c r="R11" s="13"/>
      <c r="S11" s="13"/>
      <c r="T11" s="13"/>
      <c r="U11" s="13"/>
      <c r="V11" s="13"/>
      <c r="W11" s="13"/>
      <c r="X11" s="13"/>
    </row>
    <row r="12" spans="1:24" ht="43.5" customHeight="1" thickBot="1" x14ac:dyDescent="0.3">
      <c r="A12" s="97">
        <v>7</v>
      </c>
      <c r="B12" s="112" t="str">
        <f>(Starterlist!B19)&amp;CHAR(10)&amp;(Starterlist!D19)&amp;CHAR(10)&amp;(Starterlist!F19)</f>
        <v xml:space="preserve">
</v>
      </c>
      <c r="C12" s="107"/>
      <c r="D12" s="107"/>
      <c r="E12" s="107"/>
      <c r="F12" s="108"/>
      <c r="G12" s="109">
        <f t="shared" si="0"/>
        <v>0</v>
      </c>
      <c r="H12" s="105" t="str">
        <f t="shared" si="1"/>
        <v/>
      </c>
      <c r="I12" s="106" t="str">
        <f t="shared" si="2"/>
        <v/>
      </c>
      <c r="J12" s="214"/>
      <c r="K12" s="13"/>
      <c r="L12" s="13"/>
      <c r="M12" s="13"/>
      <c r="N12" s="13"/>
      <c r="O12" s="13"/>
      <c r="P12" s="13"/>
      <c r="Q12" s="13"/>
      <c r="R12" s="13"/>
      <c r="S12" s="13"/>
      <c r="T12" s="13"/>
      <c r="U12" s="13"/>
      <c r="V12" s="13"/>
      <c r="W12" s="13"/>
      <c r="X12" s="13"/>
    </row>
    <row r="13" spans="1:24" ht="43.5" customHeight="1" thickBot="1" x14ac:dyDescent="0.3">
      <c r="A13" s="97">
        <v>8</v>
      </c>
      <c r="B13" s="112" t="str">
        <f>(Starterlist!B20)&amp;CHAR(10)&amp;(Starterlist!D20)&amp;CHAR(10)&amp;(Starterlist!F20)</f>
        <v xml:space="preserve">
</v>
      </c>
      <c r="C13" s="107"/>
      <c r="D13" s="107"/>
      <c r="E13" s="107"/>
      <c r="F13" s="108"/>
      <c r="G13" s="109">
        <f t="shared" si="0"/>
        <v>0</v>
      </c>
      <c r="H13" s="105" t="str">
        <f t="shared" si="1"/>
        <v/>
      </c>
      <c r="I13" s="106" t="str">
        <f t="shared" si="2"/>
        <v/>
      </c>
      <c r="J13" s="214"/>
      <c r="K13" s="13"/>
      <c r="L13" s="13"/>
      <c r="M13" s="13"/>
      <c r="N13" s="13"/>
      <c r="O13" s="13"/>
      <c r="P13" s="13"/>
    </row>
    <row r="14" spans="1:24" ht="43.5" hidden="1" customHeight="1" thickBot="1" x14ac:dyDescent="0.3">
      <c r="A14" s="97">
        <v>9</v>
      </c>
      <c r="B14" s="112" t="str">
        <f>(Starterlist!B21)&amp;CHAR(10)&amp;(Starterlist!D21)&amp;CHAR(10)&amp;(Starterlist!F21)</f>
        <v xml:space="preserve">
</v>
      </c>
      <c r="C14" s="107"/>
      <c r="D14" s="107"/>
      <c r="E14" s="107"/>
      <c r="F14" s="108"/>
      <c r="G14" s="109">
        <f>(0.1*C14)+(0.2*D14)+(0.3*E14)+(0.5*F14)</f>
        <v>0</v>
      </c>
      <c r="H14" s="105" t="str">
        <f>IF(G14=0,"",10-G14)</f>
        <v/>
      </c>
      <c r="I14" s="87" t="str">
        <f t="shared" si="2"/>
        <v/>
      </c>
      <c r="J14" s="13"/>
      <c r="K14" s="13"/>
      <c r="L14" s="13"/>
      <c r="M14" s="13"/>
      <c r="N14" s="13"/>
      <c r="O14" s="13"/>
      <c r="P14" s="13"/>
    </row>
    <row r="15" spans="1:24" ht="43.5" hidden="1" customHeight="1" thickBot="1" x14ac:dyDescent="0.3">
      <c r="A15" s="97">
        <v>10</v>
      </c>
      <c r="B15" s="112" t="str">
        <f>(Starterlist!B22)&amp;CHAR(10)&amp;(Starterlist!D22)&amp;CHAR(10)&amp;(Starterlist!F22)</f>
        <v xml:space="preserve">
</v>
      </c>
      <c r="C15" s="107"/>
      <c r="D15" s="107"/>
      <c r="E15" s="107"/>
      <c r="F15" s="108"/>
      <c r="G15" s="109">
        <f>(0.1*C15)+(0.2*D15)+(0.3*E15)+(0.5*F15)</f>
        <v>0</v>
      </c>
      <c r="H15" s="105" t="str">
        <f>IF(G15=0,"",10-G15)</f>
        <v/>
      </c>
      <c r="I15" s="105" t="str">
        <f t="shared" si="2"/>
        <v/>
      </c>
      <c r="J15" s="13"/>
      <c r="K15" s="13"/>
      <c r="L15" s="13"/>
      <c r="M15" s="13"/>
      <c r="N15" s="13"/>
      <c r="O15" s="13"/>
      <c r="P15" s="13"/>
    </row>
    <row r="16" spans="1:24" hidden="1" x14ac:dyDescent="0.25"/>
  </sheetData>
  <mergeCells count="1">
    <mergeCell ref="H2:I2"/>
  </mergeCells>
  <phoneticPr fontId="0" type="noConversion"/>
  <pageMargins left="0.60392156862745094" right="0.25" top="0.75" bottom="0.75" header="0.3" footer="0.3"/>
  <pageSetup paperSize="9" scale="88" orientation="landscape" r:id="rId1"/>
  <headerFooter alignWithMargins="0">
    <oddHeader>&amp;C&amp;18Execution&amp;R&amp;G</oddHeader>
  </headerFooter>
  <legacy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Ex2">
    <tabColor indexed="43"/>
  </sheetPr>
  <dimension ref="A1:X16"/>
  <sheetViews>
    <sheetView showGridLines="0" showRowColHeaders="0" showZeros="0" zoomScaleNormal="100" zoomScaleSheetLayoutView="85" zoomScalePageLayoutView="85" workbookViewId="0">
      <selection activeCell="Y32" sqref="Y32"/>
    </sheetView>
  </sheetViews>
  <sheetFormatPr defaultColWidth="11.140625" defaultRowHeight="15" x14ac:dyDescent="0.25"/>
  <cols>
    <col min="1" max="1" width="4.28515625" style="5" customWidth="1"/>
    <col min="2" max="2" width="35.28515625" style="5" customWidth="1"/>
    <col min="3" max="4" width="15.85546875" style="6" customWidth="1"/>
    <col min="5" max="8" width="15.85546875" style="7" customWidth="1"/>
    <col min="9" max="9" width="9.85546875" style="5" customWidth="1"/>
    <col min="10" max="16384" width="11.140625" style="5"/>
  </cols>
  <sheetData>
    <row r="1" spans="1:24" ht="30" customHeight="1" x14ac:dyDescent="0.5">
      <c r="A1" s="32" t="str">
        <f>Starterlist!A1</f>
        <v>FPAW 2018</v>
      </c>
      <c r="C1" s="13" t="s">
        <v>13</v>
      </c>
      <c r="E1" s="13" t="s">
        <v>14</v>
      </c>
      <c r="G1" s="13" t="str">
        <f>Starterlist!F3</f>
        <v>Pool</v>
      </c>
      <c r="H1" s="13" t="s">
        <v>37</v>
      </c>
      <c r="K1" s="13"/>
    </row>
    <row r="2" spans="1:24" ht="19.5" customHeight="1" x14ac:dyDescent="0.35">
      <c r="A2" s="13" t="str">
        <f>Starterlist!A2</f>
        <v>Trnava, Slowakia</v>
      </c>
      <c r="B2" s="12"/>
      <c r="C2" s="9" t="str">
        <f>Starterlist!B4</f>
        <v>Open Pairs</v>
      </c>
      <c r="E2" s="9" t="str">
        <f>Starterlist!D4</f>
        <v>Semi-Final</v>
      </c>
      <c r="G2" s="9" t="str">
        <f>Starterlist!F4</f>
        <v>A</v>
      </c>
      <c r="H2" s="403">
        <f>Starterlist!J14</f>
        <v>0</v>
      </c>
      <c r="I2" s="403"/>
      <c r="J2" s="11"/>
      <c r="K2" s="13"/>
    </row>
    <row r="3" spans="1:24" ht="8.25" customHeight="1" thickBot="1" x14ac:dyDescent="0.3">
      <c r="B3" s="13"/>
      <c r="C3" s="8"/>
      <c r="D3" s="8"/>
      <c r="E3" s="11"/>
      <c r="F3" s="11"/>
      <c r="G3" s="11"/>
      <c r="H3" s="11"/>
      <c r="I3" s="13"/>
      <c r="J3" s="13"/>
      <c r="K3" s="13"/>
    </row>
    <row r="4" spans="1:24" ht="35.25" customHeight="1" thickBot="1" x14ac:dyDescent="0.4">
      <c r="A4" s="13"/>
      <c r="B4" s="13"/>
      <c r="C4" s="41" t="s">
        <v>176</v>
      </c>
      <c r="D4" s="41" t="s">
        <v>17</v>
      </c>
      <c r="E4" s="41" t="s">
        <v>177</v>
      </c>
      <c r="F4" s="42" t="s">
        <v>178</v>
      </c>
      <c r="G4" s="26" t="s">
        <v>31</v>
      </c>
      <c r="H4" s="222" t="s">
        <v>19</v>
      </c>
      <c r="I4" s="223" t="s">
        <v>0</v>
      </c>
      <c r="J4" s="13"/>
      <c r="K4" s="13"/>
      <c r="L4" s="13"/>
      <c r="M4" s="13"/>
      <c r="N4" s="13"/>
      <c r="O4" s="13"/>
      <c r="P4" s="13"/>
      <c r="Q4" s="13"/>
      <c r="R4" s="13"/>
      <c r="S4" s="13"/>
      <c r="T4" s="13"/>
      <c r="U4" s="13"/>
      <c r="V4" s="13"/>
      <c r="W4" s="13"/>
      <c r="X4" s="13"/>
    </row>
    <row r="5" spans="1:24" ht="20.25" customHeight="1" thickBot="1" x14ac:dyDescent="0.4">
      <c r="A5" s="19" t="s">
        <v>9</v>
      </c>
      <c r="B5" s="20" t="s">
        <v>16</v>
      </c>
      <c r="C5" s="35">
        <v>-0.1</v>
      </c>
      <c r="D5" s="35">
        <v>-0.2</v>
      </c>
      <c r="E5" s="35">
        <v>-0.3</v>
      </c>
      <c r="F5" s="36">
        <v>-0.5</v>
      </c>
      <c r="G5" s="37"/>
      <c r="H5" s="113" t="s">
        <v>184</v>
      </c>
      <c r="I5" s="37"/>
      <c r="J5" s="214"/>
      <c r="K5" s="13"/>
      <c r="L5" s="13"/>
      <c r="M5" s="13"/>
      <c r="N5" s="13"/>
      <c r="O5" s="13"/>
      <c r="P5" s="13"/>
      <c r="Q5" s="13"/>
      <c r="R5" s="13"/>
      <c r="S5" s="13"/>
      <c r="T5" s="13"/>
      <c r="U5" s="13"/>
      <c r="V5" s="13"/>
      <c r="W5" s="13"/>
      <c r="X5" s="13"/>
    </row>
    <row r="6" spans="1:24" ht="43.5" customHeight="1" thickBot="1" x14ac:dyDescent="0.3">
      <c r="A6" s="47">
        <v>1</v>
      </c>
      <c r="B6" s="111" t="str">
        <f>(Starterlist!B13)&amp;CHAR(10)&amp;(Starterlist!D13)&amp;CHAR(10)&amp;(Starterlist!F13)</f>
        <v xml:space="preserve">
</v>
      </c>
      <c r="C6" s="91"/>
      <c r="D6" s="91"/>
      <c r="E6" s="91"/>
      <c r="F6" s="92"/>
      <c r="G6" s="89">
        <f t="shared" ref="G6:G13" si="0">(0.1*C6)+(0.2*D6)+(0.3*E6)+(0.5*F6)</f>
        <v>0</v>
      </c>
      <c r="H6" s="88" t="str">
        <f>IF(G6=0,"",10-G6)</f>
        <v/>
      </c>
      <c r="I6" s="87" t="str">
        <f>IF(H6="","",RANK(H6,H$5:H$15))</f>
        <v/>
      </c>
      <c r="J6" s="214"/>
      <c r="K6" s="13"/>
      <c r="L6" s="13"/>
      <c r="M6" s="13"/>
      <c r="N6" s="13"/>
      <c r="O6" s="13"/>
      <c r="P6" s="13"/>
      <c r="Q6" s="13"/>
      <c r="R6" s="13"/>
      <c r="S6" s="13"/>
      <c r="T6" s="13"/>
      <c r="U6" s="13"/>
      <c r="V6" s="13"/>
      <c r="W6" s="13"/>
      <c r="X6" s="13"/>
    </row>
    <row r="7" spans="1:24" ht="43.5" customHeight="1" thickBot="1" x14ac:dyDescent="0.3">
      <c r="A7" s="47">
        <v>2</v>
      </c>
      <c r="B7" s="111" t="str">
        <f>(Starterlist!B14)&amp;CHAR(10)&amp;(Starterlist!D14)&amp;CHAR(10)&amp;(Starterlist!F14)</f>
        <v xml:space="preserve">
</v>
      </c>
      <c r="C7" s="91"/>
      <c r="D7" s="91"/>
      <c r="E7" s="91"/>
      <c r="F7" s="92"/>
      <c r="G7" s="89">
        <f t="shared" si="0"/>
        <v>0</v>
      </c>
      <c r="H7" s="88" t="str">
        <f>IF(G7=0,"",10-G7)</f>
        <v/>
      </c>
      <c r="I7" s="87" t="str">
        <f t="shared" ref="I7:I15" si="1">IF(H7="","",RANK(H7,H$5:H$15))</f>
        <v/>
      </c>
      <c r="J7" s="214"/>
      <c r="K7" s="13"/>
      <c r="L7" s="13"/>
      <c r="M7" s="13"/>
      <c r="N7" s="13"/>
      <c r="O7" s="13"/>
      <c r="P7" s="13"/>
      <c r="Q7" s="13"/>
      <c r="R7" s="13"/>
      <c r="S7" s="13"/>
      <c r="T7" s="13"/>
      <c r="U7" s="13"/>
      <c r="V7" s="13"/>
      <c r="W7" s="13"/>
      <c r="X7" s="13"/>
    </row>
    <row r="8" spans="1:24" ht="43.5" customHeight="1" thickBot="1" x14ac:dyDescent="0.3">
      <c r="A8" s="47">
        <v>3</v>
      </c>
      <c r="B8" s="111" t="str">
        <f>(Starterlist!B15)&amp;CHAR(10)&amp;(Starterlist!D15)&amp;CHAR(10)&amp;(Starterlist!F15)</f>
        <v xml:space="preserve">
</v>
      </c>
      <c r="C8" s="91"/>
      <c r="D8" s="91"/>
      <c r="E8" s="91"/>
      <c r="F8" s="92"/>
      <c r="G8" s="89">
        <f t="shared" si="0"/>
        <v>0</v>
      </c>
      <c r="H8" s="88" t="str">
        <f t="shared" ref="H8:H13" si="2">IF(G8=0,"",10-G8)</f>
        <v/>
      </c>
      <c r="I8" s="87" t="str">
        <f t="shared" si="1"/>
        <v/>
      </c>
      <c r="J8" s="214"/>
      <c r="K8" s="13"/>
      <c r="L8" s="13"/>
      <c r="M8" s="13"/>
      <c r="N8" s="13"/>
      <c r="O8" s="13"/>
      <c r="P8" s="13"/>
      <c r="Q8" s="13"/>
      <c r="R8" s="13"/>
      <c r="S8" s="13"/>
      <c r="T8" s="13"/>
      <c r="U8" s="13"/>
      <c r="V8" s="13"/>
      <c r="W8" s="13"/>
      <c r="X8" s="13"/>
    </row>
    <row r="9" spans="1:24" ht="43.5" customHeight="1" thickBot="1" x14ac:dyDescent="0.3">
      <c r="A9" s="97">
        <v>4</v>
      </c>
      <c r="B9" s="112" t="str">
        <f>(Starterlist!B16)&amp;CHAR(10)&amp;(Starterlist!D16)&amp;CHAR(10)&amp;(Starterlist!F16)</f>
        <v xml:space="preserve">
</v>
      </c>
      <c r="C9" s="107"/>
      <c r="D9" s="107"/>
      <c r="E9" s="107"/>
      <c r="F9" s="108"/>
      <c r="G9" s="109">
        <f t="shared" si="0"/>
        <v>0</v>
      </c>
      <c r="H9" s="105" t="str">
        <f t="shared" si="2"/>
        <v/>
      </c>
      <c r="I9" s="106" t="str">
        <f t="shared" si="1"/>
        <v/>
      </c>
      <c r="J9" s="214"/>
      <c r="K9" s="13"/>
      <c r="L9" s="13"/>
      <c r="M9" s="13"/>
      <c r="N9" s="13"/>
      <c r="O9" s="13"/>
      <c r="P9" s="13"/>
      <c r="Q9" s="13"/>
      <c r="R9" s="13"/>
      <c r="S9" s="13"/>
      <c r="T9" s="13"/>
      <c r="U9" s="13"/>
      <c r="V9" s="13"/>
      <c r="W9" s="13"/>
      <c r="X9" s="13"/>
    </row>
    <row r="10" spans="1:24" ht="43.5" customHeight="1" thickBot="1" x14ac:dyDescent="0.3">
      <c r="A10" s="198">
        <v>5</v>
      </c>
      <c r="B10" s="199" t="str">
        <f>(Starterlist!B17)&amp;CHAR(10)&amp;(Starterlist!D17)&amp;CHAR(10)&amp;(Starterlist!F17)</f>
        <v xml:space="preserve">
</v>
      </c>
      <c r="C10" s="200"/>
      <c r="D10" s="200"/>
      <c r="E10" s="200"/>
      <c r="F10" s="201"/>
      <c r="G10" s="202">
        <f t="shared" si="0"/>
        <v>0</v>
      </c>
      <c r="H10" s="203" t="str">
        <f t="shared" si="2"/>
        <v/>
      </c>
      <c r="I10" s="204" t="str">
        <f t="shared" si="1"/>
        <v/>
      </c>
      <c r="J10" s="214"/>
      <c r="K10" s="13"/>
      <c r="L10" s="13"/>
      <c r="M10" s="13"/>
      <c r="N10" s="13"/>
      <c r="O10" s="13"/>
      <c r="P10" s="13"/>
      <c r="Q10" s="13"/>
      <c r="R10" s="13"/>
      <c r="S10" s="13"/>
      <c r="T10" s="13"/>
      <c r="U10" s="13"/>
      <c r="V10" s="13"/>
      <c r="W10" s="13"/>
      <c r="X10" s="13"/>
    </row>
    <row r="11" spans="1:24" ht="43.5" customHeight="1" thickBot="1" x14ac:dyDescent="0.3">
      <c r="A11" s="47">
        <v>6</v>
      </c>
      <c r="B11" s="111" t="str">
        <f>(Starterlist!B18)&amp;CHAR(10)&amp;(Starterlist!D18)&amp;CHAR(10)&amp;(Starterlist!F18)</f>
        <v xml:space="preserve">
</v>
      </c>
      <c r="C11" s="91"/>
      <c r="D11" s="91"/>
      <c r="E11" s="91"/>
      <c r="F11" s="92"/>
      <c r="G11" s="89">
        <f t="shared" si="0"/>
        <v>0</v>
      </c>
      <c r="H11" s="88" t="str">
        <f t="shared" si="2"/>
        <v/>
      </c>
      <c r="I11" s="87" t="str">
        <f t="shared" si="1"/>
        <v/>
      </c>
      <c r="J11" s="214"/>
      <c r="K11" s="13"/>
      <c r="L11" s="13"/>
      <c r="M11" s="13"/>
      <c r="N11" s="13"/>
      <c r="O11" s="13"/>
      <c r="P11" s="13"/>
      <c r="Q11" s="13"/>
      <c r="R11" s="13"/>
      <c r="S11" s="13"/>
      <c r="T11" s="13"/>
      <c r="U11" s="13"/>
      <c r="V11" s="13"/>
      <c r="W11" s="13"/>
      <c r="X11" s="13"/>
    </row>
    <row r="12" spans="1:24" ht="43.5" customHeight="1" thickBot="1" x14ac:dyDescent="0.3">
      <c r="A12" s="47">
        <v>7</v>
      </c>
      <c r="B12" s="111" t="str">
        <f>(Starterlist!B19)&amp;CHAR(10)&amp;(Starterlist!D19)&amp;CHAR(10)&amp;(Starterlist!F19)</f>
        <v xml:space="preserve">
</v>
      </c>
      <c r="C12" s="91"/>
      <c r="D12" s="91"/>
      <c r="E12" s="91"/>
      <c r="F12" s="92"/>
      <c r="G12" s="89">
        <f t="shared" si="0"/>
        <v>0</v>
      </c>
      <c r="H12" s="88" t="str">
        <f t="shared" si="2"/>
        <v/>
      </c>
      <c r="I12" s="87" t="str">
        <f t="shared" si="1"/>
        <v/>
      </c>
      <c r="J12" s="214"/>
      <c r="K12" s="13"/>
      <c r="L12" s="13"/>
      <c r="M12" s="13"/>
      <c r="N12" s="13"/>
      <c r="O12" s="13"/>
      <c r="P12" s="13"/>
      <c r="Q12" s="13"/>
      <c r="R12" s="13"/>
      <c r="S12" s="13"/>
      <c r="T12" s="13"/>
      <c r="U12" s="13"/>
      <c r="V12" s="13"/>
      <c r="W12" s="13"/>
      <c r="X12" s="13"/>
    </row>
    <row r="13" spans="1:24" ht="43.5" customHeight="1" thickBot="1" x14ac:dyDescent="0.3">
      <c r="A13" s="97">
        <v>8</v>
      </c>
      <c r="B13" s="112" t="str">
        <f>(Starterlist!B20)&amp;CHAR(10)&amp;(Starterlist!D20)&amp;CHAR(10)&amp;(Starterlist!F20)</f>
        <v xml:space="preserve">
</v>
      </c>
      <c r="C13" s="107"/>
      <c r="D13" s="107"/>
      <c r="E13" s="107"/>
      <c r="F13" s="108"/>
      <c r="G13" s="109">
        <f t="shared" si="0"/>
        <v>0</v>
      </c>
      <c r="H13" s="105" t="str">
        <f t="shared" si="2"/>
        <v/>
      </c>
      <c r="I13" s="106" t="str">
        <f t="shared" si="1"/>
        <v/>
      </c>
      <c r="J13" s="214"/>
      <c r="K13" s="13"/>
      <c r="L13" s="13"/>
      <c r="M13" s="13"/>
      <c r="N13" s="13"/>
      <c r="O13" s="13"/>
      <c r="P13" s="13"/>
    </row>
    <row r="14" spans="1:24" ht="43.5" hidden="1" customHeight="1" thickBot="1" x14ac:dyDescent="0.3">
      <c r="A14" s="97">
        <v>9</v>
      </c>
      <c r="B14" s="112" t="str">
        <f>(Starterlist!B21)&amp;CHAR(10)&amp;(Starterlist!D21)&amp;CHAR(10)&amp;(Starterlist!F21)</f>
        <v xml:space="preserve">
</v>
      </c>
      <c r="C14" s="107"/>
      <c r="D14" s="107"/>
      <c r="E14" s="107"/>
      <c r="F14" s="108"/>
      <c r="G14" s="109">
        <f>(0.1*C14)+(0.2*D14)+(0.3*E14)+(0.5*F14)</f>
        <v>0</v>
      </c>
      <c r="H14" s="105" t="str">
        <f>IF(G14=0,"",10-G14)</f>
        <v/>
      </c>
      <c r="I14" s="87" t="str">
        <f t="shared" si="1"/>
        <v/>
      </c>
      <c r="J14" s="13"/>
      <c r="K14" s="13"/>
      <c r="L14" s="13"/>
      <c r="M14" s="13"/>
      <c r="N14" s="13"/>
      <c r="O14" s="13"/>
      <c r="P14" s="13"/>
    </row>
    <row r="15" spans="1:24" ht="43.5" hidden="1" customHeight="1" thickBot="1" x14ac:dyDescent="0.3">
      <c r="A15" s="97">
        <v>10</v>
      </c>
      <c r="B15" s="112" t="str">
        <f>(Starterlist!B22)&amp;CHAR(10)&amp;(Starterlist!D22)&amp;CHAR(10)&amp;(Starterlist!F22)</f>
        <v xml:space="preserve">
</v>
      </c>
      <c r="C15" s="107"/>
      <c r="D15" s="107"/>
      <c r="E15" s="107"/>
      <c r="F15" s="108"/>
      <c r="G15" s="109">
        <f>(0.1*C15)+(0.2*D15)+(0.3*E15)+(0.5*F15)</f>
        <v>0</v>
      </c>
      <c r="H15" s="105" t="str">
        <f>IF(G15=0,"",10-G15)</f>
        <v/>
      </c>
      <c r="I15" s="105" t="str">
        <f t="shared" si="1"/>
        <v/>
      </c>
      <c r="J15" s="13"/>
      <c r="K15" s="13"/>
      <c r="L15" s="13"/>
      <c r="M15" s="13"/>
      <c r="N15" s="13"/>
      <c r="O15" s="13"/>
      <c r="P15" s="13"/>
    </row>
    <row r="16" spans="1:24" hidden="1" x14ac:dyDescent="0.25"/>
  </sheetData>
  <mergeCells count="1">
    <mergeCell ref="H2:I2"/>
  </mergeCells>
  <phoneticPr fontId="0" type="noConversion"/>
  <pageMargins left="0.60392156862745094" right="0.25" top="0.75" bottom="0.75" header="0.3" footer="0.3"/>
  <pageSetup paperSize="9" scale="88" orientation="landscape" r:id="rId1"/>
  <headerFooter alignWithMargins="0">
    <oddHeader>&amp;C&amp;18Execution&amp;R&amp;G</oddHeader>
  </headerFooter>
  <legacyDrawingHF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Ex3">
    <tabColor indexed="43"/>
  </sheetPr>
  <dimension ref="A1:X16"/>
  <sheetViews>
    <sheetView showGridLines="0" showRowColHeaders="0" showZeros="0" zoomScaleNormal="100" zoomScaleSheetLayoutView="85" zoomScalePageLayoutView="70" workbookViewId="0">
      <selection activeCell="Y32" sqref="Y32"/>
    </sheetView>
  </sheetViews>
  <sheetFormatPr defaultColWidth="11.140625" defaultRowHeight="15" x14ac:dyDescent="0.25"/>
  <cols>
    <col min="1" max="1" width="4.28515625" style="5" customWidth="1"/>
    <col min="2" max="2" width="35.28515625" style="5" customWidth="1"/>
    <col min="3" max="4" width="15.85546875" style="6" customWidth="1"/>
    <col min="5" max="8" width="15.85546875" style="7" customWidth="1"/>
    <col min="9" max="9" width="9.85546875" style="5" customWidth="1"/>
    <col min="10" max="16384" width="11.140625" style="5"/>
  </cols>
  <sheetData>
    <row r="1" spans="1:24" ht="30" customHeight="1" x14ac:dyDescent="0.5">
      <c r="A1" s="32" t="str">
        <f>Starterlist!A1</f>
        <v>FPAW 2018</v>
      </c>
      <c r="C1" s="13" t="s">
        <v>13</v>
      </c>
      <c r="E1" s="13" t="s">
        <v>14</v>
      </c>
      <c r="G1" s="13" t="str">
        <f>Starterlist!F3</f>
        <v>Pool</v>
      </c>
      <c r="H1" s="13" t="s">
        <v>37</v>
      </c>
      <c r="K1" s="13"/>
    </row>
    <row r="2" spans="1:24" ht="19.5" customHeight="1" x14ac:dyDescent="0.35">
      <c r="A2" s="13" t="str">
        <f>Starterlist!A2</f>
        <v>Trnava, Slowakia</v>
      </c>
      <c r="B2" s="12"/>
      <c r="C2" s="9" t="str">
        <f>Starterlist!B4</f>
        <v>Open Pairs</v>
      </c>
      <c r="E2" s="9" t="str">
        <f>Starterlist!D4</f>
        <v>Semi-Final</v>
      </c>
      <c r="G2" s="9" t="str">
        <f>Starterlist!F4</f>
        <v>A</v>
      </c>
      <c r="H2" s="403">
        <f>Starterlist!J15</f>
        <v>0</v>
      </c>
      <c r="I2" s="403"/>
      <c r="J2" s="11"/>
      <c r="K2" s="13"/>
    </row>
    <row r="3" spans="1:24" ht="8.25" customHeight="1" thickBot="1" x14ac:dyDescent="0.3">
      <c r="B3" s="13"/>
      <c r="C3" s="8"/>
      <c r="D3" s="8"/>
      <c r="E3" s="11"/>
      <c r="F3" s="11"/>
      <c r="G3" s="11"/>
      <c r="H3" s="11"/>
      <c r="I3" s="13"/>
      <c r="J3" s="13"/>
      <c r="K3" s="13"/>
    </row>
    <row r="4" spans="1:24" ht="35.25" customHeight="1" thickBot="1" x14ac:dyDescent="0.4">
      <c r="A4" s="13"/>
      <c r="B4" s="13"/>
      <c r="C4" s="41" t="s">
        <v>176</v>
      </c>
      <c r="D4" s="41" t="s">
        <v>17</v>
      </c>
      <c r="E4" s="41" t="s">
        <v>177</v>
      </c>
      <c r="F4" s="42" t="s">
        <v>178</v>
      </c>
      <c r="G4" s="26" t="s">
        <v>31</v>
      </c>
      <c r="H4" s="222" t="s">
        <v>19</v>
      </c>
      <c r="I4" s="223" t="s">
        <v>0</v>
      </c>
      <c r="J4" s="13"/>
      <c r="K4" s="13"/>
      <c r="L4" s="13"/>
      <c r="M4" s="13"/>
      <c r="N4" s="13"/>
      <c r="O4" s="13"/>
      <c r="P4" s="13"/>
      <c r="Q4" s="13"/>
      <c r="R4" s="13"/>
      <c r="S4" s="13"/>
      <c r="T4" s="13"/>
      <c r="U4" s="13"/>
      <c r="V4" s="13"/>
      <c r="W4" s="13"/>
      <c r="X4" s="13"/>
    </row>
    <row r="5" spans="1:24" ht="20.25" customHeight="1" thickBot="1" x14ac:dyDescent="0.4">
      <c r="A5" s="19" t="s">
        <v>9</v>
      </c>
      <c r="B5" s="20" t="s">
        <v>16</v>
      </c>
      <c r="C5" s="23">
        <v>-0.1</v>
      </c>
      <c r="D5" s="23">
        <v>-0.2</v>
      </c>
      <c r="E5" s="23">
        <v>-0.3</v>
      </c>
      <c r="F5" s="24">
        <v>-0.5</v>
      </c>
      <c r="G5" s="26"/>
      <c r="H5" s="113" t="s">
        <v>184</v>
      </c>
      <c r="I5" s="37"/>
      <c r="J5" s="214"/>
      <c r="K5" s="13"/>
      <c r="L5" s="13"/>
      <c r="M5" s="13"/>
      <c r="N5" s="13"/>
      <c r="O5" s="13"/>
      <c r="P5" s="13"/>
      <c r="Q5" s="13"/>
      <c r="R5" s="13"/>
      <c r="S5" s="13"/>
      <c r="T5" s="13"/>
      <c r="U5" s="13"/>
      <c r="V5" s="13"/>
      <c r="W5" s="13"/>
      <c r="X5" s="13"/>
    </row>
    <row r="6" spans="1:24" ht="43.5" customHeight="1" thickBot="1" x14ac:dyDescent="0.3">
      <c r="A6" s="47">
        <v>1</v>
      </c>
      <c r="B6" s="111" t="str">
        <f>(Starterlist!B13)&amp;CHAR(10)&amp;(Starterlist!D13)&amp;CHAR(10)&amp;(Starterlist!F13)</f>
        <v xml:space="preserve">
</v>
      </c>
      <c r="C6" s="91"/>
      <c r="D6" s="91"/>
      <c r="E6" s="91"/>
      <c r="F6" s="92"/>
      <c r="G6" s="89">
        <f t="shared" ref="G6:G13" si="0">(0.1*C6)+(0.2*D6)+(0.3*E6)+(0.5*F6)</f>
        <v>0</v>
      </c>
      <c r="H6" s="88" t="str">
        <f>IF(G6=0,"",10-G6)</f>
        <v/>
      </c>
      <c r="I6" s="87" t="str">
        <f>IF(H6="","",RANK(H6,H$5:H$15))</f>
        <v/>
      </c>
      <c r="J6" s="214"/>
      <c r="K6" s="13"/>
      <c r="L6" s="13"/>
      <c r="M6" s="13"/>
      <c r="N6" s="13"/>
      <c r="O6" s="13"/>
      <c r="P6" s="13"/>
      <c r="Q6" s="13"/>
      <c r="R6" s="13"/>
      <c r="S6" s="13"/>
      <c r="T6" s="13"/>
      <c r="U6" s="13"/>
      <c r="V6" s="13"/>
      <c r="W6" s="13"/>
      <c r="X6" s="13"/>
    </row>
    <row r="7" spans="1:24" ht="43.5" customHeight="1" thickBot="1" x14ac:dyDescent="0.3">
      <c r="A7" s="47">
        <v>2</v>
      </c>
      <c r="B7" s="111" t="str">
        <f>(Starterlist!B14)&amp;CHAR(10)&amp;(Starterlist!D14)&amp;CHAR(10)&amp;(Starterlist!F14)</f>
        <v xml:space="preserve">
</v>
      </c>
      <c r="C7" s="91"/>
      <c r="D7" s="91"/>
      <c r="E7" s="91"/>
      <c r="F7" s="92"/>
      <c r="G7" s="89">
        <f t="shared" si="0"/>
        <v>0</v>
      </c>
      <c r="H7" s="88" t="str">
        <f>IF(G7=0,"",10-G7)</f>
        <v/>
      </c>
      <c r="I7" s="87" t="str">
        <f t="shared" ref="I7:I15" si="1">IF(H7="","",RANK(H7,H$5:H$15))</f>
        <v/>
      </c>
      <c r="J7" s="214"/>
      <c r="K7" s="13"/>
      <c r="L7" s="13"/>
      <c r="M7" s="13"/>
      <c r="N7" s="13"/>
      <c r="O7" s="13"/>
      <c r="P7" s="13"/>
      <c r="Q7" s="13"/>
      <c r="R7" s="13"/>
      <c r="S7" s="13"/>
      <c r="T7" s="13"/>
      <c r="U7" s="13"/>
      <c r="V7" s="13"/>
      <c r="W7" s="13"/>
      <c r="X7" s="13"/>
    </row>
    <row r="8" spans="1:24" ht="43.5" customHeight="1" thickBot="1" x14ac:dyDescent="0.3">
      <c r="A8" s="47">
        <v>3</v>
      </c>
      <c r="B8" s="111" t="str">
        <f>(Starterlist!B15)&amp;CHAR(10)&amp;(Starterlist!D15)&amp;CHAR(10)&amp;(Starterlist!F15)</f>
        <v xml:space="preserve">
</v>
      </c>
      <c r="C8" s="91"/>
      <c r="D8" s="91"/>
      <c r="E8" s="91"/>
      <c r="F8" s="92"/>
      <c r="G8" s="89">
        <f t="shared" si="0"/>
        <v>0</v>
      </c>
      <c r="H8" s="88" t="str">
        <f t="shared" ref="H8:H13" si="2">IF(G8=0,"",10-G8)</f>
        <v/>
      </c>
      <c r="I8" s="87" t="str">
        <f t="shared" si="1"/>
        <v/>
      </c>
      <c r="J8" s="214"/>
      <c r="K8" s="13"/>
      <c r="L8" s="13"/>
      <c r="M8" s="13"/>
      <c r="N8" s="13"/>
      <c r="O8" s="13"/>
      <c r="P8" s="13"/>
      <c r="Q8" s="13"/>
      <c r="R8" s="13"/>
      <c r="S8" s="13"/>
      <c r="T8" s="13"/>
      <c r="U8" s="13"/>
      <c r="V8" s="13"/>
      <c r="W8" s="13"/>
      <c r="X8" s="13"/>
    </row>
    <row r="9" spans="1:24" ht="43.5" customHeight="1" thickBot="1" x14ac:dyDescent="0.3">
      <c r="A9" s="97">
        <v>4</v>
      </c>
      <c r="B9" s="112" t="str">
        <f>(Starterlist!B16)&amp;CHAR(10)&amp;(Starterlist!D16)&amp;CHAR(10)&amp;(Starterlist!F16)</f>
        <v xml:space="preserve">
</v>
      </c>
      <c r="C9" s="107"/>
      <c r="D9" s="107"/>
      <c r="E9" s="107"/>
      <c r="F9" s="108"/>
      <c r="G9" s="109">
        <f t="shared" si="0"/>
        <v>0</v>
      </c>
      <c r="H9" s="105" t="str">
        <f t="shared" si="2"/>
        <v/>
      </c>
      <c r="I9" s="106" t="str">
        <f t="shared" si="1"/>
        <v/>
      </c>
      <c r="J9" s="214"/>
      <c r="K9" s="13"/>
      <c r="L9" s="13"/>
      <c r="M9" s="13"/>
      <c r="N9" s="13"/>
      <c r="O9" s="13"/>
      <c r="P9" s="13"/>
      <c r="Q9" s="13"/>
      <c r="R9" s="13"/>
      <c r="S9" s="13"/>
      <c r="T9" s="13"/>
      <c r="U9" s="13"/>
      <c r="V9" s="13"/>
      <c r="W9" s="13"/>
      <c r="X9" s="13"/>
    </row>
    <row r="10" spans="1:24" ht="43.5" customHeight="1" thickBot="1" x14ac:dyDescent="0.3">
      <c r="A10" s="198">
        <v>5</v>
      </c>
      <c r="B10" s="199" t="str">
        <f>(Starterlist!B17)&amp;CHAR(10)&amp;(Starterlist!D17)&amp;CHAR(10)&amp;(Starterlist!F17)</f>
        <v xml:space="preserve">
</v>
      </c>
      <c r="C10" s="200"/>
      <c r="D10" s="200"/>
      <c r="E10" s="200"/>
      <c r="F10" s="201"/>
      <c r="G10" s="202">
        <f t="shared" si="0"/>
        <v>0</v>
      </c>
      <c r="H10" s="203" t="str">
        <f t="shared" si="2"/>
        <v/>
      </c>
      <c r="I10" s="204" t="str">
        <f t="shared" si="1"/>
        <v/>
      </c>
      <c r="J10" s="214"/>
      <c r="K10" s="13"/>
      <c r="L10" s="13"/>
      <c r="M10" s="13"/>
      <c r="N10" s="13"/>
      <c r="O10" s="13"/>
      <c r="P10" s="13"/>
      <c r="Q10" s="13"/>
      <c r="R10" s="13"/>
      <c r="S10" s="13"/>
      <c r="T10" s="13"/>
      <c r="U10" s="13"/>
      <c r="V10" s="13"/>
      <c r="W10" s="13"/>
      <c r="X10" s="13"/>
    </row>
    <row r="11" spans="1:24" ht="43.5" customHeight="1" thickBot="1" x14ac:dyDescent="0.3">
      <c r="A11" s="47">
        <v>6</v>
      </c>
      <c r="B11" s="111" t="str">
        <f>(Starterlist!B18)&amp;CHAR(10)&amp;(Starterlist!D18)&amp;CHAR(10)&amp;(Starterlist!F18)</f>
        <v xml:space="preserve">
</v>
      </c>
      <c r="C11" s="91"/>
      <c r="D11" s="91"/>
      <c r="E11" s="91"/>
      <c r="F11" s="92"/>
      <c r="G11" s="89">
        <f t="shared" si="0"/>
        <v>0</v>
      </c>
      <c r="H11" s="88" t="str">
        <f t="shared" si="2"/>
        <v/>
      </c>
      <c r="I11" s="87" t="str">
        <f t="shared" si="1"/>
        <v/>
      </c>
      <c r="J11" s="214"/>
      <c r="K11" s="13"/>
      <c r="L11" s="13"/>
      <c r="M11" s="13"/>
      <c r="N11" s="13"/>
      <c r="O11" s="13"/>
      <c r="P11" s="13"/>
      <c r="Q11" s="13"/>
      <c r="R11" s="13"/>
      <c r="S11" s="13"/>
      <c r="T11" s="13"/>
      <c r="U11" s="13"/>
      <c r="V11" s="13"/>
      <c r="W11" s="13"/>
      <c r="X11" s="13"/>
    </row>
    <row r="12" spans="1:24" ht="43.5" customHeight="1" thickBot="1" x14ac:dyDescent="0.3">
      <c r="A12" s="47">
        <v>7</v>
      </c>
      <c r="B12" s="111" t="str">
        <f>(Starterlist!B19)&amp;CHAR(10)&amp;(Starterlist!D19)&amp;CHAR(10)&amp;(Starterlist!F19)</f>
        <v xml:space="preserve">
</v>
      </c>
      <c r="C12" s="91"/>
      <c r="D12" s="91"/>
      <c r="E12" s="91"/>
      <c r="F12" s="92"/>
      <c r="G12" s="89">
        <f t="shared" si="0"/>
        <v>0</v>
      </c>
      <c r="H12" s="88" t="str">
        <f t="shared" si="2"/>
        <v/>
      </c>
      <c r="I12" s="87" t="str">
        <f t="shared" si="1"/>
        <v/>
      </c>
      <c r="J12" s="214"/>
      <c r="K12" s="13"/>
      <c r="L12" s="13"/>
      <c r="M12" s="13"/>
      <c r="N12" s="13"/>
      <c r="O12" s="13"/>
      <c r="P12" s="13"/>
      <c r="Q12" s="13"/>
      <c r="R12" s="13"/>
      <c r="S12" s="13"/>
      <c r="T12" s="13"/>
      <c r="U12" s="13"/>
      <c r="V12" s="13"/>
      <c r="W12" s="13"/>
      <c r="X12" s="13"/>
    </row>
    <row r="13" spans="1:24" ht="43.5" customHeight="1" thickBot="1" x14ac:dyDescent="0.3">
      <c r="A13" s="97">
        <v>8</v>
      </c>
      <c r="B13" s="112" t="str">
        <f>(Starterlist!B20)&amp;CHAR(10)&amp;(Starterlist!D20)&amp;CHAR(10)&amp;(Starterlist!F20)</f>
        <v xml:space="preserve">
</v>
      </c>
      <c r="C13" s="107"/>
      <c r="D13" s="107"/>
      <c r="E13" s="107"/>
      <c r="F13" s="108"/>
      <c r="G13" s="109">
        <f t="shared" si="0"/>
        <v>0</v>
      </c>
      <c r="H13" s="105" t="str">
        <f t="shared" si="2"/>
        <v/>
      </c>
      <c r="I13" s="106" t="str">
        <f t="shared" si="1"/>
        <v/>
      </c>
      <c r="J13" s="214"/>
      <c r="K13" s="13"/>
      <c r="L13" s="13"/>
      <c r="M13" s="13"/>
      <c r="N13" s="13"/>
      <c r="O13" s="13"/>
      <c r="P13" s="13"/>
    </row>
    <row r="14" spans="1:24" ht="43.5" hidden="1" customHeight="1" thickBot="1" x14ac:dyDescent="0.3">
      <c r="A14" s="97">
        <v>9</v>
      </c>
      <c r="B14" s="112" t="str">
        <f>(Starterlist!B21)&amp;CHAR(10)&amp;(Starterlist!D21)&amp;CHAR(10)&amp;(Starterlist!F21)</f>
        <v xml:space="preserve">
</v>
      </c>
      <c r="C14" s="107"/>
      <c r="D14" s="107"/>
      <c r="E14" s="107"/>
      <c r="F14" s="108"/>
      <c r="G14" s="109">
        <f>(0.1*C14)+(0.2*D14)+(0.3*E14)+(0.5*F14)</f>
        <v>0</v>
      </c>
      <c r="H14" s="105" t="str">
        <f>IF(G14=0,"",10-G14)</f>
        <v/>
      </c>
      <c r="I14" s="87" t="str">
        <f t="shared" si="1"/>
        <v/>
      </c>
      <c r="J14" s="13"/>
      <c r="K14" s="13"/>
      <c r="L14" s="13"/>
      <c r="M14" s="13"/>
      <c r="N14" s="13"/>
      <c r="O14" s="13"/>
      <c r="P14" s="13"/>
    </row>
    <row r="15" spans="1:24" ht="43.5" hidden="1" customHeight="1" thickBot="1" x14ac:dyDescent="0.3">
      <c r="A15" s="97">
        <v>10</v>
      </c>
      <c r="B15" s="112" t="str">
        <f>(Starterlist!B22)&amp;CHAR(10)&amp;(Starterlist!D22)&amp;CHAR(10)&amp;(Starterlist!F22)</f>
        <v xml:space="preserve">
</v>
      </c>
      <c r="C15" s="107"/>
      <c r="D15" s="107"/>
      <c r="E15" s="107"/>
      <c r="F15" s="108"/>
      <c r="G15" s="109">
        <f>(0.1*C15)+(0.2*D15)+(0.3*E15)+(0.5*F15)</f>
        <v>0</v>
      </c>
      <c r="H15" s="105" t="str">
        <f>IF(G15=0,"",10-G15)</f>
        <v/>
      </c>
      <c r="I15" s="105" t="str">
        <f t="shared" si="1"/>
        <v/>
      </c>
      <c r="J15" s="13"/>
      <c r="K15" s="13"/>
      <c r="L15" s="13"/>
      <c r="M15" s="13"/>
      <c r="N15" s="13"/>
      <c r="O15" s="13"/>
      <c r="P15" s="13"/>
    </row>
    <row r="16" spans="1:24" hidden="1" x14ac:dyDescent="0.25"/>
  </sheetData>
  <mergeCells count="1">
    <mergeCell ref="H2:I2"/>
  </mergeCells>
  <phoneticPr fontId="0" type="noConversion"/>
  <pageMargins left="0.60392156862745094" right="0.25" top="0.75" bottom="0.75" header="0.3" footer="0.3"/>
  <pageSetup paperSize="9" scale="88" orientation="landscape" r:id="rId1"/>
  <headerFooter alignWithMargins="0">
    <oddHeader>&amp;C&amp;18Execution&amp;R&amp;G</oddHeader>
  </headerFooter>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Ai1">
    <tabColor indexed="42"/>
  </sheetPr>
  <dimension ref="A1:K29"/>
  <sheetViews>
    <sheetView showGridLines="0" showRowColHeaders="0" showZeros="0" zoomScaleNormal="100" zoomScaleSheetLayoutView="85" zoomScalePageLayoutView="85" workbookViewId="0">
      <selection activeCell="Y32" sqref="Y32"/>
    </sheetView>
  </sheetViews>
  <sheetFormatPr defaultColWidth="11.140625" defaultRowHeight="15" x14ac:dyDescent="0.25"/>
  <cols>
    <col min="1" max="1" width="4.28515625" style="13" customWidth="1"/>
    <col min="2" max="2" width="35.28515625" style="13" customWidth="1"/>
    <col min="3" max="5" width="15" style="8" customWidth="1"/>
    <col min="6" max="9" width="15" style="11" customWidth="1"/>
    <col min="10" max="10" width="12.85546875" style="13" customWidth="1"/>
    <col min="11" max="11" width="7.140625" style="13" customWidth="1"/>
    <col min="12" max="16384" width="11.140625" style="13"/>
  </cols>
  <sheetData>
    <row r="1" spans="1:11" ht="30" customHeight="1" x14ac:dyDescent="0.5">
      <c r="A1" s="32" t="str">
        <f>Starterlist!A1</f>
        <v>FPAW 2018</v>
      </c>
      <c r="C1" s="13" t="s">
        <v>13</v>
      </c>
      <c r="E1" s="13" t="s">
        <v>14</v>
      </c>
      <c r="G1" s="13" t="str">
        <f>Starterlist!F3</f>
        <v>Pool</v>
      </c>
      <c r="H1" s="13"/>
      <c r="I1" s="13" t="s">
        <v>37</v>
      </c>
    </row>
    <row r="2" spans="1:11" ht="19.5" customHeight="1" x14ac:dyDescent="0.35">
      <c r="A2" s="13" t="str">
        <f>Starterlist!A2</f>
        <v>Trnava, Slowakia</v>
      </c>
      <c r="B2" s="12"/>
      <c r="C2" s="9" t="str">
        <f>Starterlist!B4</f>
        <v>Open Pairs</v>
      </c>
      <c r="E2" s="9" t="str">
        <f>Starterlist!D4</f>
        <v>Semi-Final</v>
      </c>
      <c r="G2" s="9" t="str">
        <f>Starterlist!F4</f>
        <v>A</v>
      </c>
      <c r="H2" s="9"/>
      <c r="I2" s="43">
        <f>Starterlist!J16</f>
        <v>0</v>
      </c>
    </row>
    <row r="3" spans="1:11" ht="8.25" customHeight="1" thickBot="1" x14ac:dyDescent="0.3"/>
    <row r="4" spans="1:11" ht="38.25" customHeight="1" thickBot="1" x14ac:dyDescent="0.4">
      <c r="C4" s="18" t="s">
        <v>21</v>
      </c>
      <c r="D4" s="18" t="s">
        <v>20</v>
      </c>
      <c r="E4" s="18" t="s">
        <v>173</v>
      </c>
      <c r="F4" s="142" t="s">
        <v>99</v>
      </c>
      <c r="G4" s="18" t="s">
        <v>98</v>
      </c>
      <c r="H4" s="225" t="s">
        <v>392</v>
      </c>
      <c r="I4" s="192" t="s">
        <v>18</v>
      </c>
      <c r="J4" s="192" t="s">
        <v>19</v>
      </c>
      <c r="K4" s="189" t="s">
        <v>0</v>
      </c>
    </row>
    <row r="5" spans="1:11" ht="20.25" customHeight="1" thickBot="1" x14ac:dyDescent="0.4">
      <c r="A5" s="19" t="s">
        <v>9</v>
      </c>
      <c r="B5" s="20" t="s">
        <v>16</v>
      </c>
      <c r="C5" s="21" t="s">
        <v>22</v>
      </c>
      <c r="D5" s="21" t="s">
        <v>22</v>
      </c>
      <c r="E5" s="21" t="s">
        <v>22</v>
      </c>
      <c r="F5" s="25" t="s">
        <v>22</v>
      </c>
      <c r="G5" s="21" t="s">
        <v>22</v>
      </c>
      <c r="H5" s="21" t="s">
        <v>22</v>
      </c>
      <c r="I5" s="187" t="s">
        <v>1216</v>
      </c>
      <c r="J5" s="193" t="s">
        <v>1208</v>
      </c>
      <c r="K5" s="190"/>
    </row>
    <row r="6" spans="1:11" ht="42.75" customHeight="1" thickBot="1" x14ac:dyDescent="0.3">
      <c r="A6" s="47">
        <v>1</v>
      </c>
      <c r="B6" s="111" t="str">
        <f>(Starterlist!B13)&amp;CHAR(10)&amp;(Starterlist!D13)&amp;CHAR(10)&amp;(Starterlist!F13)</f>
        <v xml:space="preserve">
</v>
      </c>
      <c r="C6" s="93"/>
      <c r="D6" s="93"/>
      <c r="E6" s="93"/>
      <c r="F6" s="93"/>
      <c r="G6" s="93"/>
      <c r="H6" s="103"/>
      <c r="I6" s="188">
        <f>SUM(C6:H6)</f>
        <v>0</v>
      </c>
      <c r="J6" s="194">
        <f>I6/6</f>
        <v>0</v>
      </c>
      <c r="K6" s="191" t="str">
        <f>IF(J6=0,"",RANK(J6,J$6:J$15))</f>
        <v/>
      </c>
    </row>
    <row r="7" spans="1:11" ht="42.75" customHeight="1" thickBot="1" x14ac:dyDescent="0.3">
      <c r="A7" s="47">
        <v>2</v>
      </c>
      <c r="B7" s="111" t="str">
        <f>(Starterlist!B14)&amp;CHAR(10)&amp;(Starterlist!D14)&amp;CHAR(10)&amp;(Starterlist!F14)</f>
        <v xml:space="preserve">
</v>
      </c>
      <c r="C7" s="93"/>
      <c r="D7" s="93"/>
      <c r="E7" s="93"/>
      <c r="F7" s="93"/>
      <c r="G7" s="93"/>
      <c r="H7" s="103"/>
      <c r="I7" s="188">
        <f t="shared" ref="I7:I15" si="0">SUM(C7:H7)</f>
        <v>0</v>
      </c>
      <c r="J7" s="194">
        <f t="shared" ref="J7:J15" si="1">I7/6</f>
        <v>0</v>
      </c>
      <c r="K7" s="191" t="str">
        <f t="shared" ref="K7:K15" si="2">IF(J7=0,"",RANK(J7,J$6:J$15))</f>
        <v/>
      </c>
    </row>
    <row r="8" spans="1:11" ht="42.75" customHeight="1" thickBot="1" x14ac:dyDescent="0.3">
      <c r="A8" s="47">
        <v>3</v>
      </c>
      <c r="B8" s="111" t="str">
        <f>(Starterlist!B15)&amp;CHAR(10)&amp;(Starterlist!D15)&amp;CHAR(10)&amp;(Starterlist!F15)</f>
        <v xml:space="preserve">
</v>
      </c>
      <c r="C8" s="93"/>
      <c r="D8" s="93"/>
      <c r="E8" s="93"/>
      <c r="F8" s="93"/>
      <c r="G8" s="93"/>
      <c r="H8" s="103"/>
      <c r="I8" s="188">
        <f t="shared" si="0"/>
        <v>0</v>
      </c>
      <c r="J8" s="194">
        <f t="shared" si="1"/>
        <v>0</v>
      </c>
      <c r="K8" s="191" t="str">
        <f t="shared" si="2"/>
        <v/>
      </c>
    </row>
    <row r="9" spans="1:11" ht="42.75" customHeight="1" thickBot="1" x14ac:dyDescent="0.3">
      <c r="A9" s="97">
        <v>4</v>
      </c>
      <c r="B9" s="112" t="str">
        <f>(Starterlist!B16)&amp;CHAR(10)&amp;(Starterlist!D16)&amp;CHAR(10)&amp;(Starterlist!F16)</f>
        <v xml:space="preserve">
</v>
      </c>
      <c r="C9" s="103"/>
      <c r="D9" s="103"/>
      <c r="E9" s="103"/>
      <c r="F9" s="103"/>
      <c r="G9" s="103"/>
      <c r="H9" s="103"/>
      <c r="I9" s="188">
        <f t="shared" si="0"/>
        <v>0</v>
      </c>
      <c r="J9" s="194">
        <f t="shared" si="1"/>
        <v>0</v>
      </c>
      <c r="K9" s="195" t="str">
        <f t="shared" si="2"/>
        <v/>
      </c>
    </row>
    <row r="10" spans="1:11" ht="42.75" customHeight="1" thickBot="1" x14ac:dyDescent="0.3">
      <c r="A10" s="158">
        <v>5</v>
      </c>
      <c r="B10" s="159" t="str">
        <f>(Starterlist!B17)&amp;CHAR(10)&amp;(Starterlist!D17)&amp;CHAR(10)&amp;(Starterlist!F17)</f>
        <v xml:space="preserve">
</v>
      </c>
      <c r="C10" s="196"/>
      <c r="D10" s="196"/>
      <c r="E10" s="196"/>
      <c r="F10" s="196"/>
      <c r="G10" s="196"/>
      <c r="H10" s="103"/>
      <c r="I10" s="188">
        <f t="shared" si="0"/>
        <v>0</v>
      </c>
      <c r="J10" s="194">
        <f t="shared" si="1"/>
        <v>0</v>
      </c>
      <c r="K10" s="197" t="str">
        <f t="shared" si="2"/>
        <v/>
      </c>
    </row>
    <row r="11" spans="1:11" ht="42.75" customHeight="1" thickBot="1" x14ac:dyDescent="0.3">
      <c r="A11" s="47">
        <v>6</v>
      </c>
      <c r="B11" s="112" t="str">
        <f>(Starterlist!B18)&amp;CHAR(10)&amp;(Starterlist!D18)&amp;CHAR(10)&amp;(Starterlist!F18)</f>
        <v xml:space="preserve">
</v>
      </c>
      <c r="C11" s="103"/>
      <c r="D11" s="103"/>
      <c r="E11" s="103"/>
      <c r="F11" s="103"/>
      <c r="G11" s="103"/>
      <c r="H11" s="103"/>
      <c r="I11" s="188">
        <f t="shared" si="0"/>
        <v>0</v>
      </c>
      <c r="J11" s="194">
        <f t="shared" si="1"/>
        <v>0</v>
      </c>
      <c r="K11" s="195" t="str">
        <f t="shared" si="2"/>
        <v/>
      </c>
    </row>
    <row r="12" spans="1:11" ht="42.75" customHeight="1" thickBot="1" x14ac:dyDescent="0.3">
      <c r="A12" s="97">
        <v>7</v>
      </c>
      <c r="B12" s="112" t="str">
        <f>(Starterlist!B19)&amp;CHAR(10)&amp;(Starterlist!D19)&amp;CHAR(10)&amp;(Starterlist!F19)</f>
        <v xml:space="preserve">
</v>
      </c>
      <c r="C12" s="103"/>
      <c r="D12" s="103"/>
      <c r="E12" s="103"/>
      <c r="F12" s="103"/>
      <c r="G12" s="103"/>
      <c r="H12" s="103"/>
      <c r="I12" s="188">
        <f t="shared" si="0"/>
        <v>0</v>
      </c>
      <c r="J12" s="194">
        <f t="shared" si="1"/>
        <v>0</v>
      </c>
      <c r="K12" s="195" t="str">
        <f t="shared" si="2"/>
        <v/>
      </c>
    </row>
    <row r="13" spans="1:11" ht="42.75" customHeight="1" thickBot="1" x14ac:dyDescent="0.3">
      <c r="A13" s="97">
        <v>8</v>
      </c>
      <c r="B13" s="112" t="str">
        <f>(Starterlist!B20)&amp;CHAR(10)&amp;(Starterlist!D20)&amp;CHAR(10)&amp;(Starterlist!F20)</f>
        <v xml:space="preserve">
</v>
      </c>
      <c r="C13" s="103"/>
      <c r="D13" s="103"/>
      <c r="E13" s="103"/>
      <c r="F13" s="103"/>
      <c r="G13" s="103"/>
      <c r="H13" s="103"/>
      <c r="I13" s="227">
        <f t="shared" si="0"/>
        <v>0</v>
      </c>
      <c r="J13" s="228">
        <f t="shared" si="1"/>
        <v>0</v>
      </c>
      <c r="K13" s="195" t="str">
        <f t="shared" si="2"/>
        <v/>
      </c>
    </row>
    <row r="14" spans="1:11" ht="42.75" hidden="1" customHeight="1" thickBot="1" x14ac:dyDescent="0.3">
      <c r="A14" s="97">
        <v>9</v>
      </c>
      <c r="B14" s="112" t="str">
        <f>(Starterlist!B21)&amp;CHAR(10)&amp;(Starterlist!D21)&amp;CHAR(10)&amp;(Starterlist!F21)</f>
        <v xml:space="preserve">
</v>
      </c>
      <c r="C14" s="103"/>
      <c r="D14" s="103"/>
      <c r="E14" s="103"/>
      <c r="F14" s="104"/>
      <c r="G14" s="103"/>
      <c r="H14" s="103"/>
      <c r="I14" s="188">
        <f t="shared" si="0"/>
        <v>0</v>
      </c>
      <c r="J14" s="194">
        <f t="shared" si="1"/>
        <v>0</v>
      </c>
      <c r="K14" s="87" t="str">
        <f t="shared" si="2"/>
        <v/>
      </c>
    </row>
    <row r="15" spans="1:11" ht="42.75" hidden="1" customHeight="1" thickBot="1" x14ac:dyDescent="0.3">
      <c r="A15" s="97">
        <v>10</v>
      </c>
      <c r="B15" s="112" t="str">
        <f>(Starterlist!B22)&amp;CHAR(10)&amp;(Starterlist!D22)&amp;CHAR(10)&amp;(Starterlist!F22)</f>
        <v xml:space="preserve">
</v>
      </c>
      <c r="C15" s="103"/>
      <c r="D15" s="103"/>
      <c r="E15" s="103"/>
      <c r="F15" s="104"/>
      <c r="G15" s="103"/>
      <c r="H15" s="103"/>
      <c r="I15" s="227">
        <f t="shared" si="0"/>
        <v>0</v>
      </c>
      <c r="J15" s="228">
        <f t="shared" si="1"/>
        <v>0</v>
      </c>
      <c r="K15" s="226" t="str">
        <f t="shared" si="2"/>
        <v/>
      </c>
    </row>
    <row r="16" spans="1:11" ht="14.25" hidden="1"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ageMargins left="0.25" right="0.25" top="0.75" bottom="0.75" header="0.3" footer="0.3"/>
  <pageSetup paperSize="9" scale="84" orientation="landscape" r:id="rId1"/>
  <headerFooter alignWithMargins="0">
    <oddHeader>&amp;C&amp;18Artistic Impression&amp;R&amp;G</oddHeader>
  </headerFooter>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Ai2">
    <tabColor indexed="42"/>
  </sheetPr>
  <dimension ref="A1:K29"/>
  <sheetViews>
    <sheetView showGridLines="0" showRowColHeaders="0" showZeros="0" zoomScaleNormal="100" zoomScaleSheetLayoutView="85" zoomScalePageLayoutView="85" workbookViewId="0">
      <selection activeCell="Y32" sqref="Y32"/>
    </sheetView>
  </sheetViews>
  <sheetFormatPr defaultColWidth="11.140625" defaultRowHeight="15" x14ac:dyDescent="0.25"/>
  <cols>
    <col min="1" max="1" width="4.28515625" style="13" customWidth="1"/>
    <col min="2" max="2" width="35.28515625" style="13" customWidth="1"/>
    <col min="3" max="5" width="15" style="8" customWidth="1"/>
    <col min="6" max="9" width="15" style="11" customWidth="1"/>
    <col min="10" max="10" width="12.85546875" style="13" customWidth="1"/>
    <col min="11" max="11" width="7.140625" style="13" customWidth="1"/>
    <col min="12" max="16384" width="11.140625" style="13"/>
  </cols>
  <sheetData>
    <row r="1" spans="1:11" ht="30" customHeight="1" x14ac:dyDescent="0.5">
      <c r="A1" s="32" t="str">
        <f>Starterlist!A1</f>
        <v>FPAW 2018</v>
      </c>
      <c r="C1" s="13" t="s">
        <v>13</v>
      </c>
      <c r="E1" s="13" t="s">
        <v>14</v>
      </c>
      <c r="G1" s="13" t="str">
        <f>Starterlist!F3</f>
        <v>Pool</v>
      </c>
      <c r="H1" s="13"/>
      <c r="I1" s="13" t="s">
        <v>37</v>
      </c>
    </row>
    <row r="2" spans="1:11" ht="19.5" customHeight="1" x14ac:dyDescent="0.35">
      <c r="A2" s="13" t="str">
        <f>Starterlist!A2</f>
        <v>Trnava, Slowakia</v>
      </c>
      <c r="B2" s="12"/>
      <c r="C2" s="9" t="str">
        <f>Starterlist!B4</f>
        <v>Open Pairs</v>
      </c>
      <c r="E2" s="9" t="str">
        <f>Starterlist!D4</f>
        <v>Semi-Final</v>
      </c>
      <c r="G2" s="9" t="str">
        <f>Starterlist!F4</f>
        <v>A</v>
      </c>
      <c r="H2" s="9"/>
      <c r="I2" s="43">
        <f>Starterlist!J17</f>
        <v>0</v>
      </c>
    </row>
    <row r="3" spans="1:11" ht="8.25" customHeight="1" thickBot="1" x14ac:dyDescent="0.3"/>
    <row r="4" spans="1:11" ht="38.25" customHeight="1" thickBot="1" x14ac:dyDescent="0.4">
      <c r="C4" s="18" t="s">
        <v>21</v>
      </c>
      <c r="D4" s="18" t="s">
        <v>20</v>
      </c>
      <c r="E4" s="18" t="s">
        <v>173</v>
      </c>
      <c r="F4" s="142" t="s">
        <v>99</v>
      </c>
      <c r="G4" s="18" t="s">
        <v>98</v>
      </c>
      <c r="H4" s="225" t="s">
        <v>392</v>
      </c>
      <c r="I4" s="192" t="s">
        <v>18</v>
      </c>
      <c r="J4" s="192" t="s">
        <v>19</v>
      </c>
      <c r="K4" s="189" t="s">
        <v>0</v>
      </c>
    </row>
    <row r="5" spans="1:11" ht="20.25" customHeight="1" thickBot="1" x14ac:dyDescent="0.4">
      <c r="A5" s="19" t="s">
        <v>9</v>
      </c>
      <c r="B5" s="20" t="s">
        <v>16</v>
      </c>
      <c r="C5" s="21" t="s">
        <v>22</v>
      </c>
      <c r="D5" s="21" t="s">
        <v>22</v>
      </c>
      <c r="E5" s="21" t="s">
        <v>22</v>
      </c>
      <c r="F5" s="25" t="s">
        <v>22</v>
      </c>
      <c r="G5" s="21" t="s">
        <v>22</v>
      </c>
      <c r="H5" s="21" t="s">
        <v>22</v>
      </c>
      <c r="I5" s="187" t="s">
        <v>1216</v>
      </c>
      <c r="J5" s="193" t="s">
        <v>1208</v>
      </c>
      <c r="K5" s="190"/>
    </row>
    <row r="6" spans="1:11" ht="42.75" customHeight="1" thickBot="1" x14ac:dyDescent="0.3">
      <c r="A6" s="47">
        <v>1</v>
      </c>
      <c r="B6" s="111" t="str">
        <f>(Starterlist!B13)&amp;CHAR(10)&amp;(Starterlist!D13)&amp;CHAR(10)&amp;(Starterlist!F13)</f>
        <v xml:space="preserve">
</v>
      </c>
      <c r="C6" s="93"/>
      <c r="D6" s="93"/>
      <c r="E6" s="93"/>
      <c r="F6" s="93"/>
      <c r="G6" s="93"/>
      <c r="H6" s="103"/>
      <c r="I6" s="188">
        <f>SUM(C6:H6)</f>
        <v>0</v>
      </c>
      <c r="J6" s="194">
        <f>I6/6</f>
        <v>0</v>
      </c>
      <c r="K6" s="191" t="str">
        <f>IF(J6=0,"",RANK(J6,J$6:J$15))</f>
        <v/>
      </c>
    </row>
    <row r="7" spans="1:11" ht="42.75" customHeight="1" thickBot="1" x14ac:dyDescent="0.3">
      <c r="A7" s="47">
        <v>2</v>
      </c>
      <c r="B7" s="111" t="str">
        <f>(Starterlist!B14)&amp;CHAR(10)&amp;(Starterlist!D14)&amp;CHAR(10)&amp;(Starterlist!F14)</f>
        <v xml:space="preserve">
</v>
      </c>
      <c r="C7" s="93"/>
      <c r="D7" s="93"/>
      <c r="E7" s="93"/>
      <c r="F7" s="93"/>
      <c r="G7" s="93"/>
      <c r="H7" s="103"/>
      <c r="I7" s="188">
        <f t="shared" ref="I7:I15" si="0">SUM(C7:H7)</f>
        <v>0</v>
      </c>
      <c r="J7" s="194">
        <f t="shared" ref="J7:J15" si="1">I7/6</f>
        <v>0</v>
      </c>
      <c r="K7" s="191" t="str">
        <f t="shared" ref="K7:K15" si="2">IF(J7=0,"",RANK(J7,J$6:J$15))</f>
        <v/>
      </c>
    </row>
    <row r="8" spans="1:11" ht="42.75" customHeight="1" thickBot="1" x14ac:dyDescent="0.3">
      <c r="A8" s="47">
        <v>3</v>
      </c>
      <c r="B8" s="111" t="str">
        <f>(Starterlist!B15)&amp;CHAR(10)&amp;(Starterlist!D15)&amp;CHAR(10)&amp;(Starterlist!F15)</f>
        <v xml:space="preserve">
</v>
      </c>
      <c r="C8" s="93"/>
      <c r="D8" s="93"/>
      <c r="E8" s="93"/>
      <c r="F8" s="93"/>
      <c r="G8" s="93"/>
      <c r="H8" s="103"/>
      <c r="I8" s="188">
        <f t="shared" si="0"/>
        <v>0</v>
      </c>
      <c r="J8" s="194">
        <f t="shared" si="1"/>
        <v>0</v>
      </c>
      <c r="K8" s="191" t="str">
        <f t="shared" si="2"/>
        <v/>
      </c>
    </row>
    <row r="9" spans="1:11" ht="42.75" customHeight="1" thickBot="1" x14ac:dyDescent="0.3">
      <c r="A9" s="97">
        <v>4</v>
      </c>
      <c r="B9" s="112" t="str">
        <f>(Starterlist!B16)&amp;CHAR(10)&amp;(Starterlist!D16)&amp;CHAR(10)&amp;(Starterlist!F16)</f>
        <v xml:space="preserve">
</v>
      </c>
      <c r="C9" s="103"/>
      <c r="D9" s="103"/>
      <c r="E9" s="103"/>
      <c r="F9" s="103"/>
      <c r="G9" s="103"/>
      <c r="H9" s="103"/>
      <c r="I9" s="188">
        <f t="shared" si="0"/>
        <v>0</v>
      </c>
      <c r="J9" s="194">
        <f t="shared" si="1"/>
        <v>0</v>
      </c>
      <c r="K9" s="195" t="str">
        <f t="shared" si="2"/>
        <v/>
      </c>
    </row>
    <row r="10" spans="1:11" ht="42.75" customHeight="1" thickBot="1" x14ac:dyDescent="0.3">
      <c r="A10" s="158">
        <v>5</v>
      </c>
      <c r="B10" s="159" t="str">
        <f>(Starterlist!B17)&amp;CHAR(10)&amp;(Starterlist!D17)&amp;CHAR(10)&amp;(Starterlist!F17)</f>
        <v xml:space="preserve">
</v>
      </c>
      <c r="C10" s="196"/>
      <c r="D10" s="196"/>
      <c r="E10" s="196"/>
      <c r="F10" s="196"/>
      <c r="G10" s="196"/>
      <c r="H10" s="103"/>
      <c r="I10" s="188">
        <f t="shared" si="0"/>
        <v>0</v>
      </c>
      <c r="J10" s="194">
        <f t="shared" si="1"/>
        <v>0</v>
      </c>
      <c r="K10" s="197" t="str">
        <f t="shared" si="2"/>
        <v/>
      </c>
    </row>
    <row r="11" spans="1:11" ht="42.75" customHeight="1" thickBot="1" x14ac:dyDescent="0.3">
      <c r="A11" s="47">
        <v>6</v>
      </c>
      <c r="B11" s="112" t="str">
        <f>(Starterlist!B18)&amp;CHAR(10)&amp;(Starterlist!D18)&amp;CHAR(10)&amp;(Starterlist!F18)</f>
        <v xml:space="preserve">
</v>
      </c>
      <c r="C11" s="103"/>
      <c r="D11" s="103"/>
      <c r="E11" s="103"/>
      <c r="F11" s="103"/>
      <c r="G11" s="103"/>
      <c r="H11" s="103"/>
      <c r="I11" s="188">
        <f t="shared" si="0"/>
        <v>0</v>
      </c>
      <c r="J11" s="194">
        <f t="shared" si="1"/>
        <v>0</v>
      </c>
      <c r="K11" s="195" t="str">
        <f t="shared" si="2"/>
        <v/>
      </c>
    </row>
    <row r="12" spans="1:11" ht="42.75" customHeight="1" thickBot="1" x14ac:dyDescent="0.3">
      <c r="A12" s="97">
        <v>7</v>
      </c>
      <c r="B12" s="112" t="str">
        <f>(Starterlist!B19)&amp;CHAR(10)&amp;(Starterlist!D19)&amp;CHAR(10)&amp;(Starterlist!F19)</f>
        <v xml:space="preserve">
</v>
      </c>
      <c r="C12" s="103"/>
      <c r="D12" s="103"/>
      <c r="E12" s="103"/>
      <c r="F12" s="103"/>
      <c r="G12" s="103"/>
      <c r="H12" s="103"/>
      <c r="I12" s="188">
        <f t="shared" si="0"/>
        <v>0</v>
      </c>
      <c r="J12" s="194">
        <f t="shared" si="1"/>
        <v>0</v>
      </c>
      <c r="K12" s="195" t="str">
        <f t="shared" si="2"/>
        <v/>
      </c>
    </row>
    <row r="13" spans="1:11" ht="42.75" customHeight="1" thickBot="1" x14ac:dyDescent="0.3">
      <c r="A13" s="97">
        <v>8</v>
      </c>
      <c r="B13" s="112" t="str">
        <f>(Starterlist!B20)&amp;CHAR(10)&amp;(Starterlist!D20)&amp;CHAR(10)&amp;(Starterlist!F20)</f>
        <v xml:space="preserve">
</v>
      </c>
      <c r="C13" s="103"/>
      <c r="D13" s="103"/>
      <c r="E13" s="103"/>
      <c r="F13" s="103"/>
      <c r="G13" s="103"/>
      <c r="H13" s="103"/>
      <c r="I13" s="227">
        <f t="shared" si="0"/>
        <v>0</v>
      </c>
      <c r="J13" s="228">
        <f t="shared" si="1"/>
        <v>0</v>
      </c>
      <c r="K13" s="195" t="str">
        <f t="shared" si="2"/>
        <v/>
      </c>
    </row>
    <row r="14" spans="1:11" ht="42.75" hidden="1" customHeight="1" thickBot="1" x14ac:dyDescent="0.3">
      <c r="A14" s="97">
        <v>9</v>
      </c>
      <c r="B14" s="112" t="str">
        <f>(Starterlist!B21)&amp;CHAR(10)&amp;(Starterlist!D21)&amp;CHAR(10)&amp;(Starterlist!F21)</f>
        <v xml:space="preserve">
</v>
      </c>
      <c r="C14" s="103"/>
      <c r="D14" s="103"/>
      <c r="E14" s="103"/>
      <c r="F14" s="104"/>
      <c r="G14" s="103"/>
      <c r="H14" s="103"/>
      <c r="I14" s="188">
        <f t="shared" si="0"/>
        <v>0</v>
      </c>
      <c r="J14" s="194">
        <f t="shared" si="1"/>
        <v>0</v>
      </c>
      <c r="K14" s="87" t="str">
        <f t="shared" si="2"/>
        <v/>
      </c>
    </row>
    <row r="15" spans="1:11" ht="42.75" hidden="1" customHeight="1" thickBot="1" x14ac:dyDescent="0.3">
      <c r="A15" s="97">
        <v>10</v>
      </c>
      <c r="B15" s="112" t="str">
        <f>(Starterlist!B22)&amp;CHAR(10)&amp;(Starterlist!D22)&amp;CHAR(10)&amp;(Starterlist!F22)</f>
        <v xml:space="preserve">
</v>
      </c>
      <c r="C15" s="103"/>
      <c r="D15" s="103"/>
      <c r="E15" s="103"/>
      <c r="F15" s="104"/>
      <c r="G15" s="103"/>
      <c r="H15" s="103"/>
      <c r="I15" s="227">
        <f t="shared" si="0"/>
        <v>0</v>
      </c>
      <c r="J15" s="228">
        <f t="shared" si="1"/>
        <v>0</v>
      </c>
      <c r="K15" s="226" t="str">
        <f t="shared" si="2"/>
        <v/>
      </c>
    </row>
    <row r="16" spans="1:11" ht="14.25" hidden="1"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ageMargins left="0.25" right="0.25" top="0.75" bottom="0.75" header="0.3" footer="0.3"/>
  <pageSetup paperSize="9" scale="84" orientation="landscape" r:id="rId1"/>
  <headerFooter alignWithMargins="0">
    <oddHeader>&amp;C&amp;18Artistic Impression&amp;R&amp;G</oddHeader>
  </headerFooter>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Ai3">
    <tabColor indexed="42"/>
  </sheetPr>
  <dimension ref="A1:K29"/>
  <sheetViews>
    <sheetView showGridLines="0" showRowColHeaders="0" showZeros="0" showRuler="0" zoomScaleNormal="100" zoomScaleSheetLayoutView="85" workbookViewId="0">
      <selection activeCell="Y32" sqref="Y32"/>
    </sheetView>
  </sheetViews>
  <sheetFormatPr defaultColWidth="11.140625" defaultRowHeight="15" x14ac:dyDescent="0.25"/>
  <cols>
    <col min="1" max="1" width="4.28515625" style="13" customWidth="1"/>
    <col min="2" max="2" width="35.28515625" style="13" customWidth="1"/>
    <col min="3" max="5" width="15" style="8" customWidth="1"/>
    <col min="6" max="9" width="15" style="11" customWidth="1"/>
    <col min="10" max="10" width="12.85546875" style="13" customWidth="1"/>
    <col min="11" max="11" width="7.140625" style="13" customWidth="1"/>
    <col min="12" max="16384" width="11.140625" style="13"/>
  </cols>
  <sheetData>
    <row r="1" spans="1:11" ht="30" customHeight="1" x14ac:dyDescent="0.5">
      <c r="A1" s="32" t="str">
        <f>Starterlist!A1</f>
        <v>FPAW 2018</v>
      </c>
      <c r="C1" s="13" t="s">
        <v>13</v>
      </c>
      <c r="E1" s="13" t="s">
        <v>14</v>
      </c>
      <c r="G1" s="13" t="str">
        <f>Starterlist!F3</f>
        <v>Pool</v>
      </c>
      <c r="H1" s="13"/>
      <c r="I1" s="13" t="s">
        <v>37</v>
      </c>
    </row>
    <row r="2" spans="1:11" ht="19.5" customHeight="1" x14ac:dyDescent="0.35">
      <c r="A2" s="13" t="str">
        <f>Starterlist!A2</f>
        <v>Trnava, Slowakia</v>
      </c>
      <c r="B2" s="12"/>
      <c r="C2" s="9" t="str">
        <f>Starterlist!B4</f>
        <v>Open Pairs</v>
      </c>
      <c r="E2" s="9" t="str">
        <f>Starterlist!D4</f>
        <v>Semi-Final</v>
      </c>
      <c r="G2" s="9" t="str">
        <f>Starterlist!F4</f>
        <v>A</v>
      </c>
      <c r="H2" s="9"/>
      <c r="I2" s="43">
        <f>Starterlist!J18</f>
        <v>0</v>
      </c>
    </row>
    <row r="3" spans="1:11" ht="8.25" customHeight="1" thickBot="1" x14ac:dyDescent="0.3"/>
    <row r="4" spans="1:11" ht="38.25" customHeight="1" thickBot="1" x14ac:dyDescent="0.4">
      <c r="C4" s="18" t="s">
        <v>21</v>
      </c>
      <c r="D4" s="18" t="s">
        <v>20</v>
      </c>
      <c r="E4" s="18" t="s">
        <v>173</v>
      </c>
      <c r="F4" s="142" t="s">
        <v>99</v>
      </c>
      <c r="G4" s="18" t="s">
        <v>98</v>
      </c>
      <c r="H4" s="225" t="s">
        <v>392</v>
      </c>
      <c r="I4" s="192" t="s">
        <v>18</v>
      </c>
      <c r="J4" s="192" t="s">
        <v>19</v>
      </c>
      <c r="K4" s="189" t="s">
        <v>0</v>
      </c>
    </row>
    <row r="5" spans="1:11" ht="20.25" customHeight="1" thickBot="1" x14ac:dyDescent="0.4">
      <c r="A5" s="19" t="s">
        <v>9</v>
      </c>
      <c r="B5" s="20" t="s">
        <v>16</v>
      </c>
      <c r="C5" s="21" t="s">
        <v>22</v>
      </c>
      <c r="D5" s="21" t="s">
        <v>22</v>
      </c>
      <c r="E5" s="21" t="s">
        <v>22</v>
      </c>
      <c r="F5" s="25" t="s">
        <v>22</v>
      </c>
      <c r="G5" s="21" t="s">
        <v>22</v>
      </c>
      <c r="H5" s="21" t="s">
        <v>22</v>
      </c>
      <c r="I5" s="187" t="s">
        <v>1216</v>
      </c>
      <c r="J5" s="193" t="s">
        <v>1208</v>
      </c>
      <c r="K5" s="190"/>
    </row>
    <row r="6" spans="1:11" ht="42.75" customHeight="1" thickBot="1" x14ac:dyDescent="0.3">
      <c r="A6" s="47">
        <v>1</v>
      </c>
      <c r="B6" s="111" t="str">
        <f>(Starterlist!B13)&amp;CHAR(10)&amp;(Starterlist!D13)&amp;CHAR(10)&amp;(Starterlist!F13)</f>
        <v xml:space="preserve">
</v>
      </c>
      <c r="C6" s="93"/>
      <c r="D6" s="93"/>
      <c r="E6" s="93"/>
      <c r="F6" s="93"/>
      <c r="G6" s="93"/>
      <c r="H6" s="103"/>
      <c r="I6" s="188">
        <f>SUM(C6:H6)</f>
        <v>0</v>
      </c>
      <c r="J6" s="194">
        <f>I6/6</f>
        <v>0</v>
      </c>
      <c r="K6" s="191" t="str">
        <f>IF(J6=0,"",RANK(J6,J$6:J$15))</f>
        <v/>
      </c>
    </row>
    <row r="7" spans="1:11" ht="42.75" customHeight="1" thickBot="1" x14ac:dyDescent="0.3">
      <c r="A7" s="47">
        <v>2</v>
      </c>
      <c r="B7" s="111" t="str">
        <f>(Starterlist!B14)&amp;CHAR(10)&amp;(Starterlist!D14)&amp;CHAR(10)&amp;(Starterlist!F14)</f>
        <v xml:space="preserve">
</v>
      </c>
      <c r="C7" s="93"/>
      <c r="D7" s="93"/>
      <c r="E7" s="93"/>
      <c r="F7" s="93"/>
      <c r="G7" s="93"/>
      <c r="H7" s="103"/>
      <c r="I7" s="188">
        <f t="shared" ref="I7:I15" si="0">SUM(C7:H7)</f>
        <v>0</v>
      </c>
      <c r="J7" s="194">
        <f t="shared" ref="J7:J15" si="1">I7/6</f>
        <v>0</v>
      </c>
      <c r="K7" s="191" t="str">
        <f t="shared" ref="K7:K15" si="2">IF(J7=0,"",RANK(J7,J$6:J$15))</f>
        <v/>
      </c>
    </row>
    <row r="8" spans="1:11" ht="42.75" customHeight="1" thickBot="1" x14ac:dyDescent="0.3">
      <c r="A8" s="47">
        <v>3</v>
      </c>
      <c r="B8" s="111" t="str">
        <f>(Starterlist!B15)&amp;CHAR(10)&amp;(Starterlist!D15)&amp;CHAR(10)&amp;(Starterlist!F15)</f>
        <v xml:space="preserve">
</v>
      </c>
      <c r="C8" s="93"/>
      <c r="D8" s="93"/>
      <c r="E8" s="93"/>
      <c r="F8" s="93"/>
      <c r="G8" s="93"/>
      <c r="H8" s="103"/>
      <c r="I8" s="188">
        <f t="shared" si="0"/>
        <v>0</v>
      </c>
      <c r="J8" s="194">
        <f t="shared" si="1"/>
        <v>0</v>
      </c>
      <c r="K8" s="191" t="str">
        <f t="shared" si="2"/>
        <v/>
      </c>
    </row>
    <row r="9" spans="1:11" ht="42.75" customHeight="1" thickBot="1" x14ac:dyDescent="0.3">
      <c r="A9" s="97">
        <v>4</v>
      </c>
      <c r="B9" s="112" t="str">
        <f>(Starterlist!B16)&amp;CHAR(10)&amp;(Starterlist!D16)&amp;CHAR(10)&amp;(Starterlist!F16)</f>
        <v xml:space="preserve">
</v>
      </c>
      <c r="C9" s="103"/>
      <c r="D9" s="103"/>
      <c r="E9" s="103"/>
      <c r="F9" s="103"/>
      <c r="G9" s="103"/>
      <c r="H9" s="103"/>
      <c r="I9" s="188">
        <f t="shared" si="0"/>
        <v>0</v>
      </c>
      <c r="J9" s="194">
        <f t="shared" si="1"/>
        <v>0</v>
      </c>
      <c r="K9" s="195" t="str">
        <f t="shared" si="2"/>
        <v/>
      </c>
    </row>
    <row r="10" spans="1:11" ht="42.75" customHeight="1" thickBot="1" x14ac:dyDescent="0.3">
      <c r="A10" s="158">
        <v>5</v>
      </c>
      <c r="B10" s="159" t="str">
        <f>(Starterlist!B17)&amp;CHAR(10)&amp;(Starterlist!D17)&amp;CHAR(10)&amp;(Starterlist!F17)</f>
        <v xml:space="preserve">
</v>
      </c>
      <c r="C10" s="196"/>
      <c r="D10" s="196"/>
      <c r="E10" s="196"/>
      <c r="F10" s="196"/>
      <c r="G10" s="196"/>
      <c r="H10" s="103"/>
      <c r="I10" s="188">
        <f t="shared" si="0"/>
        <v>0</v>
      </c>
      <c r="J10" s="194">
        <f t="shared" si="1"/>
        <v>0</v>
      </c>
      <c r="K10" s="197" t="str">
        <f t="shared" si="2"/>
        <v/>
      </c>
    </row>
    <row r="11" spans="1:11" ht="42.75" customHeight="1" thickBot="1" x14ac:dyDescent="0.3">
      <c r="A11" s="47">
        <v>6</v>
      </c>
      <c r="B11" s="112" t="str">
        <f>(Starterlist!B18)&amp;CHAR(10)&amp;(Starterlist!D18)&amp;CHAR(10)&amp;(Starterlist!F18)</f>
        <v xml:space="preserve">
</v>
      </c>
      <c r="C11" s="103"/>
      <c r="D11" s="103"/>
      <c r="E11" s="103"/>
      <c r="F11" s="103"/>
      <c r="G11" s="103"/>
      <c r="H11" s="103"/>
      <c r="I11" s="188">
        <f t="shared" si="0"/>
        <v>0</v>
      </c>
      <c r="J11" s="194">
        <f t="shared" si="1"/>
        <v>0</v>
      </c>
      <c r="K11" s="195" t="str">
        <f t="shared" si="2"/>
        <v/>
      </c>
    </row>
    <row r="12" spans="1:11" ht="42.75" customHeight="1" thickBot="1" x14ac:dyDescent="0.3">
      <c r="A12" s="97">
        <v>7</v>
      </c>
      <c r="B12" s="112" t="str">
        <f>(Starterlist!B19)&amp;CHAR(10)&amp;(Starterlist!D19)&amp;CHAR(10)&amp;(Starterlist!F19)</f>
        <v xml:space="preserve">
</v>
      </c>
      <c r="C12" s="103"/>
      <c r="D12" s="103"/>
      <c r="E12" s="103"/>
      <c r="F12" s="103"/>
      <c r="G12" s="103"/>
      <c r="H12" s="103"/>
      <c r="I12" s="188">
        <f t="shared" si="0"/>
        <v>0</v>
      </c>
      <c r="J12" s="194">
        <f t="shared" si="1"/>
        <v>0</v>
      </c>
      <c r="K12" s="195" t="str">
        <f t="shared" si="2"/>
        <v/>
      </c>
    </row>
    <row r="13" spans="1:11" ht="42.75" customHeight="1" thickBot="1" x14ac:dyDescent="0.3">
      <c r="A13" s="97">
        <v>8</v>
      </c>
      <c r="B13" s="112" t="str">
        <f>(Starterlist!B20)&amp;CHAR(10)&amp;(Starterlist!D20)&amp;CHAR(10)&amp;(Starterlist!F20)</f>
        <v xml:space="preserve">
</v>
      </c>
      <c r="C13" s="103"/>
      <c r="D13" s="103"/>
      <c r="E13" s="103"/>
      <c r="F13" s="103"/>
      <c r="G13" s="103"/>
      <c r="H13" s="103"/>
      <c r="I13" s="227">
        <f t="shared" si="0"/>
        <v>0</v>
      </c>
      <c r="J13" s="228">
        <f t="shared" si="1"/>
        <v>0</v>
      </c>
      <c r="K13" s="195" t="str">
        <f t="shared" si="2"/>
        <v/>
      </c>
    </row>
    <row r="14" spans="1:11" ht="42.75" hidden="1" customHeight="1" thickBot="1" x14ac:dyDescent="0.3">
      <c r="A14" s="97">
        <v>9</v>
      </c>
      <c r="B14" s="112" t="str">
        <f>(Starterlist!B21)&amp;CHAR(10)&amp;(Starterlist!D21)&amp;CHAR(10)&amp;(Starterlist!F21)</f>
        <v xml:space="preserve">
</v>
      </c>
      <c r="C14" s="103"/>
      <c r="D14" s="103"/>
      <c r="E14" s="103"/>
      <c r="F14" s="104"/>
      <c r="G14" s="103"/>
      <c r="H14" s="103"/>
      <c r="I14" s="188">
        <f t="shared" si="0"/>
        <v>0</v>
      </c>
      <c r="J14" s="194">
        <f t="shared" si="1"/>
        <v>0</v>
      </c>
      <c r="K14" s="87" t="str">
        <f t="shared" si="2"/>
        <v/>
      </c>
    </row>
    <row r="15" spans="1:11" ht="42.75" hidden="1" customHeight="1" thickBot="1" x14ac:dyDescent="0.3">
      <c r="A15" s="97">
        <v>10</v>
      </c>
      <c r="B15" s="112" t="str">
        <f>(Starterlist!B22)&amp;CHAR(10)&amp;(Starterlist!D22)&amp;CHAR(10)&amp;(Starterlist!F22)</f>
        <v xml:space="preserve">
</v>
      </c>
      <c r="C15" s="103"/>
      <c r="D15" s="103"/>
      <c r="E15" s="103"/>
      <c r="F15" s="103"/>
      <c r="G15" s="103"/>
      <c r="H15" s="103"/>
      <c r="I15" s="227">
        <f t="shared" si="0"/>
        <v>0</v>
      </c>
      <c r="J15" s="228">
        <f t="shared" si="1"/>
        <v>0</v>
      </c>
      <c r="K15" s="226" t="str">
        <f t="shared" si="2"/>
        <v/>
      </c>
    </row>
    <row r="16" spans="1:11" ht="14.25" hidden="1"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ageMargins left="0.25" right="0.25" top="0.75" bottom="0.75" header="0.3" footer="0.3"/>
  <pageSetup paperSize="9" scale="86" orientation="landscape" r:id="rId1"/>
  <headerFooter alignWithMargins="0">
    <oddHeader>&amp;C&amp;18Artistic Impression&amp;R&amp;G</oddHeader>
  </headerFooter>
  <legacyDrawingHF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Diff1">
    <tabColor indexed="47"/>
  </sheetPr>
  <dimension ref="A1:AA26"/>
  <sheetViews>
    <sheetView showGridLines="0" showRowColHeaders="0" showZeros="0" zoomScaleNormal="100" zoomScaleSheetLayoutView="100" zoomScalePageLayoutView="85" workbookViewId="0">
      <selection activeCell="AC15" sqref="AC15"/>
    </sheetView>
  </sheetViews>
  <sheetFormatPr defaultColWidth="10.28515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27" width="0" style="5" hidden="1" customWidth="1"/>
    <col min="28" max="16384" width="10.28515625" style="5"/>
  </cols>
  <sheetData>
    <row r="1" spans="1:27" ht="30" customHeight="1" x14ac:dyDescent="0.5">
      <c r="A1" s="32" t="str">
        <f>Starterlist!A1</f>
        <v>FPAW 2018</v>
      </c>
      <c r="B1" s="13"/>
      <c r="C1" s="13" t="s">
        <v>13</v>
      </c>
      <c r="J1" s="13" t="s">
        <v>14</v>
      </c>
      <c r="K1" s="13"/>
      <c r="O1" s="6"/>
      <c r="P1" s="11"/>
      <c r="Q1" s="13" t="str">
        <f>Starterlist!F3</f>
        <v>Pool</v>
      </c>
      <c r="U1" s="13" t="s">
        <v>37</v>
      </c>
    </row>
    <row r="2" spans="1:27" ht="19.5" customHeight="1" x14ac:dyDescent="0.35">
      <c r="A2" s="13" t="str">
        <f>Starterlist!A2</f>
        <v>Trnava, Slowakia</v>
      </c>
      <c r="B2" s="12"/>
      <c r="C2" s="9" t="str">
        <f>Starterlist!B4</f>
        <v>Open Pairs</v>
      </c>
      <c r="J2" s="9" t="str">
        <f>Starterlist!D4</f>
        <v>Semi-Final</v>
      </c>
      <c r="K2" s="9"/>
      <c r="O2" s="6"/>
      <c r="P2" s="11"/>
      <c r="Q2" s="9" t="str">
        <f>Starterlist!F4</f>
        <v>A</v>
      </c>
      <c r="U2" s="28">
        <f>Starterlist!J19</f>
        <v>0</v>
      </c>
    </row>
    <row r="3" spans="1:27" ht="8.25" customHeight="1" x14ac:dyDescent="0.25">
      <c r="B3" s="13"/>
      <c r="C3" s="8"/>
      <c r="D3" s="8"/>
      <c r="E3" s="8"/>
      <c r="F3" s="11"/>
      <c r="G3" s="11"/>
      <c r="H3" s="11"/>
      <c r="I3" s="8"/>
      <c r="J3" s="8"/>
      <c r="K3" s="8"/>
    </row>
    <row r="4" spans="1:27" ht="38.25" customHeight="1" thickBot="1" x14ac:dyDescent="0.3">
      <c r="A4" s="13"/>
      <c r="B4" s="13"/>
      <c r="C4" s="415" t="s">
        <v>1207</v>
      </c>
      <c r="D4" s="415"/>
      <c r="E4" s="415"/>
      <c r="F4" s="415"/>
      <c r="G4" s="415"/>
      <c r="H4" s="415"/>
      <c r="I4" s="415"/>
      <c r="J4" s="415"/>
      <c r="K4" s="415"/>
      <c r="L4" s="415"/>
      <c r="M4" s="415"/>
      <c r="N4" s="14" t="s">
        <v>25</v>
      </c>
      <c r="O4" s="15"/>
      <c r="P4" s="16"/>
      <c r="Q4" s="17"/>
      <c r="R4" s="14" t="s">
        <v>23</v>
      </c>
      <c r="S4" s="17"/>
      <c r="T4" s="17"/>
      <c r="U4" s="17"/>
      <c r="V4" s="14" t="s">
        <v>24</v>
      </c>
      <c r="X4" s="220"/>
      <c r="Y4" s="221" t="s">
        <v>100</v>
      </c>
    </row>
    <row r="5" spans="1:27" ht="23.25" customHeight="1" thickBot="1" x14ac:dyDescent="0.4">
      <c r="A5" s="19" t="s">
        <v>9</v>
      </c>
      <c r="B5" s="20" t="s">
        <v>16</v>
      </c>
      <c r="C5" s="362">
        <v>1</v>
      </c>
      <c r="D5" s="362">
        <v>2</v>
      </c>
      <c r="E5" s="362">
        <v>3</v>
      </c>
      <c r="F5" s="362">
        <v>4</v>
      </c>
      <c r="G5" s="362">
        <v>5</v>
      </c>
      <c r="H5" s="362">
        <v>6</v>
      </c>
      <c r="I5" s="362">
        <v>7</v>
      </c>
      <c r="J5" s="362">
        <v>8</v>
      </c>
      <c r="K5" s="362">
        <v>9</v>
      </c>
      <c r="L5" s="362">
        <v>10</v>
      </c>
      <c r="M5" s="362">
        <v>11</v>
      </c>
      <c r="N5" s="362">
        <v>12</v>
      </c>
      <c r="O5" s="362">
        <v>13</v>
      </c>
      <c r="P5" s="362">
        <v>14</v>
      </c>
      <c r="Q5" s="362">
        <v>15</v>
      </c>
      <c r="R5" s="362">
        <v>16</v>
      </c>
      <c r="S5" s="362">
        <v>17</v>
      </c>
      <c r="T5" s="362">
        <v>18</v>
      </c>
      <c r="U5" s="362">
        <v>19</v>
      </c>
      <c r="V5" s="362">
        <v>20</v>
      </c>
      <c r="W5" s="143" t="s">
        <v>175</v>
      </c>
      <c r="X5" s="40" t="s">
        <v>30</v>
      </c>
      <c r="Y5" s="218" t="s">
        <v>19</v>
      </c>
      <c r="Z5" s="219" t="s">
        <v>0</v>
      </c>
    </row>
    <row r="6" spans="1:27" ht="21" customHeight="1" x14ac:dyDescent="0.25">
      <c r="A6" s="406">
        <v>1</v>
      </c>
      <c r="B6" s="408" t="str">
        <f>(Starterlist!B13)&amp;CHAR(10)&amp;(Starterlist!D13)&amp;CHAR(10)&amp;(Starterlist!F13)</f>
        <v xml:space="preserve">
</v>
      </c>
      <c r="C6" s="374"/>
      <c r="D6" s="374"/>
      <c r="E6" s="374"/>
      <c r="F6" s="374"/>
      <c r="G6" s="374"/>
      <c r="H6" s="374"/>
      <c r="I6" s="374"/>
      <c r="J6" s="374"/>
      <c r="K6" s="374"/>
      <c r="L6" s="374"/>
      <c r="M6" s="374"/>
      <c r="N6" s="375"/>
      <c r="O6" s="376"/>
      <c r="P6" s="374"/>
      <c r="Q6" s="374"/>
      <c r="R6" s="375"/>
      <c r="S6" s="376"/>
      <c r="T6" s="374"/>
      <c r="U6" s="374"/>
      <c r="V6" s="377"/>
      <c r="W6" s="378">
        <f t="array" ref="W6">SUM(SUM(LEN(C6:V6))-SUM(LEN(SUBSTITUTE(C6:V6,"+",""))),ABS(SUM(LEN(C6:V6))-SUM(LEN(SUBSTITUTE(C6:V6,"-",""))) )*-1)</f>
        <v>0</v>
      </c>
      <c r="X6" s="414" t="str">
        <f>IF(COUNTA(C7:V7)&gt;0,IF(Starterlist!J$5=3,SMALL(C7:N7,1),IF(Starterlist!J$5=4,SMALL(C7:R7,1),IF(Starterlist!J$5=5,SMALL(C7:V7,1)))),"")</f>
        <v/>
      </c>
      <c r="Y6" s="412" t="str">
        <f>IF(COUNTA(C7:V7)=(Starterlist!J$5*4),ROUND(((W7-X6+W6)/((Starterlist!J$5*4)-1))*1.5,1),"")</f>
        <v/>
      </c>
      <c r="Z6" s="404" t="str">
        <f>IF(Y6="","",RANK(Y6,Y$6:Y$25))</f>
        <v/>
      </c>
    </row>
    <row r="7" spans="1:27" ht="21" customHeight="1" thickBot="1" x14ac:dyDescent="0.3">
      <c r="A7" s="407"/>
      <c r="B7" s="409"/>
      <c r="C7" s="167"/>
      <c r="D7" s="167"/>
      <c r="E7" s="167"/>
      <c r="F7" s="167"/>
      <c r="G7" s="167"/>
      <c r="H7" s="167"/>
      <c r="I7" s="167"/>
      <c r="J7" s="167"/>
      <c r="K7" s="167"/>
      <c r="L7" s="167"/>
      <c r="M7" s="167"/>
      <c r="N7" s="169"/>
      <c r="O7" s="168"/>
      <c r="P7" s="167"/>
      <c r="Q7" s="167"/>
      <c r="R7" s="169"/>
      <c r="S7" s="168"/>
      <c r="T7" s="167"/>
      <c r="U7" s="167"/>
      <c r="V7" s="217"/>
      <c r="W7" s="170" t="str">
        <f>IF(COUNTA(C7:V7)&gt;0,IF(Starterlist!J$5=3,SUM(C7:N7),IF(Starterlist!J$5=4,SUM(C7:R7)-X7,IF(Starterlist!J$5=5,SUM(C7:V7),""))),"")</f>
        <v/>
      </c>
      <c r="X7" s="411"/>
      <c r="Y7" s="413"/>
      <c r="Z7" s="405"/>
      <c r="AA7" s="5" t="str">
        <f>IF(COUNTA(C7:V7)=(Starterlist!J$5*4),((W7-X6+W6)/((Starterlist!J$5*4)-1))*1.5,"")</f>
        <v/>
      </c>
    </row>
    <row r="8" spans="1:27" ht="21" customHeight="1" x14ac:dyDescent="0.25">
      <c r="A8" s="406">
        <v>2</v>
      </c>
      <c r="B8" s="408" t="str">
        <f>(Starterlist!B14)&amp;CHAR(10)&amp;(Starterlist!D14)&amp;CHAR(10)&amp;(Starterlist!F14)</f>
        <v xml:space="preserve">
</v>
      </c>
      <c r="C8" s="374"/>
      <c r="D8" s="374"/>
      <c r="E8" s="374"/>
      <c r="F8" s="374"/>
      <c r="G8" s="374"/>
      <c r="H8" s="374"/>
      <c r="I8" s="374"/>
      <c r="J8" s="374"/>
      <c r="K8" s="374"/>
      <c r="L8" s="374"/>
      <c r="M8" s="374"/>
      <c r="N8" s="375"/>
      <c r="O8" s="376"/>
      <c r="P8" s="374"/>
      <c r="Q8" s="374"/>
      <c r="R8" s="375"/>
      <c r="S8" s="376"/>
      <c r="T8" s="374"/>
      <c r="U8" s="374"/>
      <c r="V8" s="377"/>
      <c r="W8" s="378">
        <f t="array" ref="W8">SUM(SUM(LEN(C8:V8))-SUM(LEN(SUBSTITUTE(C8:V8,"+",""))),ABS(SUM(LEN(C8:V8))-SUM(LEN(SUBSTITUTE(C8:V8,"-",""))) )*-1)</f>
        <v>0</v>
      </c>
      <c r="X8" s="414" t="str">
        <f>IF(COUNTA(C9:V9)&gt;0,IF(Starterlist!J$5=3,SMALL(C9:N9,1),IF(Starterlist!J$5=4,SMALL(C9:R9,1),IF(Starterlist!J$5=5,SMALL(C9:V9,1)))),"")</f>
        <v/>
      </c>
      <c r="Y8" s="412" t="str">
        <f>IF(COUNTA(C9:V9)=(Starterlist!J$5*4),ROUND(((W9-X8+W8)/((Starterlist!J$5*4)-1))*1.5,1),"")</f>
        <v/>
      </c>
      <c r="Z8" s="404" t="str">
        <f>IF(Y8="","",RANK(Y8,Y$6:Y$25))</f>
        <v/>
      </c>
      <c r="AA8" s="5" t="str">
        <f>IF(COUNTA(C8:V8)=(Starterlist!J$5*4),((W8-X7+W7)/((Starterlist!J$5*4)-1))*1.5,"")</f>
        <v/>
      </c>
    </row>
    <row r="9" spans="1:27" ht="21" customHeight="1" thickBot="1" x14ac:dyDescent="0.3">
      <c r="A9" s="407"/>
      <c r="B9" s="409"/>
      <c r="C9" s="167"/>
      <c r="D9" s="167"/>
      <c r="E9" s="167"/>
      <c r="F9" s="167"/>
      <c r="G9" s="167"/>
      <c r="H9" s="167"/>
      <c r="I9" s="167"/>
      <c r="J9" s="167"/>
      <c r="K9" s="167"/>
      <c r="L9" s="167"/>
      <c r="M9" s="167"/>
      <c r="N9" s="169"/>
      <c r="O9" s="168"/>
      <c r="P9" s="167"/>
      <c r="Q9" s="167"/>
      <c r="R9" s="169"/>
      <c r="S9" s="168"/>
      <c r="T9" s="167"/>
      <c r="U9" s="167"/>
      <c r="V9" s="217"/>
      <c r="W9" s="170" t="str">
        <f>IF(COUNTA(C9:V9)&gt;0,IF(Starterlist!J$5=3,SUM(C9:N9),IF(Starterlist!J$5=4,SUM(C9:R9)-X9,IF(Starterlist!J$5=5,SUM(C9:V9),""))),"")</f>
        <v/>
      </c>
      <c r="X9" s="411"/>
      <c r="Y9" s="413"/>
      <c r="Z9" s="405"/>
      <c r="AA9" s="5" t="str">
        <f>IF(COUNTA(C9:V9)=(Starterlist!J$5*4),((W9-X8+W8)/((Starterlist!J$5*4)-1))*1.5,"")</f>
        <v/>
      </c>
    </row>
    <row r="10" spans="1:27" ht="21" customHeight="1" x14ac:dyDescent="0.25">
      <c r="A10" s="406">
        <v>3</v>
      </c>
      <c r="B10" s="408" t="str">
        <f>(Starterlist!B15)&amp;CHAR(10)&amp;(Starterlist!D15)&amp;CHAR(10)&amp;(Starterlist!F15)</f>
        <v xml:space="preserve">
</v>
      </c>
      <c r="C10" s="374"/>
      <c r="D10" s="374"/>
      <c r="E10" s="374"/>
      <c r="F10" s="374"/>
      <c r="G10" s="374"/>
      <c r="H10" s="374"/>
      <c r="I10" s="374"/>
      <c r="J10" s="374"/>
      <c r="K10" s="374"/>
      <c r="L10" s="374"/>
      <c r="M10" s="374"/>
      <c r="N10" s="375"/>
      <c r="O10" s="376"/>
      <c r="P10" s="374"/>
      <c r="Q10" s="374"/>
      <c r="R10" s="375"/>
      <c r="S10" s="376"/>
      <c r="T10" s="374"/>
      <c r="U10" s="374"/>
      <c r="V10" s="377"/>
      <c r="W10" s="378">
        <f t="array" ref="W10">SUM(SUM(LEN(C10:V10))-SUM(LEN(SUBSTITUTE(C10:V10,"+",""))),ABS(SUM(LEN(C10:V10))-SUM(LEN(SUBSTITUTE(C10:V10,"-",""))) )*-1)</f>
        <v>0</v>
      </c>
      <c r="X10" s="414" t="str">
        <f>IF(COUNTA(C11:V11)&gt;0,IF(Starterlist!J$5=3,SMALL(C11:N11,1),IF(Starterlist!J$5=4,SMALL(C11:R11,1),IF(Starterlist!J$5=5,SMALL(C11:V11,1)))),"")</f>
        <v/>
      </c>
      <c r="Y10" s="412" t="str">
        <f>IF(COUNTA(C11:V11)=(Starterlist!J$5*4),ROUND(((W11-X10+W10)/((Starterlist!J$5*4)-1))*1.5,1),"")</f>
        <v/>
      </c>
      <c r="Z10" s="404" t="str">
        <f>IF(Y10="","",RANK(Y10,Y$6:Y$25))</f>
        <v/>
      </c>
      <c r="AA10" s="5" t="str">
        <f>IF(COUNTA(C10:V10)=(Starterlist!J$5*4),((W10-X9+W9)/((Starterlist!J$5*4)-1))*1.5,"")</f>
        <v/>
      </c>
    </row>
    <row r="11" spans="1:27" ht="21" customHeight="1" thickBot="1" x14ac:dyDescent="0.3">
      <c r="A11" s="407"/>
      <c r="B11" s="409"/>
      <c r="C11" s="167"/>
      <c r="D11" s="167"/>
      <c r="E11" s="167"/>
      <c r="F11" s="167"/>
      <c r="G11" s="167"/>
      <c r="H11" s="167"/>
      <c r="I11" s="167"/>
      <c r="J11" s="167"/>
      <c r="K11" s="167"/>
      <c r="L11" s="167"/>
      <c r="M11" s="167"/>
      <c r="N11" s="169"/>
      <c r="O11" s="168"/>
      <c r="P11" s="167"/>
      <c r="Q11" s="167"/>
      <c r="R11" s="169"/>
      <c r="S11" s="168"/>
      <c r="T11" s="167"/>
      <c r="U11" s="167"/>
      <c r="V11" s="217"/>
      <c r="W11" s="170" t="str">
        <f>IF(COUNTA(C11:V11)&gt;0,IF(Starterlist!J$5=3,SUM(C11:N11),IF(Starterlist!J$5=4,SUM(C11:R11)-X11,IF(Starterlist!J$5=5,SUM(C11:V11),""))),"")</f>
        <v/>
      </c>
      <c r="X11" s="411"/>
      <c r="Y11" s="413"/>
      <c r="Z11" s="405"/>
      <c r="AA11" s="5" t="str">
        <f>IF(COUNTA(C11:V11)=(Starterlist!J$5*4),((W11-X10+W10)/((Starterlist!J$5*4)-1))*1.5,"")</f>
        <v/>
      </c>
    </row>
    <row r="12" spans="1:27" ht="21" customHeight="1" x14ac:dyDescent="0.25">
      <c r="A12" s="406">
        <v>4</v>
      </c>
      <c r="B12" s="408" t="str">
        <f>(Starterlist!B16)&amp;CHAR(10)&amp;(Starterlist!D16)&amp;CHAR(10)&amp;(Starterlist!F16)</f>
        <v xml:space="preserve">
</v>
      </c>
      <c r="C12" s="374"/>
      <c r="D12" s="374"/>
      <c r="E12" s="374"/>
      <c r="F12" s="374"/>
      <c r="G12" s="374"/>
      <c r="H12" s="374"/>
      <c r="I12" s="374"/>
      <c r="J12" s="374"/>
      <c r="K12" s="374"/>
      <c r="L12" s="374"/>
      <c r="M12" s="374"/>
      <c r="N12" s="375"/>
      <c r="O12" s="376"/>
      <c r="P12" s="374"/>
      <c r="Q12" s="374"/>
      <c r="R12" s="375"/>
      <c r="S12" s="376"/>
      <c r="T12" s="374"/>
      <c r="U12" s="374"/>
      <c r="V12" s="377"/>
      <c r="W12" s="378">
        <f t="array" ref="W12">SUM(SUM(LEN(C12:V12))-SUM(LEN(SUBSTITUTE(C12:V12,"+",""))),ABS(SUM(LEN(C12:V12))-SUM(LEN(SUBSTITUTE(C12:V12,"-",""))) )*-1)</f>
        <v>0</v>
      </c>
      <c r="X12" s="414" t="str">
        <f>IF(COUNTA(C13:V13)&gt;0,IF(Starterlist!J$5=3,SMALL(C13:N13,1),IF(Starterlist!J$5=4,SMALL(C13:R13,1),IF(Starterlist!J$5=5,SMALL(C13:V13,1)))),"")</f>
        <v/>
      </c>
      <c r="Y12" s="412" t="str">
        <f>IF(COUNTA(C13:V13)=(Starterlist!J$5*4),ROUND(((W13-X12+W12)/((Starterlist!J$5*4)-1))*1.5,1),"")</f>
        <v/>
      </c>
      <c r="Z12" s="404" t="str">
        <f>IF(Y12="","",RANK(Y12,Y$6:Y$25))</f>
        <v/>
      </c>
      <c r="AA12" s="5" t="str">
        <f>IF(COUNTA(C12:V12)=(Starterlist!J$5*4),((W12-X11+W11)/((Starterlist!J$5*4)-1))*1.5,"")</f>
        <v/>
      </c>
    </row>
    <row r="13" spans="1:27" ht="21" customHeight="1" thickBot="1" x14ac:dyDescent="0.3">
      <c r="A13" s="407"/>
      <c r="B13" s="409"/>
      <c r="C13" s="167"/>
      <c r="D13" s="167"/>
      <c r="E13" s="167"/>
      <c r="F13" s="167"/>
      <c r="G13" s="167"/>
      <c r="H13" s="167"/>
      <c r="I13" s="167"/>
      <c r="J13" s="167"/>
      <c r="K13" s="167"/>
      <c r="L13" s="167"/>
      <c r="M13" s="167"/>
      <c r="N13" s="169"/>
      <c r="O13" s="168"/>
      <c r="P13" s="167"/>
      <c r="Q13" s="167"/>
      <c r="R13" s="169"/>
      <c r="S13" s="168"/>
      <c r="T13" s="167"/>
      <c r="U13" s="167"/>
      <c r="V13" s="217"/>
      <c r="W13" s="170" t="str">
        <f>IF(COUNTA(C13:V13)&gt;0,IF(Starterlist!J$5=3,SUM(C13:N13),IF(Starterlist!J$5=4,SUM(C13:R13)-X13,IF(Starterlist!J$5=5,SUM(C13:V13),""))),"")</f>
        <v/>
      </c>
      <c r="X13" s="411"/>
      <c r="Y13" s="413"/>
      <c r="Z13" s="405"/>
      <c r="AA13" s="5" t="str">
        <f>IF(COUNTA(C13:V13)=(Starterlist!J$5*4),((W13-X12+W12)/((Starterlist!J$5*4)-1))*1.5,"")</f>
        <v/>
      </c>
    </row>
    <row r="14" spans="1:27" ht="21" customHeight="1" x14ac:dyDescent="0.25">
      <c r="A14" s="406">
        <v>5</v>
      </c>
      <c r="B14" s="408" t="str">
        <f>(Starterlist!B17)&amp;CHAR(10)&amp;(Starterlist!D17)&amp;CHAR(10)&amp;(Starterlist!F17)</f>
        <v xml:space="preserve">
</v>
      </c>
      <c r="C14" s="374"/>
      <c r="D14" s="374"/>
      <c r="E14" s="374"/>
      <c r="F14" s="374"/>
      <c r="G14" s="374"/>
      <c r="H14" s="374"/>
      <c r="I14" s="374"/>
      <c r="J14" s="374"/>
      <c r="K14" s="374"/>
      <c r="L14" s="374"/>
      <c r="M14" s="374"/>
      <c r="N14" s="375"/>
      <c r="O14" s="376"/>
      <c r="P14" s="374"/>
      <c r="Q14" s="374"/>
      <c r="R14" s="375"/>
      <c r="S14" s="376"/>
      <c r="T14" s="374"/>
      <c r="U14" s="374"/>
      <c r="V14" s="377"/>
      <c r="W14" s="378">
        <f t="array" ref="W14">SUM(SUM(LEN(C14:V14))-SUM(LEN(SUBSTITUTE(C14:V14,"+",""))),ABS(SUM(LEN(C14:V14))-SUM(LEN(SUBSTITUTE(C14:V14,"-",""))) )*-1)</f>
        <v>0</v>
      </c>
      <c r="X14" s="414" t="str">
        <f>IF(COUNTA(C15:V15)&gt;0,IF(Starterlist!J$5=3,SMALL(C15:N15,1),IF(Starterlist!J$5=4,SMALL(C15:R15,1),IF(Starterlist!J$5=5,SMALL(C15:V15,1)))),"")</f>
        <v/>
      </c>
      <c r="Y14" s="412" t="str">
        <f>IF(COUNTA(C15:V15)=(Starterlist!J$5*4),ROUND(((W15-X14+W14)/((Starterlist!J$5*4)-1))*1.5,1),"")</f>
        <v/>
      </c>
      <c r="Z14" s="404" t="str">
        <f>IF(Y14="","",RANK(Y14,Y$6:Y$25))</f>
        <v/>
      </c>
      <c r="AA14" s="5" t="str">
        <f>IF(COUNTA(C14:V14)=(Starterlist!J$5*4),((W14-X13+W13)/((Starterlist!J$5*4)-1))*1.5,"")</f>
        <v/>
      </c>
    </row>
    <row r="15" spans="1:27" ht="21" customHeight="1" thickBot="1" x14ac:dyDescent="0.3">
      <c r="A15" s="407"/>
      <c r="B15" s="409"/>
      <c r="C15" s="167"/>
      <c r="D15" s="167"/>
      <c r="E15" s="167"/>
      <c r="F15" s="167"/>
      <c r="G15" s="167"/>
      <c r="H15" s="167"/>
      <c r="I15" s="167"/>
      <c r="J15" s="167"/>
      <c r="K15" s="167"/>
      <c r="L15" s="167"/>
      <c r="M15" s="167"/>
      <c r="N15" s="169"/>
      <c r="O15" s="168"/>
      <c r="P15" s="167"/>
      <c r="Q15" s="167"/>
      <c r="R15" s="169"/>
      <c r="S15" s="168"/>
      <c r="T15" s="167"/>
      <c r="U15" s="167"/>
      <c r="V15" s="217"/>
      <c r="W15" s="170" t="str">
        <f>IF(COUNTA(C15:V15)&gt;0,IF(Starterlist!J$5=3,SUM(C15:N15),IF(Starterlist!J$5=4,SUM(C15:R15)-X15,IF(Starterlist!J$5=5,SUM(C15:V15),""))),"")</f>
        <v/>
      </c>
      <c r="X15" s="411"/>
      <c r="Y15" s="413"/>
      <c r="Z15" s="405"/>
      <c r="AA15" s="5" t="str">
        <f>IF(COUNTA(C15:V15)=(Starterlist!J$5*4),((W15-X14+W14)/((Starterlist!J$5*4)-1))*1.5,"")</f>
        <v/>
      </c>
    </row>
    <row r="16" spans="1:27" ht="21" customHeight="1" x14ac:dyDescent="0.25">
      <c r="A16" s="406">
        <v>6</v>
      </c>
      <c r="B16" s="408" t="str">
        <f>(Starterlist!B18)&amp;CHAR(10)&amp;(Starterlist!D18)&amp;CHAR(10)&amp;(Starterlist!F18)</f>
        <v xml:space="preserve">
</v>
      </c>
      <c r="C16" s="374"/>
      <c r="D16" s="374"/>
      <c r="E16" s="374"/>
      <c r="F16" s="374"/>
      <c r="G16" s="374"/>
      <c r="H16" s="374"/>
      <c r="I16" s="374"/>
      <c r="J16" s="374"/>
      <c r="K16" s="374"/>
      <c r="L16" s="374"/>
      <c r="M16" s="374"/>
      <c r="N16" s="375"/>
      <c r="O16" s="376"/>
      <c r="P16" s="374"/>
      <c r="Q16" s="374"/>
      <c r="R16" s="375"/>
      <c r="S16" s="376"/>
      <c r="T16" s="374"/>
      <c r="U16" s="374"/>
      <c r="V16" s="377"/>
      <c r="W16" s="378">
        <f t="array" ref="W16">SUM(SUM(LEN(C16:V16))-SUM(LEN(SUBSTITUTE(C16:V16,"+",""))),ABS(SUM(LEN(C16:V16))-SUM(LEN(SUBSTITUTE(C16:V16,"-",""))) )*-1)</f>
        <v>0</v>
      </c>
      <c r="X16" s="414" t="str">
        <f>IF(COUNTA(C17:V17)&gt;0,IF(Starterlist!J$5=3,SMALL(C17:N17,1),IF(Starterlist!J$5=4,SMALL(C17:R17,1),IF(Starterlist!J$5=5,SMALL(C17:V17,1)))),"")</f>
        <v/>
      </c>
      <c r="Y16" s="412" t="str">
        <f>IF(COUNTA(C17:V17)=(Starterlist!J$5*4),ROUND(((W17-X16+W16)/((Starterlist!J$5*4)-1))*1.5,1),"")</f>
        <v/>
      </c>
      <c r="Z16" s="404" t="str">
        <f>IF(Y16="","",RANK(Y16,Y$6:Y$25))</f>
        <v/>
      </c>
      <c r="AA16" s="5" t="str">
        <f>IF(COUNTA(C16:V16)=(Starterlist!J$5*4),((W16-X15+W15)/((Starterlist!J$5*4)-1))*1.5,"")</f>
        <v/>
      </c>
    </row>
    <row r="17" spans="1:27" ht="21" customHeight="1" thickBot="1" x14ac:dyDescent="0.3">
      <c r="A17" s="407"/>
      <c r="B17" s="409"/>
      <c r="C17" s="167"/>
      <c r="D17" s="167"/>
      <c r="E17" s="167"/>
      <c r="F17" s="167"/>
      <c r="G17" s="167"/>
      <c r="H17" s="167"/>
      <c r="I17" s="167"/>
      <c r="J17" s="167"/>
      <c r="K17" s="167"/>
      <c r="L17" s="167"/>
      <c r="M17" s="167"/>
      <c r="N17" s="169"/>
      <c r="O17" s="168"/>
      <c r="P17" s="167"/>
      <c r="Q17" s="167"/>
      <c r="R17" s="169"/>
      <c r="S17" s="168"/>
      <c r="T17" s="167"/>
      <c r="U17" s="167"/>
      <c r="V17" s="217"/>
      <c r="W17" s="170" t="str">
        <f>IF(COUNTA(C17:V17)&gt;0,IF(Starterlist!J$5=3,SUM(C17:N17),IF(Starterlist!J$5=4,SUM(C17:R17)-X17,IF(Starterlist!J$5=5,SUM(C17:V17),""))),"")</f>
        <v/>
      </c>
      <c r="X17" s="411"/>
      <c r="Y17" s="413"/>
      <c r="Z17" s="405"/>
      <c r="AA17" s="5" t="str">
        <f>IF(COUNTA(C17:V17)=(Starterlist!J$5*4),((W17-X16+W16)/((Starterlist!J$5*4)-1))*1.5,"")</f>
        <v/>
      </c>
    </row>
    <row r="18" spans="1:27" ht="21" customHeight="1" x14ac:dyDescent="0.25">
      <c r="A18" s="406">
        <v>7</v>
      </c>
      <c r="B18" s="408" t="str">
        <f>(Starterlist!B19)&amp;CHAR(10)&amp;(Starterlist!D19)&amp;CHAR(10)&amp;(Starterlist!F19)</f>
        <v xml:space="preserve">
</v>
      </c>
      <c r="C18" s="374"/>
      <c r="D18" s="374"/>
      <c r="E18" s="374"/>
      <c r="F18" s="374"/>
      <c r="G18" s="374"/>
      <c r="H18" s="374"/>
      <c r="I18" s="374"/>
      <c r="J18" s="374"/>
      <c r="K18" s="374"/>
      <c r="L18" s="374"/>
      <c r="M18" s="374"/>
      <c r="N18" s="375"/>
      <c r="O18" s="376"/>
      <c r="P18" s="374"/>
      <c r="Q18" s="374"/>
      <c r="R18" s="375"/>
      <c r="S18" s="376"/>
      <c r="T18" s="374"/>
      <c r="U18" s="374"/>
      <c r="V18" s="377"/>
      <c r="W18" s="378">
        <f t="array" ref="W18">SUM(SUM(LEN(C18:V18))-SUM(LEN(SUBSTITUTE(C18:V18,"+",""))),ABS(SUM(LEN(C18:V18))-SUM(LEN(SUBSTITUTE(C18:V18,"-",""))) )*-1)</f>
        <v>0</v>
      </c>
      <c r="X18" s="414" t="str">
        <f>IF(COUNTA(C19:V19)&gt;0,IF(Starterlist!J$5=3,SMALL(C19:N19,1),IF(Starterlist!J$5=4,SMALL(C19:R19,1),IF(Starterlist!J$5=5,SMALL(C19:V19,1)))),"")</f>
        <v/>
      </c>
      <c r="Y18" s="412" t="str">
        <f>IF(COUNTA(C19:V19)=(Starterlist!J$5*4),ROUND(((W19-X18+W18)/((Starterlist!J$5*4)-1))*1.5,1),"")</f>
        <v/>
      </c>
      <c r="Z18" s="404" t="str">
        <f>IF(Y18="","",RANK(Y18,Y$6:Y$25))</f>
        <v/>
      </c>
      <c r="AA18" s="5" t="str">
        <f>IF(COUNTA(C18:V18)=(Starterlist!J$5*4),((W18-X17+W17)/((Starterlist!J$5*4)-1))*1.5,"")</f>
        <v/>
      </c>
    </row>
    <row r="19" spans="1:27" ht="21" customHeight="1" thickBot="1" x14ac:dyDescent="0.3">
      <c r="A19" s="407"/>
      <c r="B19" s="409"/>
      <c r="C19" s="167"/>
      <c r="D19" s="167"/>
      <c r="E19" s="167"/>
      <c r="F19" s="167"/>
      <c r="G19" s="167"/>
      <c r="H19" s="167"/>
      <c r="I19" s="167"/>
      <c r="J19" s="167"/>
      <c r="K19" s="167"/>
      <c r="L19" s="167"/>
      <c r="M19" s="167"/>
      <c r="N19" s="169"/>
      <c r="O19" s="168"/>
      <c r="P19" s="167"/>
      <c r="Q19" s="167"/>
      <c r="R19" s="169"/>
      <c r="S19" s="168"/>
      <c r="T19" s="167"/>
      <c r="U19" s="167"/>
      <c r="V19" s="217"/>
      <c r="W19" s="170" t="str">
        <f t="array" ref="W19">IF(COUNTA(C19:V19)&gt;0,IF(Starterlist!J$5=3,SUM(C19:N19),IF(Starterlist!J$5=4,SUM(C19:R19),IF(Starterlist!J$5=5,SUM(C19:V19),""))),"")</f>
        <v/>
      </c>
      <c r="X19" s="411"/>
      <c r="Y19" s="413"/>
      <c r="Z19" s="405"/>
      <c r="AA19" s="5" t="str">
        <f>IF(COUNTA(C19:V19)=(Starterlist!J$5*4),((W19-X18+W18)/((Starterlist!J$5*4)-1))*1.5,"")</f>
        <v/>
      </c>
    </row>
    <row r="20" spans="1:27" ht="21" customHeight="1" x14ac:dyDescent="0.25">
      <c r="A20" s="406">
        <v>8</v>
      </c>
      <c r="B20" s="408" t="str">
        <f>(Starterlist!B20)&amp;CHAR(10)&amp;(Starterlist!D20)&amp;CHAR(10)&amp;(Starterlist!F20)</f>
        <v xml:space="preserve">
</v>
      </c>
      <c r="C20" s="374"/>
      <c r="D20" s="374"/>
      <c r="E20" s="374"/>
      <c r="F20" s="374"/>
      <c r="G20" s="374"/>
      <c r="H20" s="374"/>
      <c r="I20" s="374"/>
      <c r="J20" s="374"/>
      <c r="K20" s="374"/>
      <c r="L20" s="374"/>
      <c r="M20" s="374"/>
      <c r="N20" s="375"/>
      <c r="O20" s="376"/>
      <c r="P20" s="374"/>
      <c r="Q20" s="374"/>
      <c r="R20" s="375"/>
      <c r="S20" s="376"/>
      <c r="T20" s="374"/>
      <c r="U20" s="374"/>
      <c r="V20" s="377"/>
      <c r="W20" s="378">
        <f t="array" ref="W20">SUM(SUM(LEN(C20:V20))-SUM(LEN(SUBSTITUTE(C20:V20,"+",""))),ABS(SUM(LEN(C20:V20))-SUM(LEN(SUBSTITUTE(C20:V20,"-",""))) )*-1)</f>
        <v>0</v>
      </c>
      <c r="X20" s="414" t="str">
        <f>IF(COUNTA(C21:V21)&gt;0,IF(Starterlist!J$5=3,SMALL(C21:N21,1),IF(Starterlist!J$5=4,SMALL(C21:R21,1),IF(Starterlist!J$5=5,SMALL(C21:V21,1)))),"")</f>
        <v/>
      </c>
      <c r="Y20" s="412" t="str">
        <f>IF(COUNTA(C21:V21)=(Starterlist!J$5*4),ROUND(((W21-X20+W20)/((Starterlist!J$5*4)-1))*1.5,1),"")</f>
        <v/>
      </c>
      <c r="Z20" s="404" t="str">
        <f>IF(Y20="","",RANK(Y20,Y$6:Y$25))</f>
        <v/>
      </c>
      <c r="AA20" s="5" t="str">
        <f>IF(COUNTA(C20:V20)=(Starterlist!J$5*4),((W20-X19+W19)/((Starterlist!J$5*4)-1))*1.5,"")</f>
        <v/>
      </c>
    </row>
    <row r="21" spans="1:27" ht="21" customHeight="1" thickBot="1" x14ac:dyDescent="0.3">
      <c r="A21" s="407"/>
      <c r="B21" s="409"/>
      <c r="C21" s="167"/>
      <c r="D21" s="167"/>
      <c r="E21" s="167"/>
      <c r="F21" s="167"/>
      <c r="G21" s="167"/>
      <c r="H21" s="167"/>
      <c r="I21" s="167"/>
      <c r="J21" s="167"/>
      <c r="K21" s="167"/>
      <c r="L21" s="167"/>
      <c r="M21" s="167"/>
      <c r="N21" s="169"/>
      <c r="O21" s="168"/>
      <c r="P21" s="167"/>
      <c r="Q21" s="167"/>
      <c r="R21" s="169"/>
      <c r="S21" s="168"/>
      <c r="T21" s="167"/>
      <c r="U21" s="167"/>
      <c r="V21" s="217"/>
      <c r="W21" s="170" t="str">
        <f t="array" ref="W21">IF(COUNTA(C21:V21)&gt;0,IF(Starterlist!J$5=3,SUM(C21:N21),IF(Starterlist!J$5=4,SUM(C21:R21),IF(Starterlist!J$5=5,SUM(C21:V21),""))),"")</f>
        <v/>
      </c>
      <c r="X21" s="411"/>
      <c r="Y21" s="413"/>
      <c r="Z21" s="405"/>
      <c r="AA21" s="5" t="str">
        <f>IF(COUNTA(C21:V21)=(Starterlist!J$5*4),((W21-X20+W20)/((Starterlist!J$5*4)-1))*1.5,"")</f>
        <v/>
      </c>
    </row>
    <row r="22" spans="1:27" ht="21" hidden="1" customHeight="1" x14ac:dyDescent="0.25">
      <c r="A22" s="406">
        <v>9</v>
      </c>
      <c r="B22" s="408" t="str">
        <f>(Starterlist!B21)&amp;CHAR(10)&amp;(Starterlist!D21)&amp;CHAR(10)&amp;(Starterlist!F21)</f>
        <v xml:space="preserve">
</v>
      </c>
      <c r="C22" s="374"/>
      <c r="D22" s="374"/>
      <c r="E22" s="374"/>
      <c r="F22" s="374"/>
      <c r="G22" s="374"/>
      <c r="H22" s="374"/>
      <c r="I22" s="374"/>
      <c r="J22" s="374"/>
      <c r="K22" s="374"/>
      <c r="L22" s="374"/>
      <c r="M22" s="374"/>
      <c r="N22" s="375"/>
      <c r="O22" s="376"/>
      <c r="P22" s="374"/>
      <c r="Q22" s="374"/>
      <c r="R22" s="375"/>
      <c r="S22" s="376"/>
      <c r="T22" s="374"/>
      <c r="U22" s="374"/>
      <c r="V22" s="375"/>
      <c r="W22" s="378">
        <f t="array" ref="W22">SUM(SUM(LEN(C22:V22))-SUM(LEN(SUBSTITUTE(C22:V22,"+",""))),ABS(SUM(LEN(C22:V22))-SUM(LEN(SUBSTITUTE(C22:V22,"-",""))) )*-1)</f>
        <v>0</v>
      </c>
      <c r="X22" s="414" t="str">
        <f>IF(COUNTA(C23:V23)&gt;0,IF(Starterlist!J$5=3,SMALL(C23:N23,1),IF(Starterlist!J$5=4,SMALL(C23:R23,1),IF(Starterlist!J$5=5,SMALL(C23:V23,1)))),"")</f>
        <v/>
      </c>
      <c r="Y22" s="412" t="str">
        <f>IF(COUNTA(C23:V23)=(Starterlist!J$5*4),ROUND(((W23-X22+W22)/((Starterlist!J$5*4)-1))*1.5,1),"")</f>
        <v/>
      </c>
      <c r="Z22" s="404" t="str">
        <f>IF(Y22="","",RANK(Y22,Y$6:Y$25))</f>
        <v/>
      </c>
      <c r="AA22" s="5" t="str">
        <f>IF(COUNTA(C22:V22)=(Starterlist!J$5*4),((W22-X21+W21)/((Starterlist!J$5*4)-1))*1.5,"")</f>
        <v/>
      </c>
    </row>
    <row r="23" spans="1:27" ht="21" hidden="1" customHeight="1" thickBot="1" x14ac:dyDescent="0.3">
      <c r="A23" s="407"/>
      <c r="B23" s="409"/>
      <c r="C23" s="167"/>
      <c r="D23" s="167"/>
      <c r="E23" s="167"/>
      <c r="F23" s="167"/>
      <c r="G23" s="167"/>
      <c r="H23" s="167"/>
      <c r="I23" s="167"/>
      <c r="J23" s="167"/>
      <c r="K23" s="167"/>
      <c r="L23" s="167"/>
      <c r="M23" s="167"/>
      <c r="N23" s="169"/>
      <c r="O23" s="165"/>
      <c r="P23" s="164"/>
      <c r="Q23" s="164"/>
      <c r="R23" s="166"/>
      <c r="S23" s="165"/>
      <c r="T23" s="164"/>
      <c r="U23" s="164"/>
      <c r="V23" s="166"/>
      <c r="W23" s="224" t="str">
        <f t="array" ref="W23">IF(COUNTA(C23:V23)&gt;0,IF(Starterlist!J$5=3,SUM(C23:N23),IF(Starterlist!J$5=4,SUM(C23:R23),IF(Starterlist!J$5=5,SUM(C23:V23),""))),"")</f>
        <v/>
      </c>
      <c r="X23" s="411"/>
      <c r="Y23" s="413"/>
      <c r="Z23" s="405"/>
      <c r="AA23" s="5" t="str">
        <f>IF(COUNTA(C23:V23)=(Starterlist!J$5*4),((W23-X22+W22)/((Starterlist!J$5*4)-1))*1.5,"")</f>
        <v/>
      </c>
    </row>
    <row r="24" spans="1:27" ht="21" hidden="1" customHeight="1" x14ac:dyDescent="0.25">
      <c r="A24" s="406">
        <v>10</v>
      </c>
      <c r="B24" s="408" t="str">
        <f>(Starterlist!B22)&amp;CHAR(10)&amp;(Starterlist!D22)&amp;CHAR(10)&amp;(Starterlist!F22)</f>
        <v xml:space="preserve">
</v>
      </c>
      <c r="C24" s="374"/>
      <c r="D24" s="374"/>
      <c r="E24" s="374"/>
      <c r="F24" s="374"/>
      <c r="G24" s="374"/>
      <c r="H24" s="374"/>
      <c r="I24" s="374"/>
      <c r="J24" s="374"/>
      <c r="K24" s="374"/>
      <c r="L24" s="374"/>
      <c r="M24" s="374"/>
      <c r="N24" s="375"/>
      <c r="O24" s="376"/>
      <c r="P24" s="374"/>
      <c r="Q24" s="374"/>
      <c r="R24" s="375"/>
      <c r="S24" s="376"/>
      <c r="T24" s="374"/>
      <c r="U24" s="374"/>
      <c r="V24" s="377"/>
      <c r="W24" s="378">
        <f t="array" ref="W24">SUM(SUM(LEN(C24:V24))-SUM(LEN(SUBSTITUTE(C24:V24,"+",""))),ABS(SUM(LEN(C24:V24))-SUM(LEN(SUBSTITUTE(C24:V24,"-",""))) )*-1)</f>
        <v>0</v>
      </c>
      <c r="X24" s="410" t="str">
        <f>IF(COUNTA(C25:V25)&gt;0,IF(Starterlist!J$5=3,SMALL(C25:N25,1),IF(Starterlist!J$5=4,SMALL(C25:R25,1),IF(Starterlist!J$5=5,SMALL(C25:V25,1)))),"")</f>
        <v/>
      </c>
      <c r="Y24" s="412" t="str">
        <f>IF(COUNTA(C25:V25)=(Starterlist!J$5*4),ROUND(((W25-X24+W24)/((Starterlist!J$5*4)-1))*1.5,1),"")</f>
        <v/>
      </c>
      <c r="Z24" s="404" t="str">
        <f>IF(Y24="","",RANK(Y24,Y$6:Y$25))</f>
        <v/>
      </c>
      <c r="AA24" s="5" t="str">
        <f>IF(COUNTA(C24:V24)=(Starterlist!J$5*4),((W24-X23+W23)/((Starterlist!J$5*4)-1))*1.5,"")</f>
        <v/>
      </c>
    </row>
    <row r="25" spans="1:27" ht="21" hidden="1" customHeight="1" thickBot="1" x14ac:dyDescent="0.3">
      <c r="A25" s="407"/>
      <c r="B25" s="409"/>
      <c r="C25" s="167"/>
      <c r="D25" s="167"/>
      <c r="E25" s="167"/>
      <c r="F25" s="167"/>
      <c r="G25" s="167"/>
      <c r="H25" s="167"/>
      <c r="I25" s="167"/>
      <c r="J25" s="167"/>
      <c r="K25" s="167"/>
      <c r="L25" s="167"/>
      <c r="M25" s="167"/>
      <c r="N25" s="169"/>
      <c r="O25" s="168"/>
      <c r="P25" s="167"/>
      <c r="Q25" s="167"/>
      <c r="R25" s="169"/>
      <c r="S25" s="168"/>
      <c r="T25" s="167"/>
      <c r="U25" s="167"/>
      <c r="V25" s="169"/>
      <c r="W25" s="170" t="str">
        <f t="array" ref="W25">IF(COUNTA(C25:V25)&gt;0,IF(Starterlist!J$5=3,SUM(C25:N25),IF(Starterlist!J$5=4,SUM(C25:R25),IF(Starterlist!J$5=5,SUM(C25:V25),""))),"")</f>
        <v/>
      </c>
      <c r="X25" s="411"/>
      <c r="Y25" s="413"/>
      <c r="Z25" s="405"/>
      <c r="AA25" s="5" t="str">
        <f>IF(COUNTA(C25:V25)=(Starterlist!J$5*4),((W25-X24+W24)/((Starterlist!J$5*4)-1))*1.5,"")</f>
        <v/>
      </c>
    </row>
    <row r="26" spans="1:27" ht="18" hidden="1" customHeight="1" x14ac:dyDescent="0.25">
      <c r="AA26" s="5" t="str">
        <f>IF(COUNTA(C26:V26)=(Starterlist!J$5*4),((W26-X25+W25)/((Starterlist!J$5*4)-1))*1.5,"")</f>
        <v/>
      </c>
    </row>
  </sheetData>
  <mergeCells count="51">
    <mergeCell ref="C4:M4"/>
    <mergeCell ref="B6:B7"/>
    <mergeCell ref="A6:A7"/>
    <mergeCell ref="X6:X7"/>
    <mergeCell ref="Z6:Z7"/>
    <mergeCell ref="A8:A9"/>
    <mergeCell ref="B8:B9"/>
    <mergeCell ref="X8:X9"/>
    <mergeCell ref="Y6:Y7"/>
    <mergeCell ref="Y8:Y9"/>
    <mergeCell ref="Z8:Z9"/>
    <mergeCell ref="X22:X23"/>
    <mergeCell ref="Z10:Z11"/>
    <mergeCell ref="A12:A13"/>
    <mergeCell ref="B12:B13"/>
    <mergeCell ref="X12:X13"/>
    <mergeCell ref="Z12:Z13"/>
    <mergeCell ref="A14:A15"/>
    <mergeCell ref="B14:B15"/>
    <mergeCell ref="X14:X15"/>
    <mergeCell ref="Y16:Y17"/>
    <mergeCell ref="A10:A11"/>
    <mergeCell ref="B10:B11"/>
    <mergeCell ref="X10:X11"/>
    <mergeCell ref="Y10:Y11"/>
    <mergeCell ref="Y12:Y13"/>
    <mergeCell ref="Z14:Z15"/>
    <mergeCell ref="A16:A17"/>
    <mergeCell ref="B16:B17"/>
    <mergeCell ref="X16:X17"/>
    <mergeCell ref="Z16:Z17"/>
    <mergeCell ref="Y14:Y15"/>
    <mergeCell ref="A18:A19"/>
    <mergeCell ref="Y18:Y19"/>
    <mergeCell ref="Z22:Z23"/>
    <mergeCell ref="B18:B19"/>
    <mergeCell ref="X18:X19"/>
    <mergeCell ref="A20:A21"/>
    <mergeCell ref="Z18:Z19"/>
    <mergeCell ref="Z24:Z25"/>
    <mergeCell ref="Z20:Z21"/>
    <mergeCell ref="A24:A25"/>
    <mergeCell ref="B24:B25"/>
    <mergeCell ref="X24:X25"/>
    <mergeCell ref="Y24:Y25"/>
    <mergeCell ref="B22:B23"/>
    <mergeCell ref="Y22:Y23"/>
    <mergeCell ref="B20:B21"/>
    <mergeCell ref="X20:X21"/>
    <mergeCell ref="Y20:Y21"/>
    <mergeCell ref="A22:A23"/>
  </mergeCells>
  <phoneticPr fontId="0" type="noConversion"/>
  <pageMargins left="0.55000000000000004" right="0.25" top="0.75" bottom="0.50686274509803919" header="0.3" footer="0.3"/>
  <pageSetup paperSize="9" scale="88" orientation="landscape" r:id="rId1"/>
  <headerFooter alignWithMargins="0">
    <oddHeader>&amp;C&amp;18Difficulty&amp;R&amp;G</oddHeader>
    <oddFooter>&amp;LInterpretation of difficulty scores:
0: No tricks 
1-2: Very easy tricks 
3-4: Easy tricks
5-6: Medium tricks 
7-8: Difficult tricks
9-10: Very difficult tricks</oddFooter>
  </headerFooter>
  <legacyDrawingHF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Diff2">
    <tabColor indexed="47"/>
  </sheetPr>
  <dimension ref="A1:AA29"/>
  <sheetViews>
    <sheetView showGridLines="0" showRowColHeaders="0" showZeros="0" zoomScaleNormal="100" zoomScaleSheetLayoutView="100" zoomScalePageLayoutView="85" workbookViewId="0">
      <selection activeCell="Y32" sqref="Y32"/>
    </sheetView>
  </sheetViews>
  <sheetFormatPr defaultColWidth="11.140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27" width="0" style="5" hidden="1" customWidth="1"/>
    <col min="28" max="16384" width="11.140625" style="5"/>
  </cols>
  <sheetData>
    <row r="1" spans="1:27" ht="30" customHeight="1" x14ac:dyDescent="0.5">
      <c r="A1" s="32" t="str">
        <f>Starterlist!A1</f>
        <v>FPAW 2018</v>
      </c>
      <c r="B1" s="13"/>
      <c r="C1" s="13" t="s">
        <v>13</v>
      </c>
      <c r="J1" s="13" t="s">
        <v>14</v>
      </c>
      <c r="K1" s="13"/>
      <c r="O1" s="6"/>
      <c r="P1" s="11"/>
      <c r="Q1" s="13" t="str">
        <f>Starterlist!F3</f>
        <v>Pool</v>
      </c>
      <c r="U1" s="13" t="s">
        <v>37</v>
      </c>
    </row>
    <row r="2" spans="1:27" ht="19.5" customHeight="1" x14ac:dyDescent="0.35">
      <c r="A2" s="13" t="str">
        <f>Starterlist!A2</f>
        <v>Trnava, Slowakia</v>
      </c>
      <c r="B2" s="12"/>
      <c r="C2" s="9" t="str">
        <f>Starterlist!B4</f>
        <v>Open Pairs</v>
      </c>
      <c r="J2" s="9" t="str">
        <f>Starterlist!D4</f>
        <v>Semi-Final</v>
      </c>
      <c r="K2" s="9"/>
      <c r="O2" s="6"/>
      <c r="P2" s="11"/>
      <c r="Q2" s="9" t="str">
        <f>Starterlist!F4</f>
        <v>A</v>
      </c>
      <c r="U2" s="28">
        <f>Starterlist!J20</f>
        <v>0</v>
      </c>
    </row>
    <row r="3" spans="1:27" ht="8.25" customHeight="1" x14ac:dyDescent="0.25">
      <c r="B3" s="13"/>
      <c r="C3" s="8"/>
      <c r="D3" s="8"/>
      <c r="E3" s="8"/>
      <c r="F3" s="11"/>
      <c r="G3" s="11"/>
      <c r="H3" s="11"/>
      <c r="I3" s="8"/>
      <c r="J3" s="8"/>
      <c r="K3" s="8"/>
    </row>
    <row r="4" spans="1:27" ht="38.25" customHeight="1" thickBot="1" x14ac:dyDescent="0.3">
      <c r="A4" s="13"/>
      <c r="B4" s="13"/>
      <c r="C4" s="415" t="s">
        <v>1207</v>
      </c>
      <c r="D4" s="415"/>
      <c r="E4" s="415"/>
      <c r="F4" s="415"/>
      <c r="G4" s="415"/>
      <c r="H4" s="415"/>
      <c r="I4" s="415"/>
      <c r="J4" s="415"/>
      <c r="K4" s="415"/>
      <c r="L4" s="415"/>
      <c r="M4" s="415"/>
      <c r="N4" s="14" t="s">
        <v>25</v>
      </c>
      <c r="O4" s="15"/>
      <c r="P4" s="16"/>
      <c r="Q4" s="17"/>
      <c r="R4" s="14" t="s">
        <v>23</v>
      </c>
      <c r="S4" s="17"/>
      <c r="T4" s="17"/>
      <c r="U4" s="17"/>
      <c r="V4" s="14" t="s">
        <v>24</v>
      </c>
      <c r="X4" s="220"/>
      <c r="Y4" s="221" t="s">
        <v>100</v>
      </c>
    </row>
    <row r="5" spans="1:27" ht="23.25" customHeight="1" thickBot="1" x14ac:dyDescent="0.4">
      <c r="A5" s="19" t="s">
        <v>9</v>
      </c>
      <c r="B5" s="20" t="s">
        <v>16</v>
      </c>
      <c r="C5" s="362">
        <v>1</v>
      </c>
      <c r="D5" s="362">
        <v>2</v>
      </c>
      <c r="E5" s="362">
        <v>3</v>
      </c>
      <c r="F5" s="362">
        <v>4</v>
      </c>
      <c r="G5" s="362">
        <v>5</v>
      </c>
      <c r="H5" s="362">
        <v>6</v>
      </c>
      <c r="I5" s="362">
        <v>7</v>
      </c>
      <c r="J5" s="362">
        <v>8</v>
      </c>
      <c r="K5" s="362">
        <v>9</v>
      </c>
      <c r="L5" s="362">
        <v>10</v>
      </c>
      <c r="M5" s="362">
        <v>11</v>
      </c>
      <c r="N5" s="362">
        <v>12</v>
      </c>
      <c r="O5" s="362">
        <v>13</v>
      </c>
      <c r="P5" s="362">
        <v>14</v>
      </c>
      <c r="Q5" s="362">
        <v>15</v>
      </c>
      <c r="R5" s="362">
        <v>16</v>
      </c>
      <c r="S5" s="362">
        <v>17</v>
      </c>
      <c r="T5" s="362">
        <v>18</v>
      </c>
      <c r="U5" s="362">
        <v>19</v>
      </c>
      <c r="V5" s="362">
        <v>20</v>
      </c>
      <c r="W5" s="143" t="s">
        <v>175</v>
      </c>
      <c r="X5" s="40" t="s">
        <v>30</v>
      </c>
      <c r="Y5" s="218" t="s">
        <v>19</v>
      </c>
      <c r="Z5" s="219" t="s">
        <v>0</v>
      </c>
    </row>
    <row r="6" spans="1:27" ht="21" customHeight="1" x14ac:dyDescent="0.25">
      <c r="A6" s="406">
        <v>1</v>
      </c>
      <c r="B6" s="408" t="str">
        <f>(Starterlist!B13)&amp;CHAR(10)&amp;(Starterlist!D13)&amp;CHAR(10)&amp;(Starterlist!F13)</f>
        <v xml:space="preserve">
</v>
      </c>
      <c r="C6" s="374"/>
      <c r="D6" s="374"/>
      <c r="E6" s="374"/>
      <c r="F6" s="374"/>
      <c r="G6" s="374"/>
      <c r="H6" s="374"/>
      <c r="I6" s="374"/>
      <c r="J6" s="374"/>
      <c r="K6" s="374"/>
      <c r="L6" s="374"/>
      <c r="M6" s="374"/>
      <c r="N6" s="375"/>
      <c r="O6" s="376"/>
      <c r="P6" s="374"/>
      <c r="Q6" s="374"/>
      <c r="R6" s="375"/>
      <c r="S6" s="376"/>
      <c r="T6" s="374"/>
      <c r="U6" s="374"/>
      <c r="V6" s="377"/>
      <c r="W6" s="378">
        <f t="array" ref="W6">SUM(SUM(LEN(C6:V6))-SUM(LEN(SUBSTITUTE(C6:V6,"+",""))),ABS(SUM(LEN(C6:V6))-SUM(LEN(SUBSTITUTE(C6:V6,"-",""))) )*-1)</f>
        <v>0</v>
      </c>
      <c r="X6" s="414" t="str">
        <f>IF(COUNTA(C7:V7)&gt;0,IF(Starterlist!J$5=3,SMALL(C7:N7,1),IF(Starterlist!J$5=4,SMALL(C7:R7,1),IF(Starterlist!J$5=5,SMALL(C7:V7,1)))),"")</f>
        <v/>
      </c>
      <c r="Y6" s="412" t="str">
        <f>IF(COUNTA(C7:V7)=(Starterlist!J$5*4),ROUND(((W7-X6+W6)/((Starterlist!J$5*4)-1))*1.5,1),"")</f>
        <v/>
      </c>
      <c r="Z6" s="404" t="str">
        <f>IF(Y6="","",RANK(Y6,Y$6:Y$25))</f>
        <v/>
      </c>
    </row>
    <row r="7" spans="1:27" ht="21" customHeight="1" thickBot="1" x14ac:dyDescent="0.3">
      <c r="A7" s="407"/>
      <c r="B7" s="409"/>
      <c r="C7" s="167"/>
      <c r="D7" s="167"/>
      <c r="E7" s="167"/>
      <c r="F7" s="167"/>
      <c r="G7" s="167"/>
      <c r="H7" s="167"/>
      <c r="I7" s="167"/>
      <c r="J7" s="167"/>
      <c r="K7" s="167"/>
      <c r="L7" s="167"/>
      <c r="M7" s="167"/>
      <c r="N7" s="169"/>
      <c r="O7" s="168"/>
      <c r="P7" s="167"/>
      <c r="Q7" s="167"/>
      <c r="R7" s="169"/>
      <c r="S7" s="168"/>
      <c r="T7" s="167"/>
      <c r="U7" s="167"/>
      <c r="V7" s="217"/>
      <c r="W7" s="170" t="str">
        <f>IF(COUNTA(C7:V7)&gt;0,IF(Starterlist!J$5=3,SUM(C7:N7),IF(Starterlist!J$5=4,SUM(C7:R7)-X7,IF(Starterlist!J$5=5,SUM(C7:V7),""))),"")</f>
        <v/>
      </c>
      <c r="X7" s="411"/>
      <c r="Y7" s="413"/>
      <c r="Z7" s="405"/>
      <c r="AA7" s="5" t="str">
        <f>IF(COUNTA(C7:V7)=(Starterlist!J$5*4),((W7-X6+W6)/((Starterlist!J$5*4)-1))*1.5,"")</f>
        <v/>
      </c>
    </row>
    <row r="8" spans="1:27" ht="21" customHeight="1" x14ac:dyDescent="0.25">
      <c r="A8" s="406">
        <v>2</v>
      </c>
      <c r="B8" s="408" t="str">
        <f>(Starterlist!B14)&amp;CHAR(10)&amp;(Starterlist!D14)&amp;CHAR(10)&amp;(Starterlist!F14)</f>
        <v xml:space="preserve">
</v>
      </c>
      <c r="C8" s="374"/>
      <c r="D8" s="374"/>
      <c r="E8" s="374"/>
      <c r="F8" s="374"/>
      <c r="G8" s="374"/>
      <c r="H8" s="374"/>
      <c r="I8" s="374"/>
      <c r="J8" s="374"/>
      <c r="K8" s="374"/>
      <c r="L8" s="374"/>
      <c r="M8" s="374"/>
      <c r="N8" s="375"/>
      <c r="O8" s="376"/>
      <c r="P8" s="374"/>
      <c r="Q8" s="374"/>
      <c r="R8" s="375"/>
      <c r="S8" s="376"/>
      <c r="T8" s="374"/>
      <c r="U8" s="374"/>
      <c r="V8" s="377"/>
      <c r="W8" s="378">
        <f t="array" ref="W8">SUM(SUM(LEN(C8:V8))-SUM(LEN(SUBSTITUTE(C8:V8,"+",""))),ABS(SUM(LEN(C8:V8))-SUM(LEN(SUBSTITUTE(C8:V8,"-",""))) )*-1)</f>
        <v>0</v>
      </c>
      <c r="X8" s="414" t="str">
        <f>IF(COUNTA(C9:V9)&gt;0,IF(Starterlist!J$5=3,SMALL(C9:N9,1),IF(Starterlist!J$5=4,SMALL(C9:R9,1),IF(Starterlist!J$5=5,SMALL(C9:V9,1)))),"")</f>
        <v/>
      </c>
      <c r="Y8" s="412" t="str">
        <f>IF(COUNTA(C9:V9)=(Starterlist!J$5*4),ROUND(((W9-X8+W8)/((Starterlist!J$5*4)-1))*1.5,1),"")</f>
        <v/>
      </c>
      <c r="Z8" s="404" t="str">
        <f>IF(Y8="","",RANK(Y8,Y$6:Y$25))</f>
        <v/>
      </c>
    </row>
    <row r="9" spans="1:27" ht="21" customHeight="1" thickBot="1" x14ac:dyDescent="0.3">
      <c r="A9" s="407"/>
      <c r="B9" s="409"/>
      <c r="C9" s="167"/>
      <c r="D9" s="167"/>
      <c r="E9" s="167"/>
      <c r="F9" s="167"/>
      <c r="G9" s="167"/>
      <c r="H9" s="167"/>
      <c r="I9" s="167"/>
      <c r="J9" s="167"/>
      <c r="K9" s="167"/>
      <c r="L9" s="167"/>
      <c r="M9" s="167"/>
      <c r="N9" s="169"/>
      <c r="O9" s="168"/>
      <c r="P9" s="167"/>
      <c r="Q9" s="167"/>
      <c r="R9" s="169"/>
      <c r="S9" s="168"/>
      <c r="T9" s="167"/>
      <c r="U9" s="167"/>
      <c r="V9" s="217"/>
      <c r="W9" s="170" t="str">
        <f>IF(COUNTA(C9:V9)&gt;0,IF(Starterlist!J$5=3,SUM(C9:N9),IF(Starterlist!J$5=4,SUM(C9:R9)-X9,IF(Starterlist!J$5=5,SUM(C9:V9),""))),"")</f>
        <v/>
      </c>
      <c r="X9" s="411"/>
      <c r="Y9" s="413"/>
      <c r="Z9" s="405"/>
      <c r="AA9" s="5" t="str">
        <f>IF(COUNTA(C9:V9)=(Starterlist!J$5*4),((W9-X8+W8)/((Starterlist!J$5*4)-1))*1.5,"")</f>
        <v/>
      </c>
    </row>
    <row r="10" spans="1:27" ht="21" customHeight="1" x14ac:dyDescent="0.25">
      <c r="A10" s="406">
        <v>3</v>
      </c>
      <c r="B10" s="408" t="str">
        <f>(Starterlist!B15)&amp;CHAR(10)&amp;(Starterlist!D15)&amp;CHAR(10)&amp;(Starterlist!F15)</f>
        <v xml:space="preserve">
</v>
      </c>
      <c r="C10" s="374"/>
      <c r="D10" s="374"/>
      <c r="E10" s="374"/>
      <c r="F10" s="374"/>
      <c r="G10" s="374"/>
      <c r="H10" s="374"/>
      <c r="I10" s="374"/>
      <c r="J10" s="374"/>
      <c r="K10" s="374"/>
      <c r="L10" s="374"/>
      <c r="M10" s="374"/>
      <c r="N10" s="375"/>
      <c r="O10" s="376"/>
      <c r="P10" s="374"/>
      <c r="Q10" s="374"/>
      <c r="R10" s="375"/>
      <c r="S10" s="376"/>
      <c r="T10" s="374"/>
      <c r="U10" s="374"/>
      <c r="V10" s="377"/>
      <c r="W10" s="378">
        <f t="array" ref="W10">SUM(SUM(LEN(C10:V10))-SUM(LEN(SUBSTITUTE(C10:V10,"+",""))),ABS(SUM(LEN(C10:V10))-SUM(LEN(SUBSTITUTE(C10:V10,"-",""))) )*-1)</f>
        <v>0</v>
      </c>
      <c r="X10" s="414" t="str">
        <f>IF(COUNTA(C11:V11)&gt;0,IF(Starterlist!J$5=3,SMALL(C11:N11,1),IF(Starterlist!J$5=4,SMALL(C11:R11,1),IF(Starterlist!J$5=5,SMALL(C11:V11,1)))),"")</f>
        <v/>
      </c>
      <c r="Y10" s="412" t="str">
        <f>IF(COUNTA(C11:V11)=(Starterlist!J$5*4),ROUND(((W11-X10+W10)/((Starterlist!J$5*4)-1))*1.5,1),"")</f>
        <v/>
      </c>
      <c r="Z10" s="404" t="str">
        <f>IF(Y10="","",RANK(Y10,Y$6:Y$25))</f>
        <v/>
      </c>
    </row>
    <row r="11" spans="1:27" ht="21" customHeight="1" thickBot="1" x14ac:dyDescent="0.3">
      <c r="A11" s="407"/>
      <c r="B11" s="409"/>
      <c r="C11" s="167"/>
      <c r="D11" s="167"/>
      <c r="E11" s="167"/>
      <c r="F11" s="167"/>
      <c r="G11" s="167"/>
      <c r="H11" s="167"/>
      <c r="I11" s="167"/>
      <c r="J11" s="167"/>
      <c r="K11" s="167"/>
      <c r="L11" s="167"/>
      <c r="M11" s="167"/>
      <c r="N11" s="169"/>
      <c r="O11" s="168"/>
      <c r="P11" s="167"/>
      <c r="Q11" s="167"/>
      <c r="R11" s="169"/>
      <c r="S11" s="168"/>
      <c r="T11" s="167"/>
      <c r="U11" s="167"/>
      <c r="V11" s="217"/>
      <c r="W11" s="170" t="str">
        <f>IF(COUNTA(C11:V11)&gt;0,IF(Starterlist!J$5=3,SUM(C11:N11),IF(Starterlist!J$5=4,SUM(C11:R11)-X11,IF(Starterlist!J$5=5,SUM(C11:V11),""))),"")</f>
        <v/>
      </c>
      <c r="X11" s="411"/>
      <c r="Y11" s="413"/>
      <c r="Z11" s="405"/>
      <c r="AA11" s="5" t="str">
        <f>IF(COUNTA(C11:V11)=(Starterlist!J$5*4),((W11-X10+W10)/((Starterlist!J$5*4)-1))*1.5,"")</f>
        <v/>
      </c>
    </row>
    <row r="12" spans="1:27" ht="21" customHeight="1" x14ac:dyDescent="0.25">
      <c r="A12" s="406">
        <v>4</v>
      </c>
      <c r="B12" s="408" t="str">
        <f>(Starterlist!B16)&amp;CHAR(10)&amp;(Starterlist!D16)&amp;CHAR(10)&amp;(Starterlist!F16)</f>
        <v xml:space="preserve">
</v>
      </c>
      <c r="C12" s="374"/>
      <c r="D12" s="374"/>
      <c r="E12" s="374"/>
      <c r="F12" s="374"/>
      <c r="G12" s="374"/>
      <c r="H12" s="374"/>
      <c r="I12" s="374"/>
      <c r="J12" s="374"/>
      <c r="K12" s="374"/>
      <c r="L12" s="374"/>
      <c r="M12" s="374"/>
      <c r="N12" s="375"/>
      <c r="O12" s="376"/>
      <c r="P12" s="374"/>
      <c r="Q12" s="374"/>
      <c r="R12" s="375"/>
      <c r="S12" s="376"/>
      <c r="T12" s="374"/>
      <c r="U12" s="374"/>
      <c r="V12" s="377"/>
      <c r="W12" s="378">
        <f t="array" ref="W12">SUM(SUM(LEN(C12:V12))-SUM(LEN(SUBSTITUTE(C12:V12,"+",""))),ABS(SUM(LEN(C12:V12))-SUM(LEN(SUBSTITUTE(C12:V12,"-",""))) )*-1)</f>
        <v>0</v>
      </c>
      <c r="X12" s="414" t="str">
        <f>IF(COUNTA(C13:V13)&gt;0,IF(Starterlist!J$5=3,SMALL(C13:N13,1),IF(Starterlist!J$5=4,SMALL(C13:R13,1),IF(Starterlist!J$5=5,SMALL(C13:V13,1)))),"")</f>
        <v/>
      </c>
      <c r="Y12" s="412" t="str">
        <f>IF(COUNTA(C13:V13)=(Starterlist!J$5*4),ROUND(((W13-X12+W12)/((Starterlist!J$5*4)-1))*1.5,1),"")</f>
        <v/>
      </c>
      <c r="Z12" s="404" t="str">
        <f>IF(Y12="","",RANK(Y12,Y$6:Y$25))</f>
        <v/>
      </c>
    </row>
    <row r="13" spans="1:27" ht="21" customHeight="1" thickBot="1" x14ac:dyDescent="0.3">
      <c r="A13" s="407"/>
      <c r="B13" s="409"/>
      <c r="C13" s="167"/>
      <c r="D13" s="167"/>
      <c r="E13" s="167"/>
      <c r="F13" s="167"/>
      <c r="G13" s="167"/>
      <c r="H13" s="167"/>
      <c r="I13" s="167"/>
      <c r="J13" s="167"/>
      <c r="K13" s="167"/>
      <c r="L13" s="167"/>
      <c r="M13" s="167"/>
      <c r="N13" s="169"/>
      <c r="O13" s="168"/>
      <c r="P13" s="167"/>
      <c r="Q13" s="167"/>
      <c r="R13" s="169"/>
      <c r="S13" s="168"/>
      <c r="T13" s="167"/>
      <c r="U13" s="167"/>
      <c r="V13" s="217"/>
      <c r="W13" s="170" t="str">
        <f>IF(COUNTA(C13:V13)&gt;0,IF(Starterlist!J$5=3,SUM(C13:N13),IF(Starterlist!J$5=4,SUM(C13:R13)-X13,IF(Starterlist!J$5=5,SUM(C13:V13),""))),"")</f>
        <v/>
      </c>
      <c r="X13" s="411"/>
      <c r="Y13" s="413"/>
      <c r="Z13" s="405"/>
      <c r="AA13" s="5" t="str">
        <f>IF(COUNTA(C13:V13)=(Starterlist!J$5*4),((W13-X12+W12)/((Starterlist!J$5*4)-1))*1.5,"")</f>
        <v/>
      </c>
    </row>
    <row r="14" spans="1:27" ht="21" customHeight="1" x14ac:dyDescent="0.25">
      <c r="A14" s="406">
        <v>5</v>
      </c>
      <c r="B14" s="408" t="str">
        <f>(Starterlist!B17)&amp;CHAR(10)&amp;(Starterlist!D17)&amp;CHAR(10)&amp;(Starterlist!F17)</f>
        <v xml:space="preserve">
</v>
      </c>
      <c r="C14" s="374"/>
      <c r="D14" s="374"/>
      <c r="E14" s="374"/>
      <c r="F14" s="374"/>
      <c r="G14" s="374"/>
      <c r="H14" s="374"/>
      <c r="I14" s="374"/>
      <c r="J14" s="374"/>
      <c r="K14" s="374"/>
      <c r="L14" s="374"/>
      <c r="M14" s="374"/>
      <c r="N14" s="375"/>
      <c r="O14" s="376"/>
      <c r="P14" s="374"/>
      <c r="Q14" s="374"/>
      <c r="R14" s="375"/>
      <c r="S14" s="376"/>
      <c r="T14" s="374"/>
      <c r="U14" s="374"/>
      <c r="V14" s="377"/>
      <c r="W14" s="378">
        <f t="array" ref="W14">SUM(SUM(LEN(C14:V14))-SUM(LEN(SUBSTITUTE(C14:V14,"+",""))),ABS(SUM(LEN(C14:V14))-SUM(LEN(SUBSTITUTE(C14:V14,"-",""))) )*-1)</f>
        <v>0</v>
      </c>
      <c r="X14" s="414" t="str">
        <f>IF(COUNTA(C15:V15)&gt;0,IF(Starterlist!J$5=3,SMALL(C15:N15,1),IF(Starterlist!J$5=4,SMALL(C15:R15,1),IF(Starterlist!J$5=5,SMALL(C15:V15,1)))),"")</f>
        <v/>
      </c>
      <c r="Y14" s="412" t="str">
        <f>IF(COUNTA(C15:V15)=(Starterlist!J$5*4),ROUND(((W15-X14+W14)/((Starterlist!J$5*4)-1))*1.5,1),"")</f>
        <v/>
      </c>
      <c r="Z14" s="404" t="str">
        <f>IF(Y14="","",RANK(Y14,Y$6:Y$25))</f>
        <v/>
      </c>
    </row>
    <row r="15" spans="1:27" ht="21" customHeight="1" thickBot="1" x14ac:dyDescent="0.3">
      <c r="A15" s="407"/>
      <c r="B15" s="409"/>
      <c r="C15" s="167"/>
      <c r="D15" s="167"/>
      <c r="E15" s="167"/>
      <c r="F15" s="167"/>
      <c r="G15" s="167"/>
      <c r="H15" s="167"/>
      <c r="I15" s="167"/>
      <c r="J15" s="167"/>
      <c r="K15" s="167"/>
      <c r="L15" s="167"/>
      <c r="M15" s="167"/>
      <c r="N15" s="169"/>
      <c r="O15" s="168"/>
      <c r="P15" s="167"/>
      <c r="Q15" s="167"/>
      <c r="R15" s="169"/>
      <c r="S15" s="168"/>
      <c r="T15" s="167"/>
      <c r="U15" s="167"/>
      <c r="V15" s="217"/>
      <c r="W15" s="170" t="str">
        <f>IF(COUNTA(C15:V15)&gt;0,IF(Starterlist!J$5=3,SUM(C15:N15),IF(Starterlist!J$5=4,SUM(C15:R15)-X15,IF(Starterlist!J$5=5,SUM(C15:V15),""))),"")</f>
        <v/>
      </c>
      <c r="X15" s="411"/>
      <c r="Y15" s="413"/>
      <c r="Z15" s="405"/>
      <c r="AA15" s="5" t="str">
        <f>IF(COUNTA(C15:V15)=(Starterlist!J$5*4),((W15-X14+W14)/((Starterlist!J$5*4)-1))*1.5,"")</f>
        <v/>
      </c>
    </row>
    <row r="16" spans="1:27" ht="21" customHeight="1" x14ac:dyDescent="0.25">
      <c r="A16" s="406">
        <v>6</v>
      </c>
      <c r="B16" s="408" t="str">
        <f>(Starterlist!B18)&amp;CHAR(10)&amp;(Starterlist!D18)&amp;CHAR(10)&amp;(Starterlist!F18)</f>
        <v xml:space="preserve">
</v>
      </c>
      <c r="C16" s="374"/>
      <c r="D16" s="374"/>
      <c r="E16" s="374"/>
      <c r="F16" s="374"/>
      <c r="G16" s="374"/>
      <c r="H16" s="374"/>
      <c r="I16" s="374"/>
      <c r="J16" s="374"/>
      <c r="K16" s="374"/>
      <c r="L16" s="374"/>
      <c r="M16" s="374"/>
      <c r="N16" s="375"/>
      <c r="O16" s="376"/>
      <c r="P16" s="374"/>
      <c r="Q16" s="374"/>
      <c r="R16" s="375"/>
      <c r="S16" s="376"/>
      <c r="T16" s="374"/>
      <c r="U16" s="374"/>
      <c r="V16" s="377"/>
      <c r="W16" s="378">
        <f t="array" ref="W16">SUM(SUM(LEN(C16:V16))-SUM(LEN(SUBSTITUTE(C16:V16,"+",""))),ABS(SUM(LEN(C16:V16))-SUM(LEN(SUBSTITUTE(C16:V16,"-",""))) )*-1)</f>
        <v>0</v>
      </c>
      <c r="X16" s="414" t="str">
        <f>IF(COUNTA(C17:V17)&gt;0,IF(Starterlist!J$5=3,SMALL(C17:N17,1),IF(Starterlist!J$5=4,SMALL(C17:R17,1),IF(Starterlist!J$5=5,SMALL(C17:V17,1)))),"")</f>
        <v/>
      </c>
      <c r="Y16" s="412" t="str">
        <f>IF(COUNTA(C17:V17)=(Starterlist!J$5*4),ROUND(((W17-X16+W16)/((Starterlist!J$5*4)-1))*1.5,1),"")</f>
        <v/>
      </c>
      <c r="Z16" s="404" t="str">
        <f>IF(Y16="","",RANK(Y16,Y$6:Y$25))</f>
        <v/>
      </c>
    </row>
    <row r="17" spans="1:27" ht="21" customHeight="1" thickBot="1" x14ac:dyDescent="0.3">
      <c r="A17" s="407"/>
      <c r="B17" s="409"/>
      <c r="C17" s="167"/>
      <c r="D17" s="167"/>
      <c r="E17" s="167"/>
      <c r="F17" s="167"/>
      <c r="G17" s="167"/>
      <c r="H17" s="167"/>
      <c r="I17" s="167"/>
      <c r="J17" s="167"/>
      <c r="K17" s="167"/>
      <c r="L17" s="167"/>
      <c r="M17" s="167"/>
      <c r="N17" s="169"/>
      <c r="O17" s="168"/>
      <c r="P17" s="167"/>
      <c r="Q17" s="167"/>
      <c r="R17" s="169"/>
      <c r="S17" s="168"/>
      <c r="T17" s="167"/>
      <c r="U17" s="167"/>
      <c r="V17" s="217"/>
      <c r="W17" s="170" t="str">
        <f>IF(COUNTA(C17:V17)&gt;0,IF(Starterlist!J$5=3,SUM(C17:N17),IF(Starterlist!J$5=4,SUM(C17:R17)-X17,IF(Starterlist!J$5=5,SUM(C17:V17),""))),"")</f>
        <v/>
      </c>
      <c r="X17" s="411"/>
      <c r="Y17" s="413"/>
      <c r="Z17" s="405"/>
      <c r="AA17" s="5" t="str">
        <f>IF(COUNTA(C17:V17)=(Starterlist!J$5*4),((W17-X16+W16)/((Starterlist!J$5*4)-1))*1.5,"")</f>
        <v/>
      </c>
    </row>
    <row r="18" spans="1:27" ht="21" customHeight="1" x14ac:dyDescent="0.25">
      <c r="A18" s="406">
        <v>7</v>
      </c>
      <c r="B18" s="408" t="str">
        <f>(Starterlist!B19)&amp;CHAR(10)&amp;(Starterlist!D19)&amp;CHAR(10)&amp;(Starterlist!F19)</f>
        <v xml:space="preserve">
</v>
      </c>
      <c r="C18" s="374"/>
      <c r="D18" s="374"/>
      <c r="E18" s="374"/>
      <c r="F18" s="374"/>
      <c r="G18" s="374"/>
      <c r="H18" s="374"/>
      <c r="I18" s="374"/>
      <c r="J18" s="374"/>
      <c r="K18" s="374"/>
      <c r="L18" s="374"/>
      <c r="M18" s="374"/>
      <c r="N18" s="375"/>
      <c r="O18" s="376"/>
      <c r="P18" s="374"/>
      <c r="Q18" s="374"/>
      <c r="R18" s="375"/>
      <c r="S18" s="376"/>
      <c r="T18" s="374"/>
      <c r="U18" s="374"/>
      <c r="V18" s="377"/>
      <c r="W18" s="378">
        <f t="array" ref="W18">SUM(SUM(LEN(C18:V18))-SUM(LEN(SUBSTITUTE(C18:V18,"+",""))),ABS(SUM(LEN(C18:V18))-SUM(LEN(SUBSTITUTE(C18:V18,"-",""))) )*-1)</f>
        <v>0</v>
      </c>
      <c r="X18" s="414" t="str">
        <f>IF(COUNTA(C19:V19)&gt;0,IF(Starterlist!J$5=3,SMALL(C19:N19,1),IF(Starterlist!J$5=4,SMALL(C19:R19,1),IF(Starterlist!J$5=5,SMALL(C19:V19,1)))),"")</f>
        <v/>
      </c>
      <c r="Y18" s="412" t="str">
        <f>IF(COUNTA(C19:V19)=(Starterlist!J$5*4),ROUND(((W19-X18+W18)/((Starterlist!J$5*4)-1))*1.5,1),"")</f>
        <v/>
      </c>
      <c r="Z18" s="404" t="str">
        <f>IF(Y18="","",RANK(Y18,Y$6:Y$25))</f>
        <v/>
      </c>
    </row>
    <row r="19" spans="1:27" ht="21" customHeight="1" thickBot="1" x14ac:dyDescent="0.3">
      <c r="A19" s="407"/>
      <c r="B19" s="409"/>
      <c r="C19" s="167"/>
      <c r="D19" s="167"/>
      <c r="E19" s="167"/>
      <c r="F19" s="167"/>
      <c r="G19" s="167"/>
      <c r="H19" s="167"/>
      <c r="I19" s="167"/>
      <c r="J19" s="167"/>
      <c r="K19" s="167"/>
      <c r="L19" s="167"/>
      <c r="M19" s="167"/>
      <c r="N19" s="169"/>
      <c r="O19" s="168"/>
      <c r="P19" s="167"/>
      <c r="Q19" s="167"/>
      <c r="R19" s="169"/>
      <c r="S19" s="168"/>
      <c r="T19" s="167"/>
      <c r="U19" s="167"/>
      <c r="V19" s="217"/>
      <c r="W19" s="170" t="str">
        <f t="array" ref="W19">IF(COUNTA(C19:V19)&gt;0,IF(Starterlist!J$5=3,SUM(C19:N19),IF(Starterlist!J$5=4,SUM(C19:R19),IF(Starterlist!J$5=5,SUM(C19:V19),""))),"")</f>
        <v/>
      </c>
      <c r="X19" s="411"/>
      <c r="Y19" s="413"/>
      <c r="Z19" s="405"/>
      <c r="AA19" s="5" t="str">
        <f>IF(COUNTA(C19:V19)=(Starterlist!J$5*4),((W19-X18+W18)/((Starterlist!J$5*4)-1))*1.5,"")</f>
        <v/>
      </c>
    </row>
    <row r="20" spans="1:27" ht="21" customHeight="1" x14ac:dyDescent="0.25">
      <c r="A20" s="406">
        <v>8</v>
      </c>
      <c r="B20" s="408" t="str">
        <f>(Starterlist!B20)&amp;CHAR(10)&amp;(Starterlist!D20)&amp;CHAR(10)&amp;(Starterlist!F20)</f>
        <v xml:space="preserve">
</v>
      </c>
      <c r="C20" s="374"/>
      <c r="D20" s="374"/>
      <c r="E20" s="374"/>
      <c r="F20" s="374"/>
      <c r="G20" s="374"/>
      <c r="H20" s="374"/>
      <c r="I20" s="374"/>
      <c r="J20" s="374"/>
      <c r="K20" s="374"/>
      <c r="L20" s="374"/>
      <c r="M20" s="374"/>
      <c r="N20" s="375"/>
      <c r="O20" s="376"/>
      <c r="P20" s="374"/>
      <c r="Q20" s="374"/>
      <c r="R20" s="375"/>
      <c r="S20" s="376"/>
      <c r="T20" s="374"/>
      <c r="U20" s="374"/>
      <c r="V20" s="377"/>
      <c r="W20" s="378">
        <f t="array" ref="W20">SUM(SUM(LEN(C20:V20))-SUM(LEN(SUBSTITUTE(C20:V20,"+",""))),ABS(SUM(LEN(C20:V20))-SUM(LEN(SUBSTITUTE(C20:V20,"-",""))) )*-1)</f>
        <v>0</v>
      </c>
      <c r="X20" s="414" t="str">
        <f>IF(COUNTA(C21:V21)&gt;0,IF(Starterlist!J$5=3,SMALL(C21:N21,1),IF(Starterlist!J$5=4,SMALL(C21:R21,1),IF(Starterlist!J$5=5,SMALL(C21:V21,1)))),"")</f>
        <v/>
      </c>
      <c r="Y20" s="412" t="str">
        <f>IF(COUNTA(C21:V21)=(Starterlist!J$5*4),ROUND(((W21-X20+W20)/((Starterlist!J$5*4)-1))*1.5,1),"")</f>
        <v/>
      </c>
      <c r="Z20" s="404" t="str">
        <f>IF(Y20="","",RANK(Y20,Y$6:Y$25))</f>
        <v/>
      </c>
    </row>
    <row r="21" spans="1:27" ht="21" customHeight="1" thickBot="1" x14ac:dyDescent="0.3">
      <c r="A21" s="407"/>
      <c r="B21" s="409"/>
      <c r="C21" s="167"/>
      <c r="D21" s="167"/>
      <c r="E21" s="167"/>
      <c r="F21" s="167"/>
      <c r="G21" s="167"/>
      <c r="H21" s="167"/>
      <c r="I21" s="167"/>
      <c r="J21" s="167"/>
      <c r="K21" s="167"/>
      <c r="L21" s="167"/>
      <c r="M21" s="167"/>
      <c r="N21" s="169"/>
      <c r="O21" s="168"/>
      <c r="P21" s="167"/>
      <c r="Q21" s="167"/>
      <c r="R21" s="169"/>
      <c r="S21" s="168"/>
      <c r="T21" s="167"/>
      <c r="U21" s="167"/>
      <c r="V21" s="217"/>
      <c r="W21" s="170" t="str">
        <f t="array" ref="W21">IF(COUNTA(C21:V21)&gt;0,IF(Starterlist!J$5=3,SUM(C21:N21),IF(Starterlist!J$5=4,SUM(C21:R21),IF(Starterlist!J$5=5,SUM(C21:V21),""))),"")</f>
        <v/>
      </c>
      <c r="X21" s="411"/>
      <c r="Y21" s="413"/>
      <c r="Z21" s="405"/>
      <c r="AA21" s="5" t="str">
        <f>IF(COUNTA(C21:V21)=(Starterlist!J$5*4),((W21-X20+W20)/((Starterlist!J$5*4)-1))*1.5,"")</f>
        <v/>
      </c>
    </row>
    <row r="22" spans="1:27" ht="21" hidden="1" customHeight="1" x14ac:dyDescent="0.25">
      <c r="A22" s="406">
        <v>9</v>
      </c>
      <c r="B22" s="408" t="str">
        <f>(Starterlist!B21)&amp;CHAR(10)&amp;(Starterlist!D21)&amp;CHAR(10)&amp;(Starterlist!F21)</f>
        <v xml:space="preserve">
</v>
      </c>
      <c r="C22" s="374"/>
      <c r="D22" s="374"/>
      <c r="E22" s="374"/>
      <c r="F22" s="374"/>
      <c r="G22" s="374"/>
      <c r="H22" s="374"/>
      <c r="I22" s="374"/>
      <c r="J22" s="374"/>
      <c r="K22" s="374"/>
      <c r="L22" s="374"/>
      <c r="M22" s="374"/>
      <c r="N22" s="375"/>
      <c r="O22" s="376"/>
      <c r="P22" s="374"/>
      <c r="Q22" s="374"/>
      <c r="R22" s="375"/>
      <c r="S22" s="376"/>
      <c r="T22" s="374"/>
      <c r="U22" s="374"/>
      <c r="V22" s="375"/>
      <c r="W22" s="378">
        <f t="array" ref="W22">SUM(SUM(LEN(C22:V22))-SUM(LEN(SUBSTITUTE(C22:V22,"+",""))),ABS(SUM(LEN(C22:V22))-SUM(LEN(SUBSTITUTE(C22:V22,"-",""))) )*-1)</f>
        <v>0</v>
      </c>
      <c r="X22" s="414" t="str">
        <f>IF(COUNTA(C23:V23)&gt;0,IF(Starterlist!J$5=3,SMALL(C23:N23,1),IF(Starterlist!J$5=4,SMALL(C23:R23,1),IF(Starterlist!J$5=5,SMALL(C23:V23,1)))),"")</f>
        <v/>
      </c>
      <c r="Y22" s="412" t="str">
        <f>IF(COUNTA(C23:V23)=(Starterlist!J$5*4),ROUND(((W23-X22+W22)/((Starterlist!J$5*4)-1))*1.5,1),"")</f>
        <v/>
      </c>
      <c r="Z22" s="404" t="str">
        <f>IF(Y22="","",RANK(Y22,Y$6:Y$25))</f>
        <v/>
      </c>
    </row>
    <row r="23" spans="1:27" ht="21" hidden="1" customHeight="1" thickBot="1" x14ac:dyDescent="0.3">
      <c r="A23" s="407"/>
      <c r="B23" s="409"/>
      <c r="C23" s="164"/>
      <c r="D23" s="164"/>
      <c r="E23" s="164"/>
      <c r="F23" s="164"/>
      <c r="G23" s="164"/>
      <c r="H23" s="164"/>
      <c r="I23" s="164"/>
      <c r="J23" s="164"/>
      <c r="K23" s="164"/>
      <c r="L23" s="164"/>
      <c r="M23" s="164"/>
      <c r="N23" s="166"/>
      <c r="O23" s="165"/>
      <c r="P23" s="164"/>
      <c r="Q23" s="164"/>
      <c r="R23" s="166"/>
      <c r="S23" s="165"/>
      <c r="T23" s="164"/>
      <c r="U23" s="164"/>
      <c r="V23" s="166"/>
      <c r="W23" s="224" t="str">
        <f t="array" ref="W23">IF(COUNTA(C23:V23)&gt;0,IF(Starterlist!J$5=3,SUM(C23:N23),IF(Starterlist!J$5=4,SUM(C23:R23),IF(Starterlist!J$5=5,SUM(C23:V23),""))),"")</f>
        <v/>
      </c>
      <c r="X23" s="411"/>
      <c r="Y23" s="413"/>
      <c r="Z23" s="405"/>
      <c r="AA23" s="5" t="str">
        <f>IF(COUNTA(C23:V23)=(Starterlist!J$5*4),((W23-X22+W22)/((Starterlist!J$5*4)-1))*1.5,"")</f>
        <v/>
      </c>
    </row>
    <row r="24" spans="1:27" ht="21" hidden="1" customHeight="1" x14ac:dyDescent="0.25">
      <c r="A24" s="406">
        <v>10</v>
      </c>
      <c r="B24" s="408" t="str">
        <f>(Starterlist!B22)&amp;CHAR(10)&amp;(Starterlist!D22)&amp;CHAR(10)&amp;(Starterlist!F22)</f>
        <v xml:space="preserve">
</v>
      </c>
      <c r="C24" s="374"/>
      <c r="D24" s="374"/>
      <c r="E24" s="374"/>
      <c r="F24" s="374"/>
      <c r="G24" s="374"/>
      <c r="H24" s="374"/>
      <c r="I24" s="374"/>
      <c r="J24" s="374"/>
      <c r="K24" s="374"/>
      <c r="L24" s="374"/>
      <c r="M24" s="374"/>
      <c r="N24" s="375"/>
      <c r="O24" s="376"/>
      <c r="P24" s="374"/>
      <c r="Q24" s="374"/>
      <c r="R24" s="375"/>
      <c r="S24" s="376"/>
      <c r="T24" s="374"/>
      <c r="U24" s="374"/>
      <c r="V24" s="377"/>
      <c r="W24" s="378">
        <f t="array" ref="W24">SUM(SUM(LEN(C24:V24))-SUM(LEN(SUBSTITUTE(C24:V24,"+",""))),ABS(SUM(LEN(C24:V24))-SUM(LEN(SUBSTITUTE(C24:V24,"-",""))) )*-1)</f>
        <v>0</v>
      </c>
      <c r="X24" s="410" t="str">
        <f>IF(COUNTA(C25:V25)&gt;0,IF(Starterlist!J$5=3,SMALL(C25:N25,1),IF(Starterlist!J$5=4,SMALL(C25:R25,1),IF(Starterlist!J$5=5,SMALL(C25:V25,1)))),"")</f>
        <v/>
      </c>
      <c r="Y24" s="412" t="str">
        <f>IF(COUNTA(C25:V25)=(Starterlist!J$5*4),ROUND(((W25-X24+W24)/((Starterlist!J$5*4)-1))*1.5,1),"")</f>
        <v/>
      </c>
      <c r="Z24" s="404" t="str">
        <f>IF(Y24="","",RANK(Y24,Y$6:Y$25))</f>
        <v/>
      </c>
    </row>
    <row r="25" spans="1:27" ht="21" hidden="1" customHeight="1" thickBot="1" x14ac:dyDescent="0.3">
      <c r="A25" s="407"/>
      <c r="B25" s="409"/>
      <c r="C25" s="167"/>
      <c r="D25" s="167"/>
      <c r="E25" s="167"/>
      <c r="F25" s="167"/>
      <c r="G25" s="167"/>
      <c r="H25" s="167"/>
      <c r="I25" s="167"/>
      <c r="J25" s="167"/>
      <c r="K25" s="167"/>
      <c r="L25" s="167"/>
      <c r="M25" s="167"/>
      <c r="N25" s="169"/>
      <c r="O25" s="168"/>
      <c r="P25" s="167"/>
      <c r="Q25" s="167"/>
      <c r="R25" s="169"/>
      <c r="S25" s="168"/>
      <c r="T25" s="167"/>
      <c r="U25" s="167"/>
      <c r="V25" s="169"/>
      <c r="W25" s="170" t="str">
        <f t="array" ref="W25">IF(COUNTA(C25:V25)&gt;0,IF(Starterlist!J$5=3,SUM(C25:N25),IF(Starterlist!J$5=4,SUM(C25:R25),IF(Starterlist!J$5=5,SUM(C25:V25),""))),"")</f>
        <v/>
      </c>
      <c r="X25" s="411"/>
      <c r="Y25" s="413"/>
      <c r="Z25" s="405"/>
      <c r="AA25" s="5" t="str">
        <f>IF(COUNTA(C25:V25)=(Starterlist!J$5*4),((W25-X24+W24)/((Starterlist!J$5*4)-1))*1.5,"")</f>
        <v/>
      </c>
    </row>
    <row r="26" spans="1:27" ht="18" hidden="1" customHeight="1" x14ac:dyDescent="0.25"/>
    <row r="27" spans="1:27" ht="15.75" customHeight="1" x14ac:dyDescent="0.25"/>
    <row r="28" spans="1:27" ht="15.75" customHeight="1" x14ac:dyDescent="0.25"/>
    <row r="29" spans="1:27" ht="16.5" customHeight="1" x14ac:dyDescent="0.25"/>
  </sheetData>
  <mergeCells count="51">
    <mergeCell ref="Z6:Z7"/>
    <mergeCell ref="A10:A11"/>
    <mergeCell ref="B10:B11"/>
    <mergeCell ref="X10:X11"/>
    <mergeCell ref="Y10:Y11"/>
    <mergeCell ref="Z10:Z11"/>
    <mergeCell ref="C4:M4"/>
    <mergeCell ref="A6:A7"/>
    <mergeCell ref="B6:B7"/>
    <mergeCell ref="X6:X7"/>
    <mergeCell ref="Y6:Y7"/>
    <mergeCell ref="Z14:Z15"/>
    <mergeCell ref="A8:A9"/>
    <mergeCell ref="B8:B9"/>
    <mergeCell ref="X8:X9"/>
    <mergeCell ref="Y8:Y9"/>
    <mergeCell ref="Z8:Z9"/>
    <mergeCell ref="A14:A15"/>
    <mergeCell ref="B14:B15"/>
    <mergeCell ref="X14:X15"/>
    <mergeCell ref="Y14:Y15"/>
    <mergeCell ref="A12:A13"/>
    <mergeCell ref="B12:B13"/>
    <mergeCell ref="X12:X13"/>
    <mergeCell ref="Y12:Y13"/>
    <mergeCell ref="Z12:Z13"/>
    <mergeCell ref="A18:A19"/>
    <mergeCell ref="B18:B19"/>
    <mergeCell ref="X18:X19"/>
    <mergeCell ref="Y18:Y19"/>
    <mergeCell ref="Z18:Z19"/>
    <mergeCell ref="A16:A17"/>
    <mergeCell ref="B16:B17"/>
    <mergeCell ref="X16:X17"/>
    <mergeCell ref="Y16:Y17"/>
    <mergeCell ref="Z16:Z17"/>
    <mergeCell ref="A22:A23"/>
    <mergeCell ref="B22:B23"/>
    <mergeCell ref="X22:X23"/>
    <mergeCell ref="Y22:Y23"/>
    <mergeCell ref="Z22:Z23"/>
    <mergeCell ref="A20:A21"/>
    <mergeCell ref="B20:B21"/>
    <mergeCell ref="X20:X21"/>
    <mergeCell ref="Y20:Y21"/>
    <mergeCell ref="Z20:Z21"/>
    <mergeCell ref="A24:A25"/>
    <mergeCell ref="B24:B25"/>
    <mergeCell ref="X24:X25"/>
    <mergeCell ref="Y24:Y25"/>
    <mergeCell ref="Z24:Z25"/>
  </mergeCells>
  <phoneticPr fontId="0" type="noConversion"/>
  <pageMargins left="0.55000000000000004" right="0.25" top="0.75" bottom="0.50686274509803919" header="0.3" footer="0.3"/>
  <pageSetup paperSize="9" scale="88" orientation="landscape" r:id="rId1"/>
  <headerFooter alignWithMargins="0">
    <oddHeader>&amp;C&amp;18Difficulty&amp;R&amp;G</oddHeader>
    <oddFooter>&amp;LInterpretation of difficulty scores:
0: No tricks 
1-2: Very easy tricks 
3-4: Easy tricks
5-6: Medium tricks 
7-8: Difficult tricks
9-10: Very difficult tricks</oddFooter>
  </headerFooter>
  <legacyDrawingHF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Diff3">
    <tabColor indexed="47"/>
  </sheetPr>
  <dimension ref="A1:AA29"/>
  <sheetViews>
    <sheetView showGridLines="0" showRowColHeaders="0" showZeros="0" zoomScaleNormal="100" zoomScaleSheetLayoutView="100" zoomScalePageLayoutView="85" workbookViewId="0">
      <selection activeCell="Y32" sqref="Y32"/>
    </sheetView>
  </sheetViews>
  <sheetFormatPr defaultColWidth="11.140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27" width="0" style="5" hidden="1" customWidth="1"/>
    <col min="28" max="16384" width="11.140625" style="5"/>
  </cols>
  <sheetData>
    <row r="1" spans="1:27" ht="30" customHeight="1" x14ac:dyDescent="0.5">
      <c r="A1" s="32" t="str">
        <f>Starterlist!A1</f>
        <v>FPAW 2018</v>
      </c>
      <c r="B1" s="13"/>
      <c r="C1" s="13" t="s">
        <v>13</v>
      </c>
      <c r="J1" s="13" t="s">
        <v>14</v>
      </c>
      <c r="K1" s="13"/>
      <c r="O1" s="6"/>
      <c r="P1" s="11"/>
      <c r="Q1" s="13" t="str">
        <f>Starterlist!F3</f>
        <v>Pool</v>
      </c>
      <c r="U1" s="13" t="s">
        <v>37</v>
      </c>
    </row>
    <row r="2" spans="1:27" ht="19.5" customHeight="1" x14ac:dyDescent="0.35">
      <c r="A2" s="13" t="str">
        <f>Starterlist!A2</f>
        <v>Trnava, Slowakia</v>
      </c>
      <c r="B2" s="12"/>
      <c r="C2" s="9" t="str">
        <f>Starterlist!B4</f>
        <v>Open Pairs</v>
      </c>
      <c r="J2" s="9" t="str">
        <f>Starterlist!D4</f>
        <v>Semi-Final</v>
      </c>
      <c r="K2" s="9"/>
      <c r="O2" s="6"/>
      <c r="P2" s="11"/>
      <c r="Q2" s="9" t="str">
        <f>Starterlist!F4</f>
        <v>A</v>
      </c>
      <c r="U2" s="28">
        <f>Starterlist!J21</f>
        <v>0</v>
      </c>
    </row>
    <row r="3" spans="1:27" ht="8.25" customHeight="1" x14ac:dyDescent="0.25">
      <c r="B3" s="13"/>
      <c r="C3" s="8"/>
      <c r="D3" s="8"/>
      <c r="E3" s="8"/>
      <c r="F3" s="11"/>
      <c r="G3" s="11"/>
      <c r="H3" s="11"/>
      <c r="I3" s="8"/>
      <c r="J3" s="8"/>
      <c r="K3" s="8"/>
    </row>
    <row r="4" spans="1:27" ht="38.25" customHeight="1" thickBot="1" x14ac:dyDescent="0.3">
      <c r="A4" s="13"/>
      <c r="B4" s="13"/>
      <c r="C4" s="415" t="s">
        <v>1207</v>
      </c>
      <c r="D4" s="415"/>
      <c r="E4" s="415"/>
      <c r="F4" s="415"/>
      <c r="G4" s="415"/>
      <c r="H4" s="415"/>
      <c r="I4" s="415"/>
      <c r="J4" s="415"/>
      <c r="K4" s="415"/>
      <c r="L4" s="415"/>
      <c r="M4" s="415"/>
      <c r="N4" s="14" t="s">
        <v>25</v>
      </c>
      <c r="O4" s="15"/>
      <c r="P4" s="16"/>
      <c r="Q4" s="17"/>
      <c r="R4" s="14" t="s">
        <v>23</v>
      </c>
      <c r="S4" s="17"/>
      <c r="T4" s="17"/>
      <c r="U4" s="17"/>
      <c r="V4" s="14" t="s">
        <v>24</v>
      </c>
      <c r="X4" s="220"/>
      <c r="Y4" s="221" t="s">
        <v>100</v>
      </c>
    </row>
    <row r="5" spans="1:27" ht="23.25" customHeight="1" thickBot="1" x14ac:dyDescent="0.4">
      <c r="A5" s="19" t="s">
        <v>9</v>
      </c>
      <c r="B5" s="20" t="s">
        <v>16</v>
      </c>
      <c r="C5" s="362">
        <v>1</v>
      </c>
      <c r="D5" s="362">
        <v>2</v>
      </c>
      <c r="E5" s="362">
        <v>3</v>
      </c>
      <c r="F5" s="362">
        <v>4</v>
      </c>
      <c r="G5" s="362">
        <v>5</v>
      </c>
      <c r="H5" s="362">
        <v>6</v>
      </c>
      <c r="I5" s="362">
        <v>7</v>
      </c>
      <c r="J5" s="362">
        <v>8</v>
      </c>
      <c r="K5" s="362">
        <v>9</v>
      </c>
      <c r="L5" s="362">
        <v>10</v>
      </c>
      <c r="M5" s="362">
        <v>11</v>
      </c>
      <c r="N5" s="362">
        <v>12</v>
      </c>
      <c r="O5" s="362">
        <v>13</v>
      </c>
      <c r="P5" s="362">
        <v>14</v>
      </c>
      <c r="Q5" s="362">
        <v>15</v>
      </c>
      <c r="R5" s="362">
        <v>16</v>
      </c>
      <c r="S5" s="362">
        <v>17</v>
      </c>
      <c r="T5" s="362">
        <v>18</v>
      </c>
      <c r="U5" s="362">
        <v>19</v>
      </c>
      <c r="V5" s="362">
        <v>20</v>
      </c>
      <c r="W5" s="143" t="s">
        <v>175</v>
      </c>
      <c r="X5" s="40" t="s">
        <v>30</v>
      </c>
      <c r="Y5" s="218" t="s">
        <v>19</v>
      </c>
      <c r="Z5" s="219" t="s">
        <v>0</v>
      </c>
    </row>
    <row r="6" spans="1:27" ht="21" customHeight="1" x14ac:dyDescent="0.25">
      <c r="A6" s="406">
        <v>1</v>
      </c>
      <c r="B6" s="408" t="str">
        <f>(Starterlist!B13)&amp;CHAR(10)&amp;(Starterlist!D13)&amp;CHAR(10)&amp;(Starterlist!F13)</f>
        <v xml:space="preserve">
</v>
      </c>
      <c r="C6" s="374"/>
      <c r="D6" s="374"/>
      <c r="E6" s="374"/>
      <c r="F6" s="374"/>
      <c r="G6" s="374"/>
      <c r="H6" s="374"/>
      <c r="I6" s="374"/>
      <c r="J6" s="374"/>
      <c r="K6" s="374"/>
      <c r="L6" s="374"/>
      <c r="M6" s="374"/>
      <c r="N6" s="375"/>
      <c r="O6" s="376"/>
      <c r="P6" s="374"/>
      <c r="Q6" s="374"/>
      <c r="R6" s="375"/>
      <c r="S6" s="376"/>
      <c r="T6" s="374"/>
      <c r="U6" s="374"/>
      <c r="V6" s="377"/>
      <c r="W6" s="378">
        <f t="array" ref="W6">SUM(SUM(LEN(C6:V6))-SUM(LEN(SUBSTITUTE(C6:V6,"+",""))),ABS(SUM(LEN(C6:V6))-SUM(LEN(SUBSTITUTE(C6:V6,"-",""))) )*-1)</f>
        <v>0</v>
      </c>
      <c r="X6" s="414" t="str">
        <f>IF(COUNTA(C7:V7)&gt;0,IF(Starterlist!J$5=3,SMALL(C7:N7,1),IF(Starterlist!J$5=4,SMALL(C7:R7,1),IF(Starterlist!J$5=5,SMALL(C7:V7,1)))),"")</f>
        <v/>
      </c>
      <c r="Y6" s="412" t="str">
        <f>IF(COUNTA(C7:V7)=(Starterlist!J$5*4),ROUND(((W7-X6+W6)/((Starterlist!J$5*4)-1))*1.5,1),"")</f>
        <v/>
      </c>
      <c r="Z6" s="404" t="str">
        <f>IF(Y6="","",RANK(Y6,Y$6:Y$25))</f>
        <v/>
      </c>
    </row>
    <row r="7" spans="1:27" ht="21" customHeight="1" thickBot="1" x14ac:dyDescent="0.3">
      <c r="A7" s="407"/>
      <c r="B7" s="409"/>
      <c r="C7" s="167"/>
      <c r="D7" s="167"/>
      <c r="E7" s="167"/>
      <c r="F7" s="167"/>
      <c r="G7" s="167"/>
      <c r="H7" s="167"/>
      <c r="I7" s="167"/>
      <c r="J7" s="167"/>
      <c r="K7" s="167"/>
      <c r="L7" s="167"/>
      <c r="M7" s="167"/>
      <c r="N7" s="169"/>
      <c r="O7" s="168"/>
      <c r="P7" s="167"/>
      <c r="Q7" s="167"/>
      <c r="R7" s="169"/>
      <c r="S7" s="168"/>
      <c r="T7" s="167"/>
      <c r="U7" s="167"/>
      <c r="V7" s="217"/>
      <c r="W7" s="170" t="str">
        <f>IF(COUNTA(C7:V7)&gt;0,IF(Starterlist!J$5=3,SUM(C7:N7),IF(Starterlist!J$5=4,SUM(C7:R7)-X7,IF(Starterlist!J$5=5,SUM(C7:V7),""))),"")</f>
        <v/>
      </c>
      <c r="X7" s="411"/>
      <c r="Y7" s="413"/>
      <c r="Z7" s="405"/>
      <c r="AA7" s="5" t="str">
        <f>IF(COUNTA(C7:V7)=(Starterlist!J$5*4),((W7-X6+W6)/((Starterlist!J$5*4)-1))*1.5,"")</f>
        <v/>
      </c>
    </row>
    <row r="8" spans="1:27" ht="21" customHeight="1" x14ac:dyDescent="0.25">
      <c r="A8" s="406">
        <v>2</v>
      </c>
      <c r="B8" s="408" t="str">
        <f>(Starterlist!B14)&amp;CHAR(10)&amp;(Starterlist!D14)&amp;CHAR(10)&amp;(Starterlist!F14)</f>
        <v xml:space="preserve">
</v>
      </c>
      <c r="C8" s="374"/>
      <c r="D8" s="374"/>
      <c r="E8" s="374"/>
      <c r="F8" s="374"/>
      <c r="G8" s="374"/>
      <c r="H8" s="374"/>
      <c r="I8" s="374"/>
      <c r="J8" s="374"/>
      <c r="K8" s="374"/>
      <c r="L8" s="374"/>
      <c r="M8" s="374"/>
      <c r="N8" s="375"/>
      <c r="O8" s="376"/>
      <c r="P8" s="374"/>
      <c r="Q8" s="374"/>
      <c r="R8" s="375"/>
      <c r="S8" s="376"/>
      <c r="T8" s="374"/>
      <c r="U8" s="374"/>
      <c r="V8" s="377"/>
      <c r="W8" s="378">
        <f t="array" ref="W8">SUM(SUM(LEN(C8:V8))-SUM(LEN(SUBSTITUTE(C8:V8,"+",""))),ABS(SUM(LEN(C8:V8))-SUM(LEN(SUBSTITUTE(C8:V8,"-",""))) )*-1)</f>
        <v>0</v>
      </c>
      <c r="X8" s="414" t="str">
        <f>IF(COUNTA(C9:V9)&gt;0,IF(Starterlist!J$5=3,SMALL(C9:N9,1),IF(Starterlist!J$5=4,SMALL(C9:R9,1),IF(Starterlist!J$5=5,SMALL(C9:V9,1)))),"")</f>
        <v/>
      </c>
      <c r="Y8" s="412" t="str">
        <f>IF(COUNTA(C9:V9)=(Starterlist!J$5*4),ROUND(((W9-X8+W8)/((Starterlist!J$5*4)-1))*1.5,1),"")</f>
        <v/>
      </c>
      <c r="Z8" s="404" t="str">
        <f>IF(Y8="","",RANK(Y8,Y$6:Y$25))</f>
        <v/>
      </c>
    </row>
    <row r="9" spans="1:27" ht="21" customHeight="1" thickBot="1" x14ac:dyDescent="0.3">
      <c r="A9" s="407"/>
      <c r="B9" s="409"/>
      <c r="C9" s="167"/>
      <c r="D9" s="167"/>
      <c r="E9" s="167"/>
      <c r="F9" s="167"/>
      <c r="G9" s="167"/>
      <c r="H9" s="167"/>
      <c r="I9" s="167"/>
      <c r="J9" s="167"/>
      <c r="K9" s="167"/>
      <c r="L9" s="167"/>
      <c r="M9" s="167"/>
      <c r="N9" s="169"/>
      <c r="O9" s="168"/>
      <c r="P9" s="167"/>
      <c r="Q9" s="167"/>
      <c r="R9" s="169"/>
      <c r="S9" s="168"/>
      <c r="T9" s="167"/>
      <c r="U9" s="167"/>
      <c r="V9" s="217"/>
      <c r="W9" s="170" t="str">
        <f>IF(COUNTA(C9:V9)&gt;0,IF(Starterlist!J$5=3,SUM(C9:N9),IF(Starterlist!J$5=4,SUM(C9:R9)-X9,IF(Starterlist!J$5=5,SUM(C9:V9),""))),"")</f>
        <v/>
      </c>
      <c r="X9" s="411"/>
      <c r="Y9" s="413"/>
      <c r="Z9" s="405"/>
      <c r="AA9" s="5" t="str">
        <f>IF(COUNTA(C9:V9)=(Starterlist!J$5*4),((W9-X8+W8)/((Starterlist!J$5*4)-1))*1.5,"")</f>
        <v/>
      </c>
    </row>
    <row r="10" spans="1:27" ht="21" customHeight="1" x14ac:dyDescent="0.25">
      <c r="A10" s="406">
        <v>3</v>
      </c>
      <c r="B10" s="408" t="str">
        <f>(Starterlist!B15)&amp;CHAR(10)&amp;(Starterlist!D15)&amp;CHAR(10)&amp;(Starterlist!F15)</f>
        <v xml:space="preserve">
</v>
      </c>
      <c r="C10" s="374"/>
      <c r="D10" s="374"/>
      <c r="E10" s="374"/>
      <c r="F10" s="374"/>
      <c r="G10" s="374"/>
      <c r="H10" s="374"/>
      <c r="I10" s="374"/>
      <c r="J10" s="374"/>
      <c r="K10" s="374"/>
      <c r="L10" s="374"/>
      <c r="M10" s="374"/>
      <c r="N10" s="375"/>
      <c r="O10" s="376"/>
      <c r="P10" s="374"/>
      <c r="Q10" s="374"/>
      <c r="R10" s="375"/>
      <c r="S10" s="376"/>
      <c r="T10" s="374"/>
      <c r="U10" s="374"/>
      <c r="V10" s="377"/>
      <c r="W10" s="378">
        <f t="array" ref="W10">SUM(SUM(LEN(C10:V10))-SUM(LEN(SUBSTITUTE(C10:V10,"+",""))),ABS(SUM(LEN(C10:V10))-SUM(LEN(SUBSTITUTE(C10:V10,"-",""))) )*-1)</f>
        <v>0</v>
      </c>
      <c r="X10" s="414" t="str">
        <f>IF(COUNTA(C11:V11)&gt;0,IF(Starterlist!J$5=3,SMALL(C11:N11,1),IF(Starterlist!J$5=4,SMALL(C11:R11,1),IF(Starterlist!J$5=5,SMALL(C11:V11,1)))),"")</f>
        <v/>
      </c>
      <c r="Y10" s="412" t="str">
        <f>IF(COUNTA(C11:V11)=(Starterlist!J$5*4),ROUND(((W11-X10+W10)/((Starterlist!J$5*4)-1))*1.5,1),"")</f>
        <v/>
      </c>
      <c r="Z10" s="404" t="str">
        <f>IF(Y10="","",RANK(Y10,Y$6:Y$25))</f>
        <v/>
      </c>
    </row>
    <row r="11" spans="1:27" ht="21" customHeight="1" thickBot="1" x14ac:dyDescent="0.3">
      <c r="A11" s="407"/>
      <c r="B11" s="409"/>
      <c r="C11" s="167"/>
      <c r="D11" s="167"/>
      <c r="E11" s="167"/>
      <c r="F11" s="167"/>
      <c r="G11" s="167"/>
      <c r="H11" s="167"/>
      <c r="I11" s="167"/>
      <c r="J11" s="167"/>
      <c r="K11" s="167"/>
      <c r="L11" s="167"/>
      <c r="M11" s="167"/>
      <c r="N11" s="169"/>
      <c r="O11" s="168"/>
      <c r="P11" s="167"/>
      <c r="Q11" s="167"/>
      <c r="R11" s="169"/>
      <c r="S11" s="168"/>
      <c r="T11" s="167"/>
      <c r="U11" s="167"/>
      <c r="V11" s="217"/>
      <c r="W11" s="170" t="str">
        <f>IF(COUNTA(C11:V11)&gt;0,IF(Starterlist!J$5=3,SUM(C11:N11),IF(Starterlist!J$5=4,SUM(C11:R11)-X11,IF(Starterlist!J$5=5,SUM(C11:V11),""))),"")</f>
        <v/>
      </c>
      <c r="X11" s="411"/>
      <c r="Y11" s="413"/>
      <c r="Z11" s="405"/>
      <c r="AA11" s="5" t="str">
        <f>IF(COUNTA(C11:V11)=(Starterlist!J$5*4),((W11-X10+W10)/((Starterlist!J$5*4)-1))*1.5,"")</f>
        <v/>
      </c>
    </row>
    <row r="12" spans="1:27" ht="21" customHeight="1" x14ac:dyDescent="0.25">
      <c r="A12" s="406">
        <v>4</v>
      </c>
      <c r="B12" s="408" t="str">
        <f>(Starterlist!B16)&amp;CHAR(10)&amp;(Starterlist!D16)&amp;CHAR(10)&amp;(Starterlist!F16)</f>
        <v xml:space="preserve">
</v>
      </c>
      <c r="C12" s="374"/>
      <c r="D12" s="374"/>
      <c r="E12" s="374"/>
      <c r="F12" s="374"/>
      <c r="G12" s="374"/>
      <c r="H12" s="374"/>
      <c r="I12" s="374"/>
      <c r="J12" s="374"/>
      <c r="K12" s="374"/>
      <c r="L12" s="374"/>
      <c r="M12" s="374"/>
      <c r="N12" s="375"/>
      <c r="O12" s="376"/>
      <c r="P12" s="374"/>
      <c r="Q12" s="374"/>
      <c r="R12" s="375"/>
      <c r="S12" s="376"/>
      <c r="T12" s="374"/>
      <c r="U12" s="374"/>
      <c r="V12" s="377"/>
      <c r="W12" s="378">
        <f t="array" ref="W12">SUM(SUM(LEN(C12:V12))-SUM(LEN(SUBSTITUTE(C12:V12,"+",""))),ABS(SUM(LEN(C12:V12))-SUM(LEN(SUBSTITUTE(C12:V12,"-",""))) )*-1)</f>
        <v>0</v>
      </c>
      <c r="X12" s="414" t="str">
        <f>IF(COUNTA(C13:V13)&gt;0,IF(Starterlist!J$5=3,SMALL(C13:N13,1),IF(Starterlist!J$5=4,SMALL(C13:R13,1),IF(Starterlist!J$5=5,SMALL(C13:V13,1)))),"")</f>
        <v/>
      </c>
      <c r="Y12" s="412" t="str">
        <f>IF(COUNTA(C13:V13)=(Starterlist!J$5*4),ROUND(((W13-X12+W12)/((Starterlist!J$5*4)-1))*1.5,1),"")</f>
        <v/>
      </c>
      <c r="Z12" s="404" t="str">
        <f>IF(Y12="","",RANK(Y12,Y$6:Y$25))</f>
        <v/>
      </c>
    </row>
    <row r="13" spans="1:27" ht="21" customHeight="1" thickBot="1" x14ac:dyDescent="0.3">
      <c r="A13" s="407"/>
      <c r="B13" s="409"/>
      <c r="C13" s="167"/>
      <c r="D13" s="167"/>
      <c r="E13" s="167"/>
      <c r="F13" s="167"/>
      <c r="G13" s="167"/>
      <c r="H13" s="167"/>
      <c r="I13" s="167"/>
      <c r="J13" s="167"/>
      <c r="K13" s="167"/>
      <c r="L13" s="167"/>
      <c r="M13" s="167"/>
      <c r="N13" s="169"/>
      <c r="O13" s="168"/>
      <c r="P13" s="167"/>
      <c r="Q13" s="167"/>
      <c r="R13" s="169"/>
      <c r="S13" s="168"/>
      <c r="T13" s="167"/>
      <c r="U13" s="167"/>
      <c r="V13" s="217"/>
      <c r="W13" s="170" t="str">
        <f>IF(COUNTA(C13:V13)&gt;0,IF(Starterlist!J$5=3,SUM(C13:N13),IF(Starterlist!J$5=4,SUM(C13:R13)-X13,IF(Starterlist!J$5=5,SUM(C13:V13),""))),"")</f>
        <v/>
      </c>
      <c r="X13" s="411"/>
      <c r="Y13" s="413"/>
      <c r="Z13" s="405"/>
      <c r="AA13" s="5" t="str">
        <f>IF(COUNTA(C13:V13)=(Starterlist!J$5*4),((W13-X12+W12)/((Starterlist!J$5*4)-1))*1.5,"")</f>
        <v/>
      </c>
    </row>
    <row r="14" spans="1:27" ht="21" customHeight="1" x14ac:dyDescent="0.25">
      <c r="A14" s="406">
        <v>5</v>
      </c>
      <c r="B14" s="408" t="str">
        <f>(Starterlist!B17)&amp;CHAR(10)&amp;(Starterlist!D17)&amp;CHAR(10)&amp;(Starterlist!F17)</f>
        <v xml:space="preserve">
</v>
      </c>
      <c r="C14" s="374"/>
      <c r="D14" s="374"/>
      <c r="E14" s="374"/>
      <c r="F14" s="374"/>
      <c r="G14" s="374"/>
      <c r="H14" s="374"/>
      <c r="I14" s="374"/>
      <c r="J14" s="374"/>
      <c r="K14" s="374"/>
      <c r="L14" s="374"/>
      <c r="M14" s="374"/>
      <c r="N14" s="375"/>
      <c r="O14" s="376"/>
      <c r="P14" s="374"/>
      <c r="Q14" s="374"/>
      <c r="R14" s="375"/>
      <c r="S14" s="376"/>
      <c r="T14" s="374"/>
      <c r="U14" s="374"/>
      <c r="V14" s="377"/>
      <c r="W14" s="378">
        <f t="array" ref="W14">SUM(SUM(LEN(C14:V14))-SUM(LEN(SUBSTITUTE(C14:V14,"+",""))),ABS(SUM(LEN(C14:V14))-SUM(LEN(SUBSTITUTE(C14:V14,"-",""))) )*-1)</f>
        <v>0</v>
      </c>
      <c r="X14" s="414" t="str">
        <f>IF(COUNTA(C15:V15)&gt;0,IF(Starterlist!J$5=3,SMALL(C15:N15,1),IF(Starterlist!J$5=4,SMALL(C15:R15,1),IF(Starterlist!J$5=5,SMALL(C15:V15,1)))),"")</f>
        <v/>
      </c>
      <c r="Y14" s="412" t="str">
        <f>IF(COUNTA(C15:V15)=(Starterlist!J$5*4),ROUND(((W15-X14+W14)/((Starterlist!J$5*4)-1))*1.5,1),"")</f>
        <v/>
      </c>
      <c r="Z14" s="404" t="str">
        <f>IF(Y14="","",RANK(Y14,Y$6:Y$25))</f>
        <v/>
      </c>
    </row>
    <row r="15" spans="1:27" ht="21" customHeight="1" thickBot="1" x14ac:dyDescent="0.3">
      <c r="A15" s="407"/>
      <c r="B15" s="409"/>
      <c r="C15" s="167"/>
      <c r="D15" s="167"/>
      <c r="E15" s="167"/>
      <c r="F15" s="167"/>
      <c r="G15" s="167"/>
      <c r="H15" s="167"/>
      <c r="I15" s="167"/>
      <c r="J15" s="167"/>
      <c r="K15" s="167"/>
      <c r="L15" s="167"/>
      <c r="M15" s="167"/>
      <c r="N15" s="169"/>
      <c r="O15" s="168"/>
      <c r="P15" s="167"/>
      <c r="Q15" s="167"/>
      <c r="R15" s="169"/>
      <c r="S15" s="168"/>
      <c r="T15" s="167"/>
      <c r="U15" s="167"/>
      <c r="V15" s="217"/>
      <c r="W15" s="170" t="str">
        <f>IF(COUNTA(C15:V15)&gt;0,IF(Starterlist!J$5=3,SUM(C15:N15),IF(Starterlist!J$5=4,SUM(C15:R15)-X15,IF(Starterlist!J$5=5,SUM(C15:V15),""))),"")</f>
        <v/>
      </c>
      <c r="X15" s="411"/>
      <c r="Y15" s="413"/>
      <c r="Z15" s="405"/>
      <c r="AA15" s="5" t="str">
        <f>IF(COUNTA(C15:V15)=(Starterlist!J$5*4),((W15-X14+W14)/((Starterlist!J$5*4)-1))*1.5,"")</f>
        <v/>
      </c>
    </row>
    <row r="16" spans="1:27" ht="21" customHeight="1" x14ac:dyDescent="0.25">
      <c r="A16" s="406">
        <v>6</v>
      </c>
      <c r="B16" s="408" t="str">
        <f>(Starterlist!B18)&amp;CHAR(10)&amp;(Starterlist!D18)&amp;CHAR(10)&amp;(Starterlist!F18)</f>
        <v xml:space="preserve">
</v>
      </c>
      <c r="C16" s="374"/>
      <c r="D16" s="374"/>
      <c r="E16" s="374"/>
      <c r="F16" s="374"/>
      <c r="G16" s="374"/>
      <c r="H16" s="374"/>
      <c r="I16" s="374"/>
      <c r="J16" s="374"/>
      <c r="K16" s="374"/>
      <c r="L16" s="374"/>
      <c r="M16" s="374"/>
      <c r="N16" s="375"/>
      <c r="O16" s="376"/>
      <c r="P16" s="374"/>
      <c r="Q16" s="374"/>
      <c r="R16" s="375"/>
      <c r="S16" s="376"/>
      <c r="T16" s="374"/>
      <c r="U16" s="374"/>
      <c r="V16" s="377"/>
      <c r="W16" s="378">
        <f t="array" ref="W16">SUM(SUM(LEN(C16:V16))-SUM(LEN(SUBSTITUTE(C16:V16,"+",""))),ABS(SUM(LEN(C16:V16))-SUM(LEN(SUBSTITUTE(C16:V16,"-",""))) )*-1)</f>
        <v>0</v>
      </c>
      <c r="X16" s="414" t="str">
        <f>IF(COUNTA(C17:V17)&gt;0,IF(Starterlist!J$5=3,SMALL(C17:N17,1),IF(Starterlist!J$5=4,SMALL(C17:R17,1),IF(Starterlist!J$5=5,SMALL(C17:V17,1)))),"")</f>
        <v/>
      </c>
      <c r="Y16" s="412" t="str">
        <f>IF(COUNTA(C17:V17)=(Starterlist!J$5*4),ROUND(((W17-X16+W16)/((Starterlist!J$5*4)-1))*1.5,1),"")</f>
        <v/>
      </c>
      <c r="Z16" s="404" t="str">
        <f>IF(Y16="","",RANK(Y16,Y$6:Y$25))</f>
        <v/>
      </c>
    </row>
    <row r="17" spans="1:27" ht="21" customHeight="1" thickBot="1" x14ac:dyDescent="0.3">
      <c r="A17" s="407"/>
      <c r="B17" s="409"/>
      <c r="C17" s="167"/>
      <c r="D17" s="167"/>
      <c r="E17" s="167"/>
      <c r="F17" s="167"/>
      <c r="G17" s="167"/>
      <c r="H17" s="167"/>
      <c r="I17" s="167"/>
      <c r="J17" s="167"/>
      <c r="K17" s="167"/>
      <c r="L17" s="167"/>
      <c r="M17" s="167"/>
      <c r="N17" s="169"/>
      <c r="O17" s="168"/>
      <c r="P17" s="167"/>
      <c r="Q17" s="167"/>
      <c r="R17" s="169"/>
      <c r="S17" s="168"/>
      <c r="T17" s="167"/>
      <c r="U17" s="167"/>
      <c r="V17" s="217"/>
      <c r="W17" s="170" t="str">
        <f>IF(COUNTA(C17:V17)&gt;0,IF(Starterlist!J$5=3,SUM(C17:N17),IF(Starterlist!J$5=4,SUM(C17:R17)-X17,IF(Starterlist!J$5=5,SUM(C17:V17),""))),"")</f>
        <v/>
      </c>
      <c r="X17" s="411"/>
      <c r="Y17" s="413"/>
      <c r="Z17" s="405"/>
      <c r="AA17" s="5" t="str">
        <f>IF(COUNTA(C17:V17)=(Starterlist!J$5*4),((W17-X16+W16)/((Starterlist!J$5*4)-1))*1.5,"")</f>
        <v/>
      </c>
    </row>
    <row r="18" spans="1:27" ht="21" customHeight="1" x14ac:dyDescent="0.25">
      <c r="A18" s="406">
        <v>7</v>
      </c>
      <c r="B18" s="408" t="str">
        <f>(Starterlist!B19)&amp;CHAR(10)&amp;(Starterlist!D19)&amp;CHAR(10)&amp;(Starterlist!F19)</f>
        <v xml:space="preserve">
</v>
      </c>
      <c r="C18" s="374"/>
      <c r="D18" s="374"/>
      <c r="E18" s="374"/>
      <c r="F18" s="374"/>
      <c r="G18" s="374"/>
      <c r="H18" s="374"/>
      <c r="I18" s="374"/>
      <c r="J18" s="374"/>
      <c r="K18" s="374"/>
      <c r="L18" s="374"/>
      <c r="M18" s="374"/>
      <c r="N18" s="375"/>
      <c r="O18" s="376"/>
      <c r="P18" s="374"/>
      <c r="Q18" s="374"/>
      <c r="R18" s="375"/>
      <c r="S18" s="376"/>
      <c r="T18" s="374"/>
      <c r="U18" s="374"/>
      <c r="V18" s="377"/>
      <c r="W18" s="378">
        <f t="array" ref="W18">SUM(SUM(LEN(C18:V18))-SUM(LEN(SUBSTITUTE(C18:V18,"+",""))),ABS(SUM(LEN(C18:V18))-SUM(LEN(SUBSTITUTE(C18:V18,"-",""))) )*-1)</f>
        <v>0</v>
      </c>
      <c r="X18" s="414" t="str">
        <f>IF(COUNTA(C19:V19)&gt;0,IF(Starterlist!J$5=3,SMALL(C19:N19,1),IF(Starterlist!J$5=4,SMALL(C19:R19,1),IF(Starterlist!J$5=5,SMALL(C19:V19,1)))),"")</f>
        <v/>
      </c>
      <c r="Y18" s="412" t="str">
        <f>IF(COUNTA(C19:V19)=(Starterlist!J$5*4),ROUND(((W19-X18+W18)/((Starterlist!J$5*4)-1))*1.5,1),"")</f>
        <v/>
      </c>
      <c r="Z18" s="404" t="str">
        <f>IF(Y18="","",RANK(Y18,Y$6:Y$25))</f>
        <v/>
      </c>
    </row>
    <row r="19" spans="1:27" ht="21" customHeight="1" thickBot="1" x14ac:dyDescent="0.3">
      <c r="A19" s="407"/>
      <c r="B19" s="409"/>
      <c r="C19" s="167"/>
      <c r="D19" s="167"/>
      <c r="E19" s="167"/>
      <c r="F19" s="167"/>
      <c r="G19" s="167"/>
      <c r="H19" s="167"/>
      <c r="I19" s="167"/>
      <c r="J19" s="167"/>
      <c r="K19" s="167"/>
      <c r="L19" s="167"/>
      <c r="M19" s="167"/>
      <c r="N19" s="169"/>
      <c r="O19" s="168"/>
      <c r="P19" s="167"/>
      <c r="Q19" s="167"/>
      <c r="R19" s="169"/>
      <c r="S19" s="168"/>
      <c r="T19" s="167"/>
      <c r="U19" s="167"/>
      <c r="V19" s="217"/>
      <c r="W19" s="170" t="str">
        <f t="array" ref="W19">IF(COUNTA(C19:V19)&gt;0,IF(Starterlist!J$5=3,SUM(C19:N19),IF(Starterlist!J$5=4,SUM(C19:R19),IF(Starterlist!J$5=5,SUM(C19:V19),""))),"")</f>
        <v/>
      </c>
      <c r="X19" s="411"/>
      <c r="Y19" s="413"/>
      <c r="Z19" s="405"/>
      <c r="AA19" s="5" t="str">
        <f>IF(COUNTA(C19:V19)=(Starterlist!J$5*4),((W19-X18+W18)/((Starterlist!J$5*4)-1))*1.5,"")</f>
        <v/>
      </c>
    </row>
    <row r="20" spans="1:27" ht="21" customHeight="1" x14ac:dyDescent="0.25">
      <c r="A20" s="406">
        <v>8</v>
      </c>
      <c r="B20" s="408" t="str">
        <f>(Starterlist!B20)&amp;CHAR(10)&amp;(Starterlist!D20)&amp;CHAR(10)&amp;(Starterlist!F20)</f>
        <v xml:space="preserve">
</v>
      </c>
      <c r="C20" s="374"/>
      <c r="D20" s="374"/>
      <c r="E20" s="374"/>
      <c r="F20" s="374"/>
      <c r="G20" s="374"/>
      <c r="H20" s="374"/>
      <c r="I20" s="374"/>
      <c r="J20" s="374"/>
      <c r="K20" s="374"/>
      <c r="L20" s="374"/>
      <c r="M20" s="374"/>
      <c r="N20" s="375"/>
      <c r="O20" s="376"/>
      <c r="P20" s="374"/>
      <c r="Q20" s="374"/>
      <c r="R20" s="375"/>
      <c r="S20" s="376"/>
      <c r="T20" s="374"/>
      <c r="U20" s="374"/>
      <c r="V20" s="377"/>
      <c r="W20" s="378">
        <f t="array" ref="W20">SUM(SUM(LEN(C20:V20))-SUM(LEN(SUBSTITUTE(C20:V20,"+",""))),ABS(SUM(LEN(C20:V20))-SUM(LEN(SUBSTITUTE(C20:V20,"-",""))) )*-1)</f>
        <v>0</v>
      </c>
      <c r="X20" s="414" t="str">
        <f>IF(COUNTA(C21:V21)&gt;0,IF(Starterlist!J$5=3,SMALL(C21:N21,1),IF(Starterlist!J$5=4,SMALL(C21:R21,1),IF(Starterlist!J$5=5,SMALL(C21:V21,1)))),"")</f>
        <v/>
      </c>
      <c r="Y20" s="412" t="str">
        <f>IF(COUNTA(C21:V21)=(Starterlist!J$5*4),ROUND(((W21-X20+W20)/((Starterlist!J$5*4)-1))*1.5,1),"")</f>
        <v/>
      </c>
      <c r="Z20" s="404" t="str">
        <f>IF(Y20="","",RANK(Y20,Y$6:Y$25))</f>
        <v/>
      </c>
    </row>
    <row r="21" spans="1:27" ht="21" customHeight="1" thickBot="1" x14ac:dyDescent="0.3">
      <c r="A21" s="407"/>
      <c r="B21" s="409"/>
      <c r="C21" s="167"/>
      <c r="D21" s="167"/>
      <c r="E21" s="167"/>
      <c r="F21" s="167"/>
      <c r="G21" s="167"/>
      <c r="H21" s="167"/>
      <c r="I21" s="167"/>
      <c r="J21" s="167"/>
      <c r="K21" s="167"/>
      <c r="L21" s="167"/>
      <c r="M21" s="167"/>
      <c r="N21" s="169"/>
      <c r="O21" s="168"/>
      <c r="P21" s="167"/>
      <c r="Q21" s="167"/>
      <c r="R21" s="169"/>
      <c r="S21" s="168"/>
      <c r="T21" s="167"/>
      <c r="U21" s="167"/>
      <c r="V21" s="217"/>
      <c r="W21" s="170" t="str">
        <f t="array" ref="W21">IF(COUNTA(C21:V21)&gt;0,IF(Starterlist!J$5=3,SUM(C21:N21),IF(Starterlist!J$5=4,SUM(C21:R21),IF(Starterlist!J$5=5,SUM(C21:V21),""))),"")</f>
        <v/>
      </c>
      <c r="X21" s="411"/>
      <c r="Y21" s="413"/>
      <c r="Z21" s="405"/>
      <c r="AA21" s="5" t="str">
        <f>IF(COUNTA(C21:V21)=(Starterlist!J$5*4),((W21-X20+W20)/((Starterlist!J$5*4)-1))*1.5,"")</f>
        <v/>
      </c>
    </row>
    <row r="22" spans="1:27" ht="21" hidden="1" customHeight="1" x14ac:dyDescent="0.25">
      <c r="A22" s="406">
        <v>9</v>
      </c>
      <c r="B22" s="408" t="str">
        <f>(Starterlist!B21)&amp;CHAR(10)&amp;(Starterlist!D21)&amp;CHAR(10)&amp;(Starterlist!F21)</f>
        <v xml:space="preserve">
</v>
      </c>
      <c r="C22" s="374"/>
      <c r="D22" s="374"/>
      <c r="E22" s="374"/>
      <c r="F22" s="374"/>
      <c r="G22" s="374"/>
      <c r="H22" s="374"/>
      <c r="I22" s="374"/>
      <c r="J22" s="374"/>
      <c r="K22" s="374"/>
      <c r="L22" s="374"/>
      <c r="M22" s="374"/>
      <c r="N22" s="375"/>
      <c r="O22" s="376"/>
      <c r="P22" s="374"/>
      <c r="Q22" s="374"/>
      <c r="R22" s="375"/>
      <c r="S22" s="376"/>
      <c r="T22" s="374"/>
      <c r="U22" s="374"/>
      <c r="V22" s="375"/>
      <c r="W22" s="378">
        <f t="array" ref="W22">SUM(SUM(LEN(C22:V22))-SUM(LEN(SUBSTITUTE(C22:V22,"+",""))),ABS(SUM(LEN(C22:V22))-SUM(LEN(SUBSTITUTE(C22:V22,"-",""))) )*-1)</f>
        <v>0</v>
      </c>
      <c r="X22" s="414" t="str">
        <f>IF(COUNTA(C23:V23)&gt;0,IF(Starterlist!J$5=3,SMALL(C23:N23,1),IF(Starterlist!J$5=4,SMALL(C23:R23,1),IF(Starterlist!J$5=5,SMALL(C23:V23,1)))),"")</f>
        <v/>
      </c>
      <c r="Y22" s="412" t="str">
        <f>IF(COUNTA(C23:V23)=(Starterlist!J$5*4),ROUND(((W23-X22+W22)/((Starterlist!J$5*4)-1))*1.5,1),"")</f>
        <v/>
      </c>
      <c r="Z22" s="404" t="str">
        <f>IF(Y22="","",RANK(Y22,Y$6:Y$25))</f>
        <v/>
      </c>
    </row>
    <row r="23" spans="1:27" ht="21" hidden="1" customHeight="1" thickBot="1" x14ac:dyDescent="0.3">
      <c r="A23" s="407"/>
      <c r="B23" s="409"/>
      <c r="C23" s="164"/>
      <c r="D23" s="164"/>
      <c r="E23" s="164"/>
      <c r="F23" s="164"/>
      <c r="G23" s="164"/>
      <c r="H23" s="164"/>
      <c r="I23" s="164"/>
      <c r="J23" s="164"/>
      <c r="K23" s="164"/>
      <c r="L23" s="164"/>
      <c r="M23" s="164"/>
      <c r="N23" s="166"/>
      <c r="O23" s="165"/>
      <c r="P23" s="164"/>
      <c r="Q23" s="164"/>
      <c r="R23" s="166"/>
      <c r="S23" s="165"/>
      <c r="T23" s="164"/>
      <c r="U23" s="164"/>
      <c r="V23" s="166"/>
      <c r="W23" s="224" t="str">
        <f t="array" ref="W23">IF(COUNTA(C23:V23)&gt;0,IF(Starterlist!J$5=3,SUM(C23:N23),IF(Starterlist!J$5=4,SUM(C23:R23),IF(Starterlist!J$5=5,SUM(C23:V23),""))),"")</f>
        <v/>
      </c>
      <c r="X23" s="411"/>
      <c r="Y23" s="413"/>
      <c r="Z23" s="405"/>
      <c r="AA23" s="5" t="str">
        <f>IF(COUNTA(C23:V23)=(Starterlist!J$5*4),((W23-X22+W22)/((Starterlist!J$5*4)-1))*1.5,"")</f>
        <v/>
      </c>
    </row>
    <row r="24" spans="1:27" ht="21" hidden="1" customHeight="1" x14ac:dyDescent="0.25">
      <c r="A24" s="406">
        <v>10</v>
      </c>
      <c r="B24" s="408" t="str">
        <f>(Starterlist!B22)&amp;CHAR(10)&amp;(Starterlist!D22)&amp;CHAR(10)&amp;(Starterlist!F22)</f>
        <v xml:space="preserve">
</v>
      </c>
      <c r="C24" s="374"/>
      <c r="D24" s="374"/>
      <c r="E24" s="374"/>
      <c r="F24" s="374"/>
      <c r="G24" s="374"/>
      <c r="H24" s="374"/>
      <c r="I24" s="374"/>
      <c r="J24" s="374"/>
      <c r="K24" s="374"/>
      <c r="L24" s="374"/>
      <c r="M24" s="374"/>
      <c r="N24" s="375"/>
      <c r="O24" s="376"/>
      <c r="P24" s="374"/>
      <c r="Q24" s="374"/>
      <c r="R24" s="375"/>
      <c r="S24" s="376"/>
      <c r="T24" s="374"/>
      <c r="U24" s="374"/>
      <c r="V24" s="377"/>
      <c r="W24" s="378">
        <f t="array" ref="W24">SUM(SUM(LEN(C24:V24))-SUM(LEN(SUBSTITUTE(C24:V24,"+",""))),ABS(SUM(LEN(C24:V24))-SUM(LEN(SUBSTITUTE(C24:V24,"-",""))) )*-1)</f>
        <v>0</v>
      </c>
      <c r="X24" s="410" t="str">
        <f>IF(COUNTA(C25:V25)&gt;0,IF(Starterlist!J$5=3,SMALL(C25:N25,1),IF(Starterlist!J$5=4,SMALL(C25:R25,1),IF(Starterlist!J$5=5,SMALL(C25:V25,1)))),"")</f>
        <v/>
      </c>
      <c r="Y24" s="412" t="str">
        <f>IF(COUNTA(C25:V25)=(Starterlist!J$5*4),ROUND(((W25-X24+W24)/((Starterlist!J$5*4)-1))*1.5,1),"")</f>
        <v/>
      </c>
      <c r="Z24" s="404" t="str">
        <f>IF(Y24="","",RANK(Y24,Y$6:Y$25))</f>
        <v/>
      </c>
    </row>
    <row r="25" spans="1:27" ht="21" hidden="1" customHeight="1" thickBot="1" x14ac:dyDescent="0.3">
      <c r="A25" s="407"/>
      <c r="B25" s="409"/>
      <c r="C25" s="167"/>
      <c r="D25" s="167"/>
      <c r="E25" s="167"/>
      <c r="F25" s="167"/>
      <c r="G25" s="167"/>
      <c r="H25" s="167"/>
      <c r="I25" s="167"/>
      <c r="J25" s="167"/>
      <c r="K25" s="167"/>
      <c r="L25" s="167"/>
      <c r="M25" s="167"/>
      <c r="N25" s="169"/>
      <c r="O25" s="168"/>
      <c r="P25" s="167"/>
      <c r="Q25" s="167"/>
      <c r="R25" s="169"/>
      <c r="S25" s="168"/>
      <c r="T25" s="167"/>
      <c r="U25" s="167"/>
      <c r="V25" s="169"/>
      <c r="W25" s="170" t="str">
        <f t="array" ref="W25">IF(COUNTA(C25:V25)&gt;0,IF(Starterlist!J$5=3,SUM(C25:N25),IF(Starterlist!J$5=4,SUM(C25:R25),IF(Starterlist!J$5=5,SUM(C25:V25),""))),"")</f>
        <v/>
      </c>
      <c r="X25" s="411"/>
      <c r="Y25" s="413"/>
      <c r="Z25" s="405"/>
      <c r="AA25" s="5" t="str">
        <f>IF(COUNTA(C25:V25)=(Starterlist!J$5*4),((W25-X24+W24)/((Starterlist!J$5*4)-1))*1.5,"")</f>
        <v/>
      </c>
    </row>
    <row r="26" spans="1:27" ht="18" hidden="1" customHeight="1" x14ac:dyDescent="0.25"/>
    <row r="27" spans="1:27" ht="15.75" customHeight="1" x14ac:dyDescent="0.25"/>
    <row r="28" spans="1:27" ht="15.75" customHeight="1" x14ac:dyDescent="0.25"/>
    <row r="29" spans="1:27" ht="16.5" customHeight="1" x14ac:dyDescent="0.25"/>
  </sheetData>
  <mergeCells count="51">
    <mergeCell ref="Z6:Z7"/>
    <mergeCell ref="A10:A11"/>
    <mergeCell ref="B10:B11"/>
    <mergeCell ref="X10:X11"/>
    <mergeCell ref="Y10:Y11"/>
    <mergeCell ref="Z10:Z11"/>
    <mergeCell ref="C4:M4"/>
    <mergeCell ref="A6:A7"/>
    <mergeCell ref="B6:B7"/>
    <mergeCell ref="X6:X7"/>
    <mergeCell ref="Y6:Y7"/>
    <mergeCell ref="Z14:Z15"/>
    <mergeCell ref="A8:A9"/>
    <mergeCell ref="B8:B9"/>
    <mergeCell ref="X8:X9"/>
    <mergeCell ref="Y8:Y9"/>
    <mergeCell ref="Z8:Z9"/>
    <mergeCell ref="A14:A15"/>
    <mergeCell ref="B14:B15"/>
    <mergeCell ref="X14:X15"/>
    <mergeCell ref="Y14:Y15"/>
    <mergeCell ref="A12:A13"/>
    <mergeCell ref="B12:B13"/>
    <mergeCell ref="X12:X13"/>
    <mergeCell ref="Y12:Y13"/>
    <mergeCell ref="Z12:Z13"/>
    <mergeCell ref="A18:A19"/>
    <mergeCell ref="B18:B19"/>
    <mergeCell ref="X18:X19"/>
    <mergeCell ref="Y18:Y19"/>
    <mergeCell ref="Z18:Z19"/>
    <mergeCell ref="A16:A17"/>
    <mergeCell ref="B16:B17"/>
    <mergeCell ref="X16:X17"/>
    <mergeCell ref="Y16:Y17"/>
    <mergeCell ref="Z16:Z17"/>
    <mergeCell ref="A22:A23"/>
    <mergeCell ref="B22:B23"/>
    <mergeCell ref="X22:X23"/>
    <mergeCell ref="Y22:Y23"/>
    <mergeCell ref="Z22:Z23"/>
    <mergeCell ref="A20:A21"/>
    <mergeCell ref="B20:B21"/>
    <mergeCell ref="X20:X21"/>
    <mergeCell ref="Y20:Y21"/>
    <mergeCell ref="Z20:Z21"/>
    <mergeCell ref="A24:A25"/>
    <mergeCell ref="B24:B25"/>
    <mergeCell ref="X24:X25"/>
    <mergeCell ref="Y24:Y25"/>
    <mergeCell ref="Z24:Z25"/>
  </mergeCells>
  <phoneticPr fontId="0" type="noConversion"/>
  <pageMargins left="0.55000000000000004" right="0.25" top="0.75" bottom="0.50686274509803919" header="0.3" footer="0.3"/>
  <pageSetup paperSize="9" scale="88" orientation="landscape" r:id="rId1"/>
  <headerFooter alignWithMargins="0">
    <oddHeader>&amp;C&amp;18Difficulty&amp;R&amp;G</oddHeader>
    <oddFooter>&amp;LInterpretation of difficulty scores:
0: No tricks 
1-2: Very easy tricks 
3-4: Easy tricks
5-6: Medium tricks 
7-8: Difficult tricks
9-10: Very difficult tricks</oddFooter>
  </headerFooter>
  <legacyDrawingHF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ModeratorInfo"/>
  <dimension ref="A1:S31"/>
  <sheetViews>
    <sheetView showGridLines="0" showRowColHeaders="0" showZeros="0" showRuler="0" zoomScaleNormal="100" zoomScaleSheetLayoutView="85" workbookViewId="0">
      <selection activeCell="Y32" sqref="Y32"/>
    </sheetView>
  </sheetViews>
  <sheetFormatPr defaultColWidth="11.140625" defaultRowHeight="15" x14ac:dyDescent="0.25"/>
  <cols>
    <col min="1" max="1" width="4.28515625" style="5" customWidth="1"/>
    <col min="2" max="2" width="35.28515625" style="5" customWidth="1"/>
    <col min="3" max="3" width="19" style="6" customWidth="1"/>
    <col min="4" max="4" width="21.5703125" style="6" customWidth="1"/>
    <col min="5" max="5" width="26.140625" style="6" customWidth="1"/>
    <col min="6" max="6" width="10.7109375" style="7" customWidth="1"/>
    <col min="7" max="7" width="1.85546875" style="5" customWidth="1"/>
    <col min="8" max="8" width="12.140625" style="5" customWidth="1"/>
    <col min="9" max="9" width="30" style="5" customWidth="1"/>
    <col min="10" max="16384" width="11.140625" style="5"/>
  </cols>
  <sheetData>
    <row r="1" spans="1:19" ht="30" customHeight="1" x14ac:dyDescent="0.5">
      <c r="A1" s="32" t="str">
        <f>Starterlist!A1</f>
        <v>FPAW 2018</v>
      </c>
      <c r="C1" s="13" t="s">
        <v>13</v>
      </c>
      <c r="D1" s="13" t="s">
        <v>14</v>
      </c>
      <c r="E1" s="13" t="str">
        <f>Starterlist!F3</f>
        <v>Pool</v>
      </c>
      <c r="F1" s="13"/>
    </row>
    <row r="2" spans="1:19" ht="19.5" customHeight="1" x14ac:dyDescent="0.35">
      <c r="A2" s="13" t="str">
        <f>Starterlist!A2</f>
        <v>Trnava, Slowakia</v>
      </c>
      <c r="B2" s="12"/>
      <c r="C2" s="9" t="str">
        <f>Starterlist!B4</f>
        <v>Open Pairs</v>
      </c>
      <c r="D2" s="9" t="str">
        <f>Starterlist!D4</f>
        <v>Semi-Final</v>
      </c>
      <c r="E2" s="9" t="str">
        <f>Starterlist!F4</f>
        <v>A</v>
      </c>
      <c r="F2" s="9"/>
    </row>
    <row r="3" spans="1:19" ht="16.5" customHeight="1" x14ac:dyDescent="0.35">
      <c r="A3" s="13"/>
      <c r="B3" s="12"/>
      <c r="C3" s="9"/>
      <c r="D3" s="9"/>
      <c r="E3" s="9"/>
      <c r="F3" s="9"/>
    </row>
    <row r="4" spans="1:19" ht="36.75" customHeight="1" thickBot="1" x14ac:dyDescent="0.4">
      <c r="B4" s="13"/>
      <c r="C4" s="8"/>
      <c r="D4" s="8"/>
      <c r="E4" s="11"/>
      <c r="F4" s="11"/>
      <c r="I4" s="186" t="s">
        <v>12</v>
      </c>
    </row>
    <row r="5" spans="1:19" ht="38.25" customHeight="1" thickBot="1" x14ac:dyDescent="0.4">
      <c r="A5" s="19" t="s">
        <v>9</v>
      </c>
      <c r="B5" s="18" t="s">
        <v>16</v>
      </c>
      <c r="C5" s="18" t="s">
        <v>36</v>
      </c>
      <c r="D5" s="18" t="s">
        <v>35</v>
      </c>
      <c r="E5" s="18" t="s">
        <v>32</v>
      </c>
      <c r="F5" s="18" t="s">
        <v>34</v>
      </c>
      <c r="H5" s="416" t="str">
        <f>Starterlist!I13</f>
        <v>Execution</v>
      </c>
      <c r="I5" s="386">
        <f>Starterlist!J13</f>
        <v>0</v>
      </c>
    </row>
    <row r="6" spans="1:19" ht="44.25" customHeight="1" thickBot="1" x14ac:dyDescent="0.3">
      <c r="A6" s="47">
        <v>1</v>
      </c>
      <c r="B6" s="95" t="str">
        <f>(Starterlist!B13)&amp;CHAR(10)&amp;(Starterlist!D13)&amp;CHAR(10)&amp;(Starterlist!F13)</f>
        <v xml:space="preserve">
</v>
      </c>
      <c r="C6" s="90"/>
      <c r="D6" s="90"/>
      <c r="E6" s="90"/>
      <c r="F6" s="90"/>
      <c r="H6" s="416">
        <f>Starterlist!I14</f>
        <v>0</v>
      </c>
      <c r="I6" s="389">
        <f>Starterlist!J14</f>
        <v>0</v>
      </c>
    </row>
    <row r="7" spans="1:19" ht="44.25" customHeight="1" thickBot="1" x14ac:dyDescent="0.3">
      <c r="A7" s="47">
        <v>2</v>
      </c>
      <c r="B7" s="95" t="str">
        <f>(Starterlist!B14)&amp;CHAR(10)&amp;(Starterlist!D14)&amp;CHAR(10)&amp;(Starterlist!F14)</f>
        <v xml:space="preserve">
</v>
      </c>
      <c r="C7" s="90"/>
      <c r="D7" s="90"/>
      <c r="E7" s="90"/>
      <c r="F7" s="90"/>
      <c r="H7" s="416">
        <f>Starterlist!I15</f>
        <v>0</v>
      </c>
      <c r="I7" s="387">
        <f>Starterlist!J15</f>
        <v>0</v>
      </c>
    </row>
    <row r="8" spans="1:19" ht="44.25" customHeight="1" thickBot="1" x14ac:dyDescent="0.3">
      <c r="A8" s="47">
        <v>3</v>
      </c>
      <c r="B8" s="95" t="str">
        <f>(Starterlist!B15)&amp;CHAR(10)&amp;(Starterlist!D15)&amp;CHAR(10)&amp;(Starterlist!F15)</f>
        <v xml:space="preserve">
</v>
      </c>
      <c r="C8" s="90"/>
      <c r="D8" s="90"/>
      <c r="E8" s="90"/>
      <c r="F8" s="90"/>
      <c r="H8" s="417" t="str">
        <f>Starterlist!I16</f>
        <v>Artistic Impression</v>
      </c>
      <c r="I8" s="390">
        <f>Starterlist!J16</f>
        <v>0</v>
      </c>
    </row>
    <row r="9" spans="1:19" ht="44.25" customHeight="1" thickBot="1" x14ac:dyDescent="0.3">
      <c r="A9" s="47">
        <v>4</v>
      </c>
      <c r="B9" s="95" t="str">
        <f>(Starterlist!B16)&amp;CHAR(10)&amp;(Starterlist!D16)&amp;CHAR(10)&amp;(Starterlist!F16)</f>
        <v xml:space="preserve">
</v>
      </c>
      <c r="C9" s="90"/>
      <c r="D9" s="90"/>
      <c r="E9" s="90"/>
      <c r="F9" s="90"/>
      <c r="H9" s="417">
        <f>Starterlist!I17</f>
        <v>0</v>
      </c>
      <c r="I9" s="388">
        <f>Starterlist!J17</f>
        <v>0</v>
      </c>
    </row>
    <row r="10" spans="1:19" ht="44.25" customHeight="1" thickBot="1" x14ac:dyDescent="0.3">
      <c r="A10" s="47">
        <v>5</v>
      </c>
      <c r="B10" s="95" t="str">
        <f>(Starterlist!B17)&amp;CHAR(10)&amp;(Starterlist!D17)&amp;CHAR(10)&amp;(Starterlist!F17)</f>
        <v xml:space="preserve">
</v>
      </c>
      <c r="C10" s="90"/>
      <c r="D10" s="90"/>
      <c r="E10" s="90"/>
      <c r="F10" s="90"/>
      <c r="H10" s="417">
        <f>Starterlist!I18</f>
        <v>0</v>
      </c>
      <c r="I10" s="387">
        <f>Starterlist!J18</f>
        <v>0</v>
      </c>
    </row>
    <row r="11" spans="1:19" ht="44.25" customHeight="1" thickBot="1" x14ac:dyDescent="0.3">
      <c r="A11" s="47">
        <v>6</v>
      </c>
      <c r="B11" s="95" t="str">
        <f>(Starterlist!B18)&amp;CHAR(10)&amp;(Starterlist!D18)&amp;CHAR(10)&amp;(Starterlist!F18)</f>
        <v xml:space="preserve">
</v>
      </c>
      <c r="C11" s="90"/>
      <c r="D11" s="90"/>
      <c r="E11" s="90"/>
      <c r="F11" s="90"/>
      <c r="H11" s="416" t="str">
        <f>Starterlist!I19</f>
        <v>Difficulty</v>
      </c>
      <c r="I11" s="389">
        <f>Starterlist!J19</f>
        <v>0</v>
      </c>
    </row>
    <row r="12" spans="1:19" ht="44.25" customHeight="1" thickBot="1" x14ac:dyDescent="0.3">
      <c r="A12" s="97">
        <v>7</v>
      </c>
      <c r="B12" s="171" t="str">
        <f>(Starterlist!B19)&amp;CHAR(10)&amp;(Starterlist!D19)&amp;CHAR(10)&amp;(Starterlist!F19)</f>
        <v xml:space="preserve">
</v>
      </c>
      <c r="C12" s="110"/>
      <c r="D12" s="110"/>
      <c r="E12" s="110"/>
      <c r="F12" s="110"/>
      <c r="H12" s="416">
        <f>Starterlist!I20</f>
        <v>0</v>
      </c>
      <c r="I12" s="388">
        <f>Starterlist!J20</f>
        <v>0</v>
      </c>
    </row>
    <row r="13" spans="1:19" ht="44.25" customHeight="1" thickBot="1" x14ac:dyDescent="0.3">
      <c r="A13" s="97">
        <v>8</v>
      </c>
      <c r="B13" s="171" t="str">
        <f>(Starterlist!B20)&amp;CHAR(10)&amp;(Starterlist!D20)&amp;CHAR(10)&amp;(Starterlist!F20)</f>
        <v xml:space="preserve">
</v>
      </c>
      <c r="C13" s="110"/>
      <c r="D13" s="110"/>
      <c r="E13" s="110"/>
      <c r="F13" s="110"/>
      <c r="H13" s="416">
        <f>Starterlist!I21</f>
        <v>0</v>
      </c>
      <c r="I13" s="387">
        <f>Starterlist!J21</f>
        <v>0</v>
      </c>
    </row>
    <row r="14" spans="1:19" ht="44.25" hidden="1" customHeight="1" thickBot="1" x14ac:dyDescent="0.3">
      <c r="A14" s="47">
        <v>9</v>
      </c>
      <c r="B14" s="95" t="str">
        <f>(Starterlist!B21)&amp;CHAR(10)&amp;(Starterlist!D21)&amp;CHAR(10)&amp;(Starterlist!F21)</f>
        <v xml:space="preserve">
</v>
      </c>
      <c r="C14" s="90"/>
      <c r="D14" s="90"/>
      <c r="E14" s="90"/>
      <c r="F14" s="90"/>
      <c r="H14" s="384"/>
      <c r="I14" s="27"/>
    </row>
    <row r="15" spans="1:19" ht="44.25" hidden="1" customHeight="1" thickBot="1" x14ac:dyDescent="0.3">
      <c r="A15" s="97">
        <v>10</v>
      </c>
      <c r="B15" s="171" t="str">
        <f>(Starterlist!B22)&amp;CHAR(10)&amp;(Starterlist!D22)&amp;CHAR(10)&amp;(Starterlist!F22)</f>
        <v xml:space="preserve">
</v>
      </c>
      <c r="C15" s="110"/>
      <c r="D15" s="110"/>
      <c r="E15" s="110"/>
      <c r="F15" s="110"/>
      <c r="H15" s="384"/>
      <c r="I15" s="27"/>
    </row>
    <row r="16" spans="1:19" ht="14.25" hidden="1" customHeight="1" x14ac:dyDescent="0.25">
      <c r="G16" s="27"/>
      <c r="H16" s="384"/>
      <c r="I16" s="27"/>
      <c r="J16" s="27"/>
      <c r="K16" s="27"/>
      <c r="L16" s="27"/>
      <c r="M16" s="27"/>
      <c r="N16" s="27"/>
      <c r="O16" s="13"/>
      <c r="P16" s="13"/>
      <c r="Q16" s="13"/>
      <c r="R16" s="13"/>
      <c r="S16" s="13"/>
    </row>
    <row r="17" spans="7:19" ht="14.25" customHeight="1" x14ac:dyDescent="0.25">
      <c r="G17" s="27"/>
      <c r="H17" s="384"/>
      <c r="I17" s="27"/>
      <c r="J17" s="27"/>
      <c r="K17" s="27"/>
      <c r="L17" s="27"/>
      <c r="M17" s="27"/>
      <c r="N17" s="27"/>
      <c r="O17" s="13"/>
      <c r="P17" s="13"/>
      <c r="Q17" s="13"/>
      <c r="R17" s="13"/>
      <c r="S17" s="13"/>
    </row>
    <row r="18" spans="7:19" ht="14.25" customHeight="1" x14ac:dyDescent="0.25">
      <c r="G18" s="27"/>
      <c r="H18" s="27"/>
      <c r="I18" s="27"/>
      <c r="J18" s="27"/>
      <c r="K18" s="27"/>
      <c r="L18" s="27"/>
      <c r="M18" s="27"/>
      <c r="N18" s="27"/>
      <c r="O18" s="13"/>
      <c r="P18" s="13"/>
      <c r="Q18" s="13"/>
      <c r="R18" s="13"/>
      <c r="S18" s="13"/>
    </row>
    <row r="19" spans="7:19" ht="14.25" customHeight="1" x14ac:dyDescent="0.25">
      <c r="G19" s="27"/>
      <c r="H19" s="27"/>
      <c r="I19" s="27"/>
      <c r="J19" s="27"/>
      <c r="K19" s="27"/>
      <c r="L19" s="27"/>
      <c r="M19" s="27"/>
      <c r="N19" s="27"/>
      <c r="O19" s="13"/>
      <c r="P19" s="13"/>
      <c r="Q19" s="13"/>
      <c r="R19" s="13"/>
      <c r="S19" s="13"/>
    </row>
    <row r="20" spans="7:19" ht="14.25" customHeight="1" x14ac:dyDescent="0.25">
      <c r="G20" s="27"/>
      <c r="H20" s="27"/>
      <c r="I20" s="27"/>
      <c r="J20" s="27"/>
      <c r="K20" s="27"/>
      <c r="L20" s="27"/>
      <c r="M20" s="27"/>
      <c r="N20" s="27"/>
      <c r="O20" s="13"/>
      <c r="P20" s="13"/>
      <c r="Q20" s="13"/>
      <c r="R20" s="13"/>
      <c r="S20" s="13"/>
    </row>
    <row r="21" spans="7:19" ht="14.25" customHeight="1" x14ac:dyDescent="0.25">
      <c r="G21" s="27"/>
      <c r="H21" s="27"/>
      <c r="I21" s="27"/>
      <c r="J21" s="27"/>
      <c r="K21" s="27"/>
      <c r="L21" s="27"/>
      <c r="M21" s="27"/>
      <c r="N21" s="27"/>
      <c r="O21" s="13"/>
      <c r="P21" s="13"/>
      <c r="Q21" s="13"/>
      <c r="R21" s="13"/>
      <c r="S21" s="13"/>
    </row>
    <row r="22" spans="7:19" ht="14.25" customHeight="1" x14ac:dyDescent="0.25">
      <c r="G22" s="27"/>
      <c r="H22" s="27"/>
      <c r="I22" s="27"/>
      <c r="J22" s="27"/>
      <c r="K22" s="27"/>
      <c r="L22" s="27"/>
      <c r="M22" s="27"/>
      <c r="N22" s="27"/>
      <c r="O22" s="13"/>
      <c r="P22" s="13"/>
      <c r="Q22" s="13"/>
      <c r="R22" s="13"/>
      <c r="S22" s="13"/>
    </row>
    <row r="23" spans="7:19" ht="16.5" customHeight="1" x14ac:dyDescent="0.25">
      <c r="G23" s="27"/>
      <c r="H23" s="27"/>
      <c r="I23" s="27"/>
      <c r="J23" s="27"/>
      <c r="K23" s="27"/>
      <c r="L23" s="27"/>
      <c r="M23" s="27"/>
      <c r="N23" s="27"/>
      <c r="O23" s="13"/>
      <c r="P23" s="13"/>
      <c r="Q23" s="13"/>
      <c r="R23" s="13"/>
      <c r="S23" s="13"/>
    </row>
    <row r="24" spans="7:19" ht="15.75" customHeight="1" x14ac:dyDescent="0.25">
      <c r="G24" s="27"/>
      <c r="H24" s="27"/>
      <c r="I24" s="27"/>
      <c r="J24" s="27"/>
      <c r="K24" s="27"/>
      <c r="L24" s="27"/>
      <c r="M24" s="27"/>
      <c r="N24" s="27"/>
      <c r="O24" s="13"/>
      <c r="P24" s="13"/>
      <c r="Q24" s="13"/>
      <c r="R24" s="13"/>
      <c r="S24" s="13"/>
    </row>
    <row r="25" spans="7:19" ht="15.75" customHeight="1" x14ac:dyDescent="0.25">
      <c r="G25" s="27"/>
      <c r="H25" s="27"/>
      <c r="I25" s="27"/>
      <c r="J25" s="27"/>
      <c r="K25" s="27"/>
      <c r="L25" s="27"/>
      <c r="M25" s="27"/>
      <c r="N25" s="27"/>
      <c r="O25" s="13"/>
      <c r="P25" s="13"/>
      <c r="Q25" s="13"/>
      <c r="R25" s="13"/>
      <c r="S25" s="13"/>
    </row>
    <row r="26" spans="7:19" ht="16.5" customHeight="1" x14ac:dyDescent="0.25">
      <c r="G26" s="27"/>
      <c r="H26" s="27"/>
      <c r="I26" s="27"/>
      <c r="J26" s="27"/>
      <c r="K26" s="27"/>
      <c r="L26" s="27"/>
      <c r="M26" s="27"/>
      <c r="N26" s="27"/>
      <c r="O26" s="13"/>
      <c r="P26" s="13"/>
      <c r="Q26" s="13"/>
      <c r="R26" s="13"/>
      <c r="S26" s="13"/>
    </row>
    <row r="27" spans="7:19" ht="15.75" customHeight="1" x14ac:dyDescent="0.25">
      <c r="G27" s="27"/>
      <c r="H27" s="27"/>
      <c r="I27" s="27"/>
      <c r="J27" s="27"/>
      <c r="K27" s="27"/>
      <c r="L27" s="27"/>
      <c r="M27" s="27"/>
      <c r="N27" s="27"/>
      <c r="O27" s="13"/>
      <c r="P27" s="13"/>
      <c r="Q27" s="13"/>
      <c r="R27" s="13"/>
      <c r="S27" s="13"/>
    </row>
    <row r="28" spans="7:19" ht="15.75" customHeight="1" x14ac:dyDescent="0.25">
      <c r="G28" s="27"/>
      <c r="H28" s="96"/>
      <c r="I28" s="96"/>
      <c r="J28" s="27"/>
      <c r="K28" s="27"/>
      <c r="L28" s="27"/>
      <c r="M28" s="27"/>
      <c r="N28" s="27"/>
      <c r="O28" s="13"/>
      <c r="P28" s="13"/>
      <c r="Q28" s="13"/>
      <c r="R28" s="13"/>
      <c r="S28" s="13"/>
    </row>
    <row r="29" spans="7:19" ht="17.25" customHeight="1" x14ac:dyDescent="0.25">
      <c r="G29" s="27"/>
      <c r="H29" s="96"/>
      <c r="I29" s="96"/>
      <c r="J29" s="27"/>
      <c r="K29" s="27"/>
      <c r="L29" s="27"/>
      <c r="M29" s="27"/>
      <c r="N29" s="27"/>
      <c r="O29" s="13"/>
      <c r="P29" s="13"/>
      <c r="Q29" s="13"/>
      <c r="R29" s="13"/>
      <c r="S29" s="13"/>
    </row>
    <row r="30" spans="7:19" x14ac:dyDescent="0.25">
      <c r="G30" s="96"/>
      <c r="J30" s="96"/>
      <c r="K30" s="96"/>
      <c r="L30" s="96"/>
      <c r="M30" s="96"/>
      <c r="N30" s="96"/>
    </row>
    <row r="31" spans="7:19" x14ac:dyDescent="0.25">
      <c r="G31" s="96"/>
      <c r="J31" s="96"/>
      <c r="K31" s="96"/>
      <c r="L31" s="96"/>
      <c r="M31" s="96"/>
      <c r="N31" s="96"/>
    </row>
  </sheetData>
  <mergeCells count="3">
    <mergeCell ref="H5:H7"/>
    <mergeCell ref="H8:H10"/>
    <mergeCell ref="H11:H13"/>
  </mergeCells>
  <phoneticPr fontId="0" type="noConversion"/>
  <pageMargins left="0.25" right="0.25" top="0.75" bottom="0.75" header="0.3" footer="0.3"/>
  <pageSetup paperSize="9" scale="86" orientation="landscape" r:id="rId1"/>
  <headerFooter alignWithMargins="0">
    <oddHeader xml:space="preserve">&amp;C&amp;18Anouncer Information&amp;R
</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Tabelle5"/>
  <dimension ref="A1:B1000"/>
  <sheetViews>
    <sheetView zoomScaleNormal="100" workbookViewId="0">
      <selection activeCell="B16" sqref="B16"/>
    </sheetView>
  </sheetViews>
  <sheetFormatPr defaultColWidth="9.140625" defaultRowHeight="12.75" x14ac:dyDescent="0.2"/>
  <cols>
    <col min="1" max="1" width="25" style="340" customWidth="1"/>
    <col min="2" max="2" width="15.5703125" style="340" customWidth="1"/>
    <col min="3" max="254" width="11.42578125" style="340" customWidth="1"/>
    <col min="255" max="16384" width="9.140625" style="340"/>
  </cols>
  <sheetData>
    <row r="1" spans="1:2" s="357" customFormat="1" x14ac:dyDescent="0.2">
      <c r="A1" s="356" t="str">
        <f>INDEX(Rankings!C$2:'Rankings'!C$1000,MATCH(SMALL(Rankings!I$2:'Rankings'!I$1000,ROW()),Rankings!I$2:'Rankings'!I$1000,0))</f>
        <v>(John - Amsterjam 2006)</v>
      </c>
      <c r="B1" s="340" t="str">
        <f>VLOOKUP(A1,Rankings!C:E,3,FALSE)</f>
        <v>m</v>
      </c>
    </row>
    <row r="2" spans="1:2" x14ac:dyDescent="0.2">
      <c r="A2" s="356" t="str">
        <f>INDEX(Rankings!C$2:'Rankings'!C$1000,MATCH(SMALL(Rankings!I$2:'Rankings'!I$1000,ROW()),Rankings!I$2:'Rankings'!I$1000,0))</f>
        <v>Aaron Wachtler</v>
      </c>
      <c r="B2" s="340" t="str">
        <f>VLOOKUP(A2,Rankings!C:E,3,FALSE)</f>
        <v>m</v>
      </c>
    </row>
    <row r="3" spans="1:2" x14ac:dyDescent="0.2">
      <c r="A3" s="356" t="str">
        <f>INDEX(Rankings!C$2:'Rankings'!C$1000,MATCH(SMALL(Rankings!I$2:'Rankings'!I$1000,ROW()),Rankings!I$2:'Rankings'!I$1000,0))</f>
        <v>Abozar Hejdari</v>
      </c>
      <c r="B3" s="340" t="str">
        <f>VLOOKUP(A3,Rankings!C:E,3,FALSE)</f>
        <v>m</v>
      </c>
    </row>
    <row r="4" spans="1:2" x14ac:dyDescent="0.2">
      <c r="A4" s="356" t="str">
        <f>INDEX(Rankings!C$2:'Rankings'!C$1000,MATCH(SMALL(Rankings!I$2:'Rankings'!I$1000,ROW()),Rankings!I$2:'Rankings'!I$1000,0))</f>
        <v>Adam Perry</v>
      </c>
      <c r="B4" s="340" t="str">
        <f>VLOOKUP(A4,Rankings!C:E,3,FALSE)</f>
        <v>m</v>
      </c>
    </row>
    <row r="5" spans="1:2" x14ac:dyDescent="0.2">
      <c r="A5" s="356" t="str">
        <f>INDEX(Rankings!C$2:'Rankings'!C$1000,MATCH(SMALL(Rankings!I$2:'Rankings'!I$1000,ROW()),Rankings!I$2:'Rankings'!I$1000,0))</f>
        <v>Adrian Baer</v>
      </c>
      <c r="B5" s="340" t="str">
        <f>VLOOKUP(A5,Rankings!C:E,3,FALSE)</f>
        <v>m</v>
      </c>
    </row>
    <row r="6" spans="1:2" x14ac:dyDescent="0.2">
      <c r="A6" s="356" t="str">
        <f>INDEX(Rankings!C$2:'Rankings'!C$1000,MATCH(SMALL(Rankings!I$2:'Rankings'!I$1000,ROW()),Rankings!I$2:'Rankings'!I$1000,0))</f>
        <v>Adrian Röder</v>
      </c>
      <c r="B6" s="340" t="str">
        <f>VLOOKUP(A6,Rankings!C:E,3,FALSE)</f>
        <v>m</v>
      </c>
    </row>
    <row r="7" spans="1:2" x14ac:dyDescent="0.2">
      <c r="A7" s="356" t="str">
        <f>INDEX(Rankings!C$2:'Rankings'!C$1000,MATCH(SMALL(Rankings!I$2:'Rankings'!I$1000,ROW()),Rankings!I$2:'Rankings'!I$1000,0))</f>
        <v>Aiden Slaska</v>
      </c>
      <c r="B7" s="340" t="str">
        <f>VLOOKUP(A7,Rankings!C:E,3,FALSE)</f>
        <v>m</v>
      </c>
    </row>
    <row r="8" spans="1:2" x14ac:dyDescent="0.2">
      <c r="A8" s="356" t="str">
        <f>INDEX(Rankings!C$2:'Rankings'!C$1000,MATCH(SMALL(Rankings!I$2:'Rankings'!I$1000,ROW()),Rankings!I$2:'Rankings'!I$1000,0))</f>
        <v>Akihito Goto</v>
      </c>
      <c r="B8" s="340" t="str">
        <f>VLOOKUP(A8,Rankings!C:E,3,FALSE)</f>
        <v>m</v>
      </c>
    </row>
    <row r="9" spans="1:2" x14ac:dyDescent="0.2">
      <c r="A9" s="356" t="str">
        <f>INDEX(Rankings!C$2:'Rankings'!C$1000,MATCH(SMALL(Rankings!I$2:'Rankings'!I$1000,ROW()),Rankings!I$2:'Rankings'!I$1000,0))</f>
        <v>Akito Ueda</v>
      </c>
      <c r="B9" s="340" t="str">
        <f>VLOOKUP(A9,Rankings!C:E,3,FALSE)</f>
        <v>m</v>
      </c>
    </row>
    <row r="10" spans="1:2" x14ac:dyDescent="0.2">
      <c r="A10" s="356" t="str">
        <f>INDEX(Rankings!C$2:'Rankings'!C$1000,MATCH(SMALL(Rankings!I$2:'Rankings'!I$1000,ROW()),Rankings!I$2:'Rankings'!I$1000,0))</f>
        <v>Alan Caplin</v>
      </c>
      <c r="B10" s="340" t="str">
        <f>VLOOKUP(A10,Rankings!C:E,3,FALSE)</f>
        <v>m</v>
      </c>
    </row>
    <row r="11" spans="1:2" x14ac:dyDescent="0.2">
      <c r="A11" s="356" t="str">
        <f>INDEX(Rankings!C$2:'Rankings'!C$1000,MATCH(SMALL(Rankings!I$2:'Rankings'!I$1000,ROW()),Rankings!I$2:'Rankings'!I$1000,0))</f>
        <v>Alan Clark</v>
      </c>
      <c r="B11" s="340" t="str">
        <f>VLOOKUP(A11,Rankings!C:E,3,FALSE)</f>
        <v>m</v>
      </c>
    </row>
    <row r="12" spans="1:2" x14ac:dyDescent="0.2">
      <c r="A12" s="356" t="str">
        <f>INDEX(Rankings!C$2:'Rankings'!C$1000,MATCH(SMALL(Rankings!I$2:'Rankings'!I$1000,ROW()),Rankings!I$2:'Rankings'!I$1000,0))</f>
        <v>Alan Martinez</v>
      </c>
      <c r="B12" s="340" t="str">
        <f>VLOOKUP(A12,Rankings!C:E,3,FALSE)</f>
        <v>m</v>
      </c>
    </row>
    <row r="13" spans="1:2" x14ac:dyDescent="0.2">
      <c r="A13" s="356" t="str">
        <f>INDEX(Rankings!C$2:'Rankings'!C$1000,MATCH(SMALL(Rankings!I$2:'Rankings'!I$1000,ROW()),Rankings!I$2:'Rankings'!I$1000,0))</f>
        <v>Alberto Baldelli</v>
      </c>
      <c r="B13" s="340" t="str">
        <f>VLOOKUP(A13,Rankings!C:E,3,FALSE)</f>
        <v>m</v>
      </c>
    </row>
    <row r="14" spans="1:2" x14ac:dyDescent="0.2">
      <c r="A14" s="356" t="str">
        <f>INDEX(Rankings!C$2:'Rankings'!C$1000,MATCH(SMALL(Rankings!I$2:'Rankings'!I$1000,ROW()),Rankings!I$2:'Rankings'!I$1000,0))</f>
        <v>Albin Lindblad</v>
      </c>
      <c r="B14" s="340" t="str">
        <f>VLOOKUP(A14,Rankings!C:E,3,FALSE)</f>
        <v>m</v>
      </c>
    </row>
    <row r="15" spans="1:2" x14ac:dyDescent="0.2">
      <c r="A15" s="356" t="str">
        <f>INDEX(Rankings!C$2:'Rankings'!C$1000,MATCH(SMALL(Rankings!I$2:'Rankings'!I$1000,ROW()),Rankings!I$2:'Rankings'!I$1000,0))</f>
        <v>Alejandra Estrada</v>
      </c>
      <c r="B15" s="340" t="str">
        <f>VLOOKUP(A15,Rankings!C:E,3,FALSE)</f>
        <v>f</v>
      </c>
    </row>
    <row r="16" spans="1:2" x14ac:dyDescent="0.2">
      <c r="A16" s="356" t="str">
        <f>INDEX(Rankings!C$2:'Rankings'!C$1000,MATCH(SMALL(Rankings!I$2:'Rankings'!I$1000,ROW()),Rankings!I$2:'Rankings'!I$1000,0))</f>
        <v>Alena Vojtekova</v>
      </c>
      <c r="B16" s="340" t="str">
        <f>VLOOKUP(A16,Rankings!C:E,3,FALSE)</f>
        <v>f</v>
      </c>
    </row>
    <row r="17" spans="1:2" x14ac:dyDescent="0.2">
      <c r="A17" s="356" t="str">
        <f>INDEX(Rankings!C$2:'Rankings'!C$1000,MATCH(SMALL(Rankings!I$2:'Rankings'!I$1000,ROW()),Rankings!I$2:'Rankings'!I$1000,0))</f>
        <v>Alessandro Berra</v>
      </c>
      <c r="B17" s="340" t="str">
        <f>VLOOKUP(A17,Rankings!C:E,3,FALSE)</f>
        <v>m</v>
      </c>
    </row>
    <row r="18" spans="1:2" x14ac:dyDescent="0.2">
      <c r="A18" s="356" t="str">
        <f>INDEX(Rankings!C$2:'Rankings'!C$1000,MATCH(SMALL(Rankings!I$2:'Rankings'!I$1000,ROW()),Rankings!I$2:'Rankings'!I$1000,0))</f>
        <v>Alessandro Collerà</v>
      </c>
      <c r="B18" s="340" t="str">
        <f>VLOOKUP(A18,Rankings!C:E,3,FALSE)</f>
        <v>m</v>
      </c>
    </row>
    <row r="19" spans="1:2" x14ac:dyDescent="0.2">
      <c r="A19" s="356" t="str">
        <f>INDEX(Rankings!C$2:'Rankings'!C$1000,MATCH(SMALL(Rankings!I$2:'Rankings'!I$1000,ROW()),Rankings!I$2:'Rankings'!I$1000,0))</f>
        <v>Alessandro Damiano</v>
      </c>
      <c r="B19" s="340" t="str">
        <f>VLOOKUP(A19,Rankings!C:E,3,FALSE)</f>
        <v>m</v>
      </c>
    </row>
    <row r="20" spans="1:2" x14ac:dyDescent="0.2">
      <c r="A20" s="356" t="str">
        <f>INDEX(Rankings!C$2:'Rankings'!C$1000,MATCH(SMALL(Rankings!I$2:'Rankings'!I$1000,ROW()),Rankings!I$2:'Rankings'!I$1000,0))</f>
        <v>Alessandro Fogazzi</v>
      </c>
      <c r="B20" s="340" t="str">
        <f>VLOOKUP(A20,Rankings!C:E,3,FALSE)</f>
        <v>m</v>
      </c>
    </row>
    <row r="21" spans="1:2" x14ac:dyDescent="0.2">
      <c r="A21" s="356" t="str">
        <f>INDEX(Rankings!C$2:'Rankings'!C$1000,MATCH(SMALL(Rankings!I$2:'Rankings'!I$1000,ROW()),Rankings!I$2:'Rankings'!I$1000,0))</f>
        <v>Alessandro Provitali</v>
      </c>
      <c r="B21" s="340" t="str">
        <f>VLOOKUP(A21,Rankings!C:E,3,FALSE)</f>
        <v>m</v>
      </c>
    </row>
    <row r="22" spans="1:2" x14ac:dyDescent="0.2">
      <c r="A22" s="356" t="str">
        <f>INDEX(Rankings!C$2:'Rankings'!C$1000,MATCH(SMALL(Rankings!I$2:'Rankings'!I$1000,ROW()),Rankings!I$2:'Rankings'!I$1000,0))</f>
        <v>Alessandro Tamassia</v>
      </c>
      <c r="B22" s="340" t="str">
        <f>VLOOKUP(A22,Rankings!C:E,3,FALSE)</f>
        <v>m</v>
      </c>
    </row>
    <row r="23" spans="1:2" x14ac:dyDescent="0.2">
      <c r="A23" s="356" t="str">
        <f>INDEX(Rankings!C$2:'Rankings'!C$1000,MATCH(SMALL(Rankings!I$2:'Rankings'!I$1000,ROW()),Rankings!I$2:'Rankings'!I$1000,0))</f>
        <v>Alessandro Vinciguerra</v>
      </c>
      <c r="B23" s="340" t="str">
        <f>VLOOKUP(A23,Rankings!C:E,3,FALSE)</f>
        <v>m</v>
      </c>
    </row>
    <row r="24" spans="1:2" x14ac:dyDescent="0.2">
      <c r="A24" s="356" t="str">
        <f>INDEX(Rankings!C$2:'Rankings'!C$1000,MATCH(SMALL(Rankings!I$2:'Rankings'!I$1000,ROW()),Rankings!I$2:'Rankings'!I$1000,0))</f>
        <v>Alex Alexandrov</v>
      </c>
      <c r="B24" s="340" t="str">
        <f>VLOOKUP(A24,Rankings!C:E,3,FALSE)</f>
        <v>m</v>
      </c>
    </row>
    <row r="25" spans="1:2" x14ac:dyDescent="0.2">
      <c r="A25" s="356" t="str">
        <f>INDEX(Rankings!C$2:'Rankings'!C$1000,MATCH(SMALL(Rankings!I$2:'Rankings'!I$1000,ROW()),Rankings!I$2:'Rankings'!I$1000,0))</f>
        <v>Alex Humphreys</v>
      </c>
      <c r="B25" s="340" t="str">
        <f>VLOOKUP(A25,Rankings!C:E,3,FALSE)</f>
        <v>m</v>
      </c>
    </row>
    <row r="26" spans="1:2" x14ac:dyDescent="0.2">
      <c r="A26" s="356" t="str">
        <f>INDEX(Rankings!C$2:'Rankings'!C$1000,MATCH(SMALL(Rankings!I$2:'Rankings'!I$1000,ROW()),Rankings!I$2:'Rankings'!I$1000,0))</f>
        <v>Alex Leist</v>
      </c>
      <c r="B26" s="340" t="str">
        <f>VLOOKUP(A26,Rankings!C:E,3,FALSE)</f>
        <v>m</v>
      </c>
    </row>
    <row r="27" spans="1:2" x14ac:dyDescent="0.2">
      <c r="A27" s="356" t="str">
        <f>INDEX(Rankings!C$2:'Rankings'!C$1000,MATCH(SMALL(Rankings!I$2:'Rankings'!I$1000,ROW()),Rankings!I$2:'Rankings'!I$1000,0))</f>
        <v>Alex Wenger</v>
      </c>
      <c r="B27" s="340" t="str">
        <f>VLOOKUP(A27,Rankings!C:E,3,FALSE)</f>
        <v>m</v>
      </c>
    </row>
    <row r="28" spans="1:2" x14ac:dyDescent="0.2">
      <c r="A28" s="356" t="str">
        <f>INDEX(Rankings!C$2:'Rankings'!C$1000,MATCH(SMALL(Rankings!I$2:'Rankings'!I$1000,ROW()),Rankings!I$2:'Rankings'!I$1000,0))</f>
        <v>Alexander Enhuber</v>
      </c>
      <c r="B28" s="340" t="str">
        <f>VLOOKUP(A28,Rankings!C:E,3,FALSE)</f>
        <v>m</v>
      </c>
    </row>
    <row r="29" spans="1:2" x14ac:dyDescent="0.2">
      <c r="A29" s="356" t="str">
        <f>INDEX(Rankings!C$2:'Rankings'!C$1000,MATCH(SMALL(Rankings!I$2:'Rankings'!I$1000,ROW()),Rankings!I$2:'Rankings'!I$1000,0))</f>
        <v>Alexander Michnewitsch</v>
      </c>
      <c r="B29" s="340" t="str">
        <f>VLOOKUP(A29,Rankings!C:E,3,FALSE)</f>
        <v>m</v>
      </c>
    </row>
    <row r="30" spans="1:2" x14ac:dyDescent="0.2">
      <c r="A30" s="356" t="str">
        <f>INDEX(Rankings!C$2:'Rankings'!C$1000,MATCH(SMALL(Rankings!I$2:'Rankings'!I$1000,ROW()),Rankings!I$2:'Rankings'!I$1000,0))</f>
        <v>Alexander Trenner</v>
      </c>
      <c r="B30" s="340" t="str">
        <f>VLOOKUP(A30,Rankings!C:E,3,FALSE)</f>
        <v>m</v>
      </c>
    </row>
    <row r="31" spans="1:2" x14ac:dyDescent="0.2">
      <c r="A31" s="356" t="str">
        <f>INDEX(Rankings!C$2:'Rankings'!C$1000,MATCH(SMALL(Rankings!I$2:'Rankings'!I$1000,ROW()),Rankings!I$2:'Rankings'!I$1000,0))</f>
        <v>Alfonso Lopez Velez</v>
      </c>
      <c r="B31" s="340" t="str">
        <f>VLOOKUP(A31,Rankings!C:E,3,FALSE)</f>
        <v>m</v>
      </c>
    </row>
    <row r="32" spans="1:2" x14ac:dyDescent="0.2">
      <c r="A32" s="356" t="str">
        <f>INDEX(Rankings!C$2:'Rankings'!C$1000,MATCH(SMALL(Rankings!I$2:'Rankings'!I$1000,ROW()),Rankings!I$2:'Rankings'!I$1000,0))</f>
        <v>Ali Dastrandj</v>
      </c>
      <c r="B32" s="340" t="str">
        <f>VLOOKUP(A32,Rankings!C:E,3,FALSE)</f>
        <v>m</v>
      </c>
    </row>
    <row r="33" spans="1:2" x14ac:dyDescent="0.2">
      <c r="A33" s="356" t="str">
        <f>INDEX(Rankings!C$2:'Rankings'!C$1000,MATCH(SMALL(Rankings!I$2:'Rankings'!I$1000,ROW()),Rankings!I$2:'Rankings'!I$1000,0))</f>
        <v>Alice Tommazzini</v>
      </c>
      <c r="B33" s="340" t="str">
        <f>VLOOKUP(A33,Rankings!C:E,3,FALSE)</f>
        <v>f</v>
      </c>
    </row>
    <row r="34" spans="1:2" x14ac:dyDescent="0.2">
      <c r="A34" s="356" t="str">
        <f>INDEX(Rankings!C$2:'Rankings'!C$1000,MATCH(SMALL(Rankings!I$2:'Rankings'!I$1000,ROW()),Rankings!I$2:'Rankings'!I$1000,0))</f>
        <v>Allen Elliot</v>
      </c>
      <c r="B34" s="340" t="str">
        <f>VLOOKUP(A34,Rankings!C:E,3,FALSE)</f>
        <v>m</v>
      </c>
    </row>
    <row r="35" spans="1:2" x14ac:dyDescent="0.2">
      <c r="A35" s="356" t="str">
        <f>INDEX(Rankings!C$2:'Rankings'!C$1000,MATCH(SMALL(Rankings!I$2:'Rankings'!I$1000,ROW()),Rankings!I$2:'Rankings'!I$1000,0))</f>
        <v>Alon Hoffman</v>
      </c>
      <c r="B35" s="340" t="str">
        <f>VLOOKUP(A35,Rankings!C:E,3,FALSE)</f>
        <v>m</v>
      </c>
    </row>
    <row r="36" spans="1:2" x14ac:dyDescent="0.2">
      <c r="A36" s="356" t="str">
        <f>INDEX(Rankings!C$2:'Rankings'!C$1000,MATCH(SMALL(Rankings!I$2:'Rankings'!I$1000,ROW()),Rankings!I$2:'Rankings'!I$1000,0))</f>
        <v>Amir Hoshen</v>
      </c>
      <c r="B36" s="340" t="str">
        <f>VLOOKUP(A36,Rankings!C:E,3,FALSE)</f>
        <v>m</v>
      </c>
    </row>
    <row r="37" spans="1:2" x14ac:dyDescent="0.2">
      <c r="A37" s="356" t="str">
        <f>INDEX(Rankings!C$2:'Rankings'!C$1000,MATCH(SMALL(Rankings!I$2:'Rankings'!I$1000,ROW()),Rankings!I$2:'Rankings'!I$1000,0))</f>
        <v>Amy Campbell</v>
      </c>
      <c r="B37" s="340" t="str">
        <f>VLOOKUP(A37,Rankings!C:E,3,FALSE)</f>
        <v>f</v>
      </c>
    </row>
    <row r="38" spans="1:2" x14ac:dyDescent="0.2">
      <c r="A38" s="356" t="str">
        <f>INDEX(Rankings!C$2:'Rankings'!C$1000,MATCH(SMALL(Rankings!I$2:'Rankings'!I$1000,ROW()),Rankings!I$2:'Rankings'!I$1000,0))</f>
        <v>Amy Schiller</v>
      </c>
      <c r="B38" s="340" t="str">
        <f>VLOOKUP(A38,Rankings!C:E,3,FALSE)</f>
        <v>f</v>
      </c>
    </row>
    <row r="39" spans="1:2" x14ac:dyDescent="0.2">
      <c r="A39" s="356" t="str">
        <f>INDEX(Rankings!C$2:'Rankings'!C$1000,MATCH(SMALL(Rankings!I$2:'Rankings'!I$1000,ROW()),Rankings!I$2:'Rankings'!I$1000,0))</f>
        <v>Anders Johnsson</v>
      </c>
      <c r="B39" s="340" t="str">
        <f>VLOOKUP(A39,Rankings!C:E,3,FALSE)</f>
        <v>m</v>
      </c>
    </row>
    <row r="40" spans="1:2" x14ac:dyDescent="0.2">
      <c r="A40" s="356" t="str">
        <f>INDEX(Rankings!C$2:'Rankings'!C$1000,MATCH(SMALL(Rankings!I$2:'Rankings'!I$1000,ROW()),Rankings!I$2:'Rankings'!I$1000,0))</f>
        <v>André Hillman</v>
      </c>
      <c r="B40" s="340" t="str">
        <f>VLOOKUP(A40,Rankings!C:E,3,FALSE)</f>
        <v>m</v>
      </c>
    </row>
    <row r="41" spans="1:2" x14ac:dyDescent="0.2">
      <c r="A41" s="356" t="str">
        <f>INDEX(Rankings!C$2:'Rankings'!C$1000,MATCH(SMALL(Rankings!I$2:'Rankings'!I$1000,ROW()),Rankings!I$2:'Rankings'!I$1000,0))</f>
        <v>Andre Zaharias</v>
      </c>
      <c r="B41" s="340" t="str">
        <f>VLOOKUP(A41,Rankings!C:E,3,FALSE)</f>
        <v>m</v>
      </c>
    </row>
    <row r="42" spans="1:2" x14ac:dyDescent="0.2">
      <c r="A42" s="356" t="str">
        <f>INDEX(Rankings!C$2:'Rankings'!C$1000,MATCH(SMALL(Rankings!I$2:'Rankings'!I$1000,ROW()),Rankings!I$2:'Rankings'!I$1000,0))</f>
        <v>Andrea "Oddi" Furlan</v>
      </c>
      <c r="B42" s="340" t="str">
        <f>VLOOKUP(A42,Rankings!C:E,3,FALSE)</f>
        <v>m</v>
      </c>
    </row>
    <row r="43" spans="1:2" x14ac:dyDescent="0.2">
      <c r="A43" s="356" t="str">
        <f>INDEX(Rankings!C$2:'Rankings'!C$1000,MATCH(SMALL(Rankings!I$2:'Rankings'!I$1000,ROW()),Rankings!I$2:'Rankings'!I$1000,0))</f>
        <v>Andrea Arfilli</v>
      </c>
      <c r="B43" s="340" t="str">
        <f>VLOOKUP(A43,Rankings!C:E,3,FALSE)</f>
        <v>m</v>
      </c>
    </row>
    <row r="44" spans="1:2" x14ac:dyDescent="0.2">
      <c r="A44" s="356" t="str">
        <f>INDEX(Rankings!C$2:'Rankings'!C$1000,MATCH(SMALL(Rankings!I$2:'Rankings'!I$1000,ROW()),Rankings!I$2:'Rankings'!I$1000,0))</f>
        <v>Andrea Corizzo</v>
      </c>
      <c r="B44" s="340" t="str">
        <f>VLOOKUP(A44,Rankings!C:E,3,FALSE)</f>
        <v>m</v>
      </c>
    </row>
    <row r="45" spans="1:2" x14ac:dyDescent="0.2">
      <c r="A45" s="356" t="str">
        <f>INDEX(Rankings!C$2:'Rankings'!C$1000,MATCH(SMALL(Rankings!I$2:'Rankings'!I$1000,ROW()),Rankings!I$2:'Rankings'!I$1000,0))</f>
        <v>Andrea Dini</v>
      </c>
      <c r="B45" s="340" t="str">
        <f>VLOOKUP(A45,Rankings!C:E,3,FALSE)</f>
        <v>m</v>
      </c>
    </row>
    <row r="46" spans="1:2" x14ac:dyDescent="0.2">
      <c r="A46" s="356" t="str">
        <f>INDEX(Rankings!C$2:'Rankings'!C$1000,MATCH(SMALL(Rankings!I$2:'Rankings'!I$1000,ROW()),Rankings!I$2:'Rankings'!I$1000,0))</f>
        <v>Andrea Festi</v>
      </c>
      <c r="B46" s="340" t="str">
        <f>VLOOKUP(A46,Rankings!C:E,3,FALSE)</f>
        <v>m</v>
      </c>
    </row>
    <row r="47" spans="1:2" x14ac:dyDescent="0.2">
      <c r="A47" s="356" t="str">
        <f>INDEX(Rankings!C$2:'Rankings'!C$1000,MATCH(SMALL(Rankings!I$2:'Rankings'!I$1000,ROW()),Rankings!I$2:'Rankings'!I$1000,0))</f>
        <v>Andrea Gallotti</v>
      </c>
      <c r="B47" s="340" t="str">
        <f>VLOOKUP(A47,Rankings!C:E,3,FALSE)</f>
        <v>m</v>
      </c>
    </row>
    <row r="48" spans="1:2" x14ac:dyDescent="0.2">
      <c r="A48" s="356" t="str">
        <f>INDEX(Rankings!C$2:'Rankings'!C$1000,MATCH(SMALL(Rankings!I$2:'Rankings'!I$1000,ROW()),Rankings!I$2:'Rankings'!I$1000,0))</f>
        <v>Andrea Girodo</v>
      </c>
      <c r="B48" s="340" t="str">
        <f>VLOOKUP(A48,Rankings!C:E,3,FALSE)</f>
        <v>m</v>
      </c>
    </row>
    <row r="49" spans="1:2" x14ac:dyDescent="0.2">
      <c r="A49" s="356" t="str">
        <f>INDEX(Rankings!C$2:'Rankings'!C$1000,MATCH(SMALL(Rankings!I$2:'Rankings'!I$1000,ROW()),Rankings!I$2:'Rankings'!I$1000,0))</f>
        <v>Andrea Izzo</v>
      </c>
      <c r="B49" s="340" t="str">
        <f>VLOOKUP(A49,Rankings!C:E,3,FALSE)</f>
        <v>m</v>
      </c>
    </row>
    <row r="50" spans="1:2" x14ac:dyDescent="0.2">
      <c r="A50" s="356" t="str">
        <f>INDEX(Rankings!C$2:'Rankings'!C$1000,MATCH(SMALL(Rankings!I$2:'Rankings'!I$1000,ROW()),Rankings!I$2:'Rankings'!I$1000,0))</f>
        <v>Andrea Ludergnani</v>
      </c>
      <c r="B50" s="340" t="str">
        <f>VLOOKUP(A50,Rankings!C:E,3,FALSE)</f>
        <v>m</v>
      </c>
    </row>
    <row r="51" spans="1:2" x14ac:dyDescent="0.2">
      <c r="A51" s="356" t="str">
        <f>INDEX(Rankings!C$2:'Rankings'!C$1000,MATCH(SMALL(Rankings!I$2:'Rankings'!I$1000,ROW()),Rankings!I$2:'Rankings'!I$1000,0))</f>
        <v>Andrea Lugli</v>
      </c>
      <c r="B51" s="340" t="str">
        <f>VLOOKUP(A51,Rankings!C:E,3,FALSE)</f>
        <v>m</v>
      </c>
    </row>
    <row r="52" spans="1:2" x14ac:dyDescent="0.2">
      <c r="A52" s="356" t="str">
        <f>INDEX(Rankings!C$2:'Rankings'!C$1000,MATCH(SMALL(Rankings!I$2:'Rankings'!I$1000,ROW()),Rankings!I$2:'Rankings'!I$1000,0))</f>
        <v>Andrea Marciano</v>
      </c>
      <c r="B52" s="340" t="str">
        <f>VLOOKUP(A52,Rankings!C:E,3,FALSE)</f>
        <v>m</v>
      </c>
    </row>
    <row r="53" spans="1:2" x14ac:dyDescent="0.2">
      <c r="A53" s="356" t="str">
        <f>INDEX(Rankings!C$2:'Rankings'!C$1000,MATCH(SMALL(Rankings!I$2:'Rankings'!I$1000,ROW()),Rankings!I$2:'Rankings'!I$1000,0))</f>
        <v>Andrea Meola</v>
      </c>
      <c r="B53" s="340" t="str">
        <f>VLOOKUP(A53,Rankings!C:E,3,FALSE)</f>
        <v>m</v>
      </c>
    </row>
    <row r="54" spans="1:2" x14ac:dyDescent="0.2">
      <c r="A54" s="356" t="str">
        <f>INDEX(Rankings!C$2:'Rankings'!C$1000,MATCH(SMALL(Rankings!I$2:'Rankings'!I$1000,ROW()),Rankings!I$2:'Rankings'!I$1000,0))</f>
        <v>Andrea Pecchiari</v>
      </c>
      <c r="B54" s="340" t="str">
        <f>VLOOKUP(A54,Rankings!C:E,3,FALSE)</f>
        <v>m</v>
      </c>
    </row>
    <row r="55" spans="1:2" x14ac:dyDescent="0.2">
      <c r="A55" s="356" t="str">
        <f>INDEX(Rankings!C$2:'Rankings'!C$1000,MATCH(SMALL(Rankings!I$2:'Rankings'!I$1000,ROW()),Rankings!I$2:'Rankings'!I$1000,0))</f>
        <v>Andrea Piemontese</v>
      </c>
      <c r="B55" s="340" t="str">
        <f>VLOOKUP(A55,Rankings!C:E,3,FALSE)</f>
        <v>m</v>
      </c>
    </row>
    <row r="56" spans="1:2" x14ac:dyDescent="0.2">
      <c r="A56" s="356" t="str">
        <f>INDEX(Rankings!C$2:'Rankings'!C$1000,MATCH(SMALL(Rankings!I$2:'Rankings'!I$1000,ROW()),Rankings!I$2:'Rankings'!I$1000,0))</f>
        <v>Andrea Pietrangeli</v>
      </c>
      <c r="B56" s="340" t="str">
        <f>VLOOKUP(A56,Rankings!C:E,3,FALSE)</f>
        <v>m</v>
      </c>
    </row>
    <row r="57" spans="1:2" x14ac:dyDescent="0.2">
      <c r="A57" s="356" t="str">
        <f>INDEX(Rankings!C$2:'Rankings'!C$1000,MATCH(SMALL(Rankings!I$2:'Rankings'!I$1000,ROW()),Rankings!I$2:'Rankings'!I$1000,0))</f>
        <v>Andrea Poli</v>
      </c>
      <c r="B57" s="340" t="str">
        <f>VLOOKUP(A57,Rankings!C:E,3,FALSE)</f>
        <v>m</v>
      </c>
    </row>
    <row r="58" spans="1:2" x14ac:dyDescent="0.2">
      <c r="A58" s="356" t="str">
        <f>INDEX(Rankings!C$2:'Rankings'!C$1000,MATCH(SMALL(Rankings!I$2:'Rankings'!I$1000,ROW()),Rankings!I$2:'Rankings'!I$1000,0))</f>
        <v>Andrea Rimatori</v>
      </c>
      <c r="B58" s="340" t="str">
        <f>VLOOKUP(A58,Rankings!C:E,3,FALSE)</f>
        <v>m</v>
      </c>
    </row>
    <row r="59" spans="1:2" x14ac:dyDescent="0.2">
      <c r="A59" s="356" t="str">
        <f>INDEX(Rankings!C$2:'Rankings'!C$1000,MATCH(SMALL(Rankings!I$2:'Rankings'!I$1000,ROW()),Rankings!I$2:'Rankings'!I$1000,0))</f>
        <v>Andrea Sarti</v>
      </c>
      <c r="B59" s="340" t="str">
        <f>VLOOKUP(A59,Rankings!C:E,3,FALSE)</f>
        <v>m</v>
      </c>
    </row>
    <row r="60" spans="1:2" x14ac:dyDescent="0.2">
      <c r="A60" s="356" t="str">
        <f>INDEX(Rankings!C$2:'Rankings'!C$1000,MATCH(SMALL(Rankings!I$2:'Rankings'!I$1000,ROW()),Rankings!I$2:'Rankings'!I$1000,0))</f>
        <v>Andrea Stazi</v>
      </c>
      <c r="B60" s="340" t="str">
        <f>VLOOKUP(A60,Rankings!C:E,3,FALSE)</f>
        <v>m</v>
      </c>
    </row>
    <row r="61" spans="1:2" x14ac:dyDescent="0.2">
      <c r="A61" s="356" t="str">
        <f>INDEX(Rankings!C$2:'Rankings'!C$1000,MATCH(SMALL(Rankings!I$2:'Rankings'!I$1000,ROW()),Rankings!I$2:'Rankings'!I$1000,0))</f>
        <v>Andreas Bochmann</v>
      </c>
      <c r="B61" s="340" t="str">
        <f>VLOOKUP(A61,Rankings!C:E,3,FALSE)</f>
        <v>m</v>
      </c>
    </row>
    <row r="62" spans="1:2" x14ac:dyDescent="0.2">
      <c r="A62" s="356" t="str">
        <f>INDEX(Rankings!C$2:'Rankings'!C$1000,MATCH(SMALL(Rankings!I$2:'Rankings'!I$1000,ROW()),Rankings!I$2:'Rankings'!I$1000,0))</f>
        <v>Andreas Jaderyd</v>
      </c>
      <c r="B62" s="340" t="str">
        <f>VLOOKUP(A62,Rankings!C:E,3,FALSE)</f>
        <v>m</v>
      </c>
    </row>
    <row r="63" spans="1:2" x14ac:dyDescent="0.2">
      <c r="A63" s="356" t="str">
        <f>INDEX(Rankings!C$2:'Rankings'!C$1000,MATCH(SMALL(Rankings!I$2:'Rankings'!I$1000,ROW()),Rankings!I$2:'Rankings'!I$1000,0))</f>
        <v>Andreas Nogay</v>
      </c>
      <c r="B63" s="340" t="str">
        <f>VLOOKUP(A63,Rankings!C:E,3,FALSE)</f>
        <v>m</v>
      </c>
    </row>
    <row r="64" spans="1:2" x14ac:dyDescent="0.2">
      <c r="A64" s="356" t="str">
        <f>INDEX(Rankings!C$2:'Rankings'!C$1000,MATCH(SMALL(Rankings!I$2:'Rankings'!I$1000,ROW()),Rankings!I$2:'Rankings'!I$1000,0))</f>
        <v>Andres Rivera</v>
      </c>
      <c r="B64" s="340" t="str">
        <f>VLOOKUP(A64,Rankings!C:E,3,FALSE)</f>
        <v>m</v>
      </c>
    </row>
    <row r="65" spans="1:2" x14ac:dyDescent="0.2">
      <c r="A65" s="356" t="str">
        <f>INDEX(Rankings!C$2:'Rankings'!C$1000,MATCH(SMALL(Rankings!I$2:'Rankings'!I$1000,ROW()),Rankings!I$2:'Rankings'!I$1000,0))</f>
        <v>Andres Serna</v>
      </c>
      <c r="B65" s="340" t="str">
        <f>VLOOKUP(A65,Rankings!C:E,3,FALSE)</f>
        <v>m</v>
      </c>
    </row>
    <row r="66" spans="1:2" x14ac:dyDescent="0.2">
      <c r="A66" s="356" t="str">
        <f>INDEX(Rankings!C$2:'Rankings'!C$1000,MATCH(SMALL(Rankings!I$2:'Rankings'!I$1000,ROW()),Rankings!I$2:'Rankings'!I$1000,0))</f>
        <v>Andrew Lemann</v>
      </c>
      <c r="B66" s="340" t="str">
        <f>VLOOKUP(A66,Rankings!C:E,3,FALSE)</f>
        <v>m</v>
      </c>
    </row>
    <row r="67" spans="1:2" x14ac:dyDescent="0.2">
      <c r="A67" s="356" t="str">
        <f>INDEX(Rankings!C$2:'Rankings'!C$1000,MATCH(SMALL(Rankings!I$2:'Rankings'!I$1000,ROW()),Rankings!I$2:'Rankings'!I$1000,0))</f>
        <v>Andrew Quinn</v>
      </c>
      <c r="B67" s="340" t="str">
        <f>VLOOKUP(A67,Rankings!C:E,3,FALSE)</f>
        <v>m</v>
      </c>
    </row>
    <row r="68" spans="1:2" x14ac:dyDescent="0.2">
      <c r="A68" s="356" t="str">
        <f>INDEX(Rankings!C$2:'Rankings'!C$1000,MATCH(SMALL(Rankings!I$2:'Rankings'!I$1000,ROW()),Rankings!I$2:'Rankings'!I$1000,0))</f>
        <v>Andrew Van Lanen</v>
      </c>
      <c r="B68" s="340" t="str">
        <f>VLOOKUP(A68,Rankings!C:E,3,FALSE)</f>
        <v>m</v>
      </c>
    </row>
    <row r="69" spans="1:2" x14ac:dyDescent="0.2">
      <c r="A69" s="356" t="str">
        <f>INDEX(Rankings!C$2:'Rankings'!C$1000,MATCH(SMALL(Rankings!I$2:'Rankings'!I$1000,ROW()),Rankings!I$2:'Rankings'!I$1000,0))</f>
        <v>Andy Absolom</v>
      </c>
      <c r="B69" s="340" t="str">
        <f>VLOOKUP(A69,Rankings!C:E,3,FALSE)</f>
        <v>m</v>
      </c>
    </row>
    <row r="70" spans="1:2" x14ac:dyDescent="0.2">
      <c r="A70" s="356" t="str">
        <f>INDEX(Rankings!C$2:'Rankings'!C$1000,MATCH(SMALL(Rankings!I$2:'Rankings'!I$1000,ROW()),Rankings!I$2:'Rankings'!I$1000,0))</f>
        <v>Angela Goeller</v>
      </c>
      <c r="B70" s="340" t="str">
        <f>VLOOKUP(A70,Rankings!C:E,3,FALSE)</f>
        <v>f</v>
      </c>
    </row>
    <row r="71" spans="1:2" x14ac:dyDescent="0.2">
      <c r="A71" s="356" t="str">
        <f>INDEX(Rankings!C$2:'Rankings'!C$1000,MATCH(SMALL(Rankings!I$2:'Rankings'!I$1000,ROW()),Rankings!I$2:'Rankings'!I$1000,0))</f>
        <v>Angela Polla Cusma</v>
      </c>
      <c r="B71" s="340" t="str">
        <f>VLOOKUP(A71,Rankings!C:E,3,FALSE)</f>
        <v>f</v>
      </c>
    </row>
    <row r="72" spans="1:2" x14ac:dyDescent="0.2">
      <c r="A72" s="356" t="str">
        <f>INDEX(Rankings!C$2:'Rankings'!C$1000,MATCH(SMALL(Rankings!I$2:'Rankings'!I$1000,ROW()),Rankings!I$2:'Rankings'!I$1000,0))</f>
        <v>Angelo Mancarella</v>
      </c>
      <c r="B72" s="340" t="str">
        <f>VLOOKUP(A72,Rankings!C:E,3,FALSE)</f>
        <v>m</v>
      </c>
    </row>
    <row r="73" spans="1:2" x14ac:dyDescent="0.2">
      <c r="A73" s="356" t="str">
        <f>INDEX(Rankings!C$2:'Rankings'!C$1000,MATCH(SMALL(Rankings!I$2:'Rankings'!I$1000,ROW()),Rankings!I$2:'Rankings'!I$1000,0))</f>
        <v>Angelo Trevino</v>
      </c>
      <c r="B73" s="340" t="str">
        <f>VLOOKUP(A73,Rankings!C:E,3,FALSE)</f>
        <v>m</v>
      </c>
    </row>
    <row r="74" spans="1:2" x14ac:dyDescent="0.2">
      <c r="A74" s="356" t="str">
        <f>INDEX(Rankings!C$2:'Rankings'!C$1000,MATCH(SMALL(Rankings!I$2:'Rankings'!I$1000,ROW()),Rankings!I$2:'Rankings'!I$1000,0))</f>
        <v>Anna Bragagnolo</v>
      </c>
      <c r="B74" s="340" t="str">
        <f>VLOOKUP(A74,Rankings!C:E,3,FALSE)</f>
        <v>f</v>
      </c>
    </row>
    <row r="75" spans="1:2" x14ac:dyDescent="0.2">
      <c r="A75" s="356" t="str">
        <f>INDEX(Rankings!C$2:'Rankings'!C$1000,MATCH(SMALL(Rankings!I$2:'Rankings'!I$1000,ROW()),Rankings!I$2:'Rankings'!I$1000,0))</f>
        <v>Anna Duran-Korzycka</v>
      </c>
      <c r="B75" s="340" t="str">
        <f>VLOOKUP(A75,Rankings!C:E,3,FALSE)</f>
        <v>f</v>
      </c>
    </row>
    <row r="76" spans="1:2" x14ac:dyDescent="0.2">
      <c r="A76" s="356" t="str">
        <f>INDEX(Rankings!C$2:'Rankings'!C$1000,MATCH(SMALL(Rankings!I$2:'Rankings'!I$1000,ROW()),Rankings!I$2:'Rankings'!I$1000,0))</f>
        <v>Anna Longoni</v>
      </c>
      <c r="B76" s="340" t="str">
        <f>VLOOKUP(A76,Rankings!C:E,3,FALSE)</f>
        <v>f</v>
      </c>
    </row>
    <row r="77" spans="1:2" x14ac:dyDescent="0.2">
      <c r="A77" s="356" t="str">
        <f>INDEX(Rankings!C$2:'Rankings'!C$1000,MATCH(SMALL(Rankings!I$2:'Rankings'!I$1000,ROW()),Rankings!I$2:'Rankings'!I$1000,0))</f>
        <v>Anna Merlo</v>
      </c>
      <c r="B77" s="340" t="str">
        <f>VLOOKUP(A77,Rankings!C:E,3,FALSE)</f>
        <v>f</v>
      </c>
    </row>
    <row r="78" spans="1:2" x14ac:dyDescent="0.2">
      <c r="A78" s="356" t="str">
        <f>INDEX(Rankings!C$2:'Rankings'!C$1000,MATCH(SMALL(Rankings!I$2:'Rankings'!I$1000,ROW()),Rankings!I$2:'Rankings'!I$1000,0))</f>
        <v>Anna Strait</v>
      </c>
      <c r="B78" s="340" t="str">
        <f>VLOOKUP(A78,Rankings!C:E,3,FALSE)</f>
        <v>f</v>
      </c>
    </row>
    <row r="79" spans="1:2" x14ac:dyDescent="0.2">
      <c r="A79" s="356" t="str">
        <f>INDEX(Rankings!C$2:'Rankings'!C$1000,MATCH(SMALL(Rankings!I$2:'Rankings'!I$1000,ROW()),Rankings!I$2:'Rankings'!I$1000,0))</f>
        <v>Annalisa Bergonzoni</v>
      </c>
      <c r="B79" s="340" t="str">
        <f>VLOOKUP(A79,Rankings!C:E,3,FALSE)</f>
        <v>f</v>
      </c>
    </row>
    <row r="80" spans="1:2" x14ac:dyDescent="0.2">
      <c r="A80" s="356" t="str">
        <f>INDEX(Rankings!C$2:'Rankings'!C$1000,MATCH(SMALL(Rankings!I$2:'Rankings'!I$1000,ROW()),Rankings!I$2:'Rankings'!I$1000,0))</f>
        <v>Ann-Charlotte Johansson</v>
      </c>
      <c r="B80" s="340" t="str">
        <f>VLOOKUP(A80,Rankings!C:E,3,FALSE)</f>
        <v>f</v>
      </c>
    </row>
    <row r="81" spans="1:2" x14ac:dyDescent="0.2">
      <c r="A81" s="356" t="str">
        <f>INDEX(Rankings!C$2:'Rankings'!C$1000,MATCH(SMALL(Rankings!I$2:'Rankings'!I$1000,ROW()),Rankings!I$2:'Rankings'!I$1000,0))</f>
        <v>Anne Goh</v>
      </c>
      <c r="B81" s="340" t="str">
        <f>VLOOKUP(A81,Rankings!C:E,3,FALSE)</f>
        <v>f</v>
      </c>
    </row>
    <row r="82" spans="1:2" x14ac:dyDescent="0.2">
      <c r="A82" s="356" t="str">
        <f>INDEX(Rankings!C$2:'Rankings'!C$1000,MATCH(SMALL(Rankings!I$2:'Rankings'!I$1000,ROW()),Rankings!I$2:'Rankings'!I$1000,0))</f>
        <v>Anton Capellmann</v>
      </c>
      <c r="B82" s="340" t="str">
        <f>VLOOKUP(A82,Rankings!C:E,3,FALSE)</f>
        <v>m</v>
      </c>
    </row>
    <row r="83" spans="1:2" x14ac:dyDescent="0.2">
      <c r="A83" s="356" t="str">
        <f>INDEX(Rankings!C$2:'Rankings'!C$1000,MATCH(SMALL(Rankings!I$2:'Rankings'!I$1000,ROW()),Rankings!I$2:'Rankings'!I$1000,0))</f>
        <v>Anton Kappling</v>
      </c>
      <c r="B83" s="340" t="str">
        <f>VLOOKUP(A83,Rankings!C:E,3,FALSE)</f>
        <v>m</v>
      </c>
    </row>
    <row r="84" spans="1:2" x14ac:dyDescent="0.2">
      <c r="A84" s="356" t="str">
        <f>INDEX(Rankings!C$2:'Rankings'!C$1000,MATCH(SMALL(Rankings!I$2:'Rankings'!I$1000,ROW()),Rankings!I$2:'Rankings'!I$1000,0))</f>
        <v>Anton Lindh</v>
      </c>
      <c r="B84" s="340" t="str">
        <f>VLOOKUP(A84,Rankings!C:E,3,FALSE)</f>
        <v>m</v>
      </c>
    </row>
    <row r="85" spans="1:2" x14ac:dyDescent="0.2">
      <c r="A85" s="356" t="str">
        <f>INDEX(Rankings!C$2:'Rankings'!C$1000,MATCH(SMALL(Rankings!I$2:'Rankings'!I$1000,ROW()),Rankings!I$2:'Rankings'!I$1000,0))</f>
        <v>Antonio Attanasio</v>
      </c>
      <c r="B85" s="340" t="str">
        <f>VLOOKUP(A85,Rankings!C:E,3,FALSE)</f>
        <v>m</v>
      </c>
    </row>
    <row r="86" spans="1:2" x14ac:dyDescent="0.2">
      <c r="A86" s="356" t="str">
        <f>INDEX(Rankings!C$2:'Rankings'!C$1000,MATCH(SMALL(Rankings!I$2:'Rankings'!I$1000,ROW()),Rankings!I$2:'Rankings'!I$1000,0))</f>
        <v>Antonio Caporale</v>
      </c>
      <c r="B86" s="340" t="str">
        <f>VLOOKUP(A86,Rankings!C:E,3,FALSE)</f>
        <v>m</v>
      </c>
    </row>
    <row r="87" spans="1:2" x14ac:dyDescent="0.2">
      <c r="A87" s="356" t="str">
        <f>INDEX(Rankings!C$2:'Rankings'!C$1000,MATCH(SMALL(Rankings!I$2:'Rankings'!I$1000,ROW()),Rankings!I$2:'Rankings'!I$1000,0))</f>
        <v>Antonio Iannettone</v>
      </c>
      <c r="B87" s="340" t="str">
        <f>VLOOKUP(A87,Rankings!C:E,3,FALSE)</f>
        <v>m</v>
      </c>
    </row>
    <row r="88" spans="1:2" x14ac:dyDescent="0.2">
      <c r="A88" s="356" t="str">
        <f>INDEX(Rankings!C$2:'Rankings'!C$1000,MATCH(SMALL(Rankings!I$2:'Rankings'!I$1000,ROW()),Rankings!I$2:'Rankings'!I$1000,0))</f>
        <v>Antonio Piccione Cusmá</v>
      </c>
      <c r="B88" s="340" t="str">
        <f>VLOOKUP(A88,Rankings!C:E,3,FALSE)</f>
        <v>m</v>
      </c>
    </row>
    <row r="89" spans="1:2" x14ac:dyDescent="0.2">
      <c r="A89" s="356" t="str">
        <f>INDEX(Rankings!C$2:'Rankings'!C$1000,MATCH(SMALL(Rankings!I$2:'Rankings'!I$1000,ROW()),Rankings!I$2:'Rankings'!I$1000,0))</f>
        <v>Ari Kloke</v>
      </c>
      <c r="B89" s="340" t="str">
        <f>VLOOKUP(A89,Rankings!C:E,3,FALSE)</f>
        <v>f</v>
      </c>
    </row>
    <row r="90" spans="1:2" x14ac:dyDescent="0.2">
      <c r="A90" s="356" t="str">
        <f>INDEX(Rankings!C$2:'Rankings'!C$1000,MATCH(SMALL(Rankings!I$2:'Rankings'!I$1000,ROW()),Rankings!I$2:'Rankings'!I$1000,0))</f>
        <v>Aria Andarizig</v>
      </c>
      <c r="B90" s="340" t="str">
        <f>VLOOKUP(A90,Rankings!C:E,3,FALSE)</f>
        <v>m</v>
      </c>
    </row>
    <row r="91" spans="1:2" x14ac:dyDescent="0.2">
      <c r="A91" s="356" t="str">
        <f>INDEX(Rankings!C$2:'Rankings'!C$1000,MATCH(SMALL(Rankings!I$2:'Rankings'!I$1000,ROW()),Rankings!I$2:'Rankings'!I$1000,0))</f>
        <v>Arnon Avitzur</v>
      </c>
      <c r="B91" s="340" t="str">
        <f>VLOOKUP(A91,Rankings!C:E,3,FALSE)</f>
        <v>m</v>
      </c>
    </row>
    <row r="92" spans="1:2" x14ac:dyDescent="0.2">
      <c r="A92" s="356" t="str">
        <f>INDEX(Rankings!C$2:'Rankings'!C$1000,MATCH(SMALL(Rankings!I$2:'Rankings'!I$1000,ROW()),Rankings!I$2:'Rankings'!I$1000,0))</f>
        <v>Art Viger</v>
      </c>
      <c r="B92" s="340" t="str">
        <f>VLOOKUP(A92,Rankings!C:E,3,FALSE)</f>
        <v>m</v>
      </c>
    </row>
    <row r="93" spans="1:2" x14ac:dyDescent="0.2">
      <c r="A93" s="356" t="str">
        <f>INDEX(Rankings!C$2:'Rankings'!C$1000,MATCH(SMALL(Rankings!I$2:'Rankings'!I$1000,ROW()),Rankings!I$2:'Rankings'!I$1000,0))</f>
        <v>Arthur Coddington</v>
      </c>
      <c r="B93" s="340" t="str">
        <f>VLOOKUP(A93,Rankings!C:E,3,FALSE)</f>
        <v>m</v>
      </c>
    </row>
    <row r="94" spans="1:2" x14ac:dyDescent="0.2">
      <c r="A94" s="356" t="str">
        <f>INDEX(Rankings!C$2:'Rankings'!C$1000,MATCH(SMALL(Rankings!I$2:'Rankings'!I$1000,ROW()),Rankings!I$2:'Rankings'!I$1000,0))</f>
        <v>Austin Borcherding</v>
      </c>
      <c r="B94" s="340" t="str">
        <f>VLOOKUP(A94,Rankings!C:E,3,FALSE)</f>
        <v>m</v>
      </c>
    </row>
    <row r="95" spans="1:2" x14ac:dyDescent="0.2">
      <c r="A95" s="356" t="str">
        <f>INDEX(Rankings!C$2:'Rankings'!C$1000,MATCH(SMALL(Rankings!I$2:'Rankings'!I$1000,ROW()),Rankings!I$2:'Rankings'!I$1000,0))</f>
        <v>Avery Jenkins</v>
      </c>
      <c r="B95" s="340" t="str">
        <f>VLOOKUP(A95,Rankings!C:E,3,FALSE)</f>
        <v>m</v>
      </c>
    </row>
    <row r="96" spans="1:2" x14ac:dyDescent="0.2">
      <c r="A96" s="356" t="str">
        <f>INDEX(Rankings!C$2:'Rankings'!C$1000,MATCH(SMALL(Rankings!I$2:'Rankings'!I$1000,ROW()),Rankings!I$2:'Rankings'!I$1000,0))</f>
        <v>Avihiy Haim</v>
      </c>
      <c r="B96" s="340" t="str">
        <f>VLOOKUP(A96,Rankings!C:E,3,FALSE)</f>
        <v>m</v>
      </c>
    </row>
    <row r="97" spans="1:2" x14ac:dyDescent="0.2">
      <c r="A97" s="356" t="str">
        <f>INDEX(Rankings!C$2:'Rankings'!C$1000,MATCH(SMALL(Rankings!I$2:'Rankings'!I$1000,ROW()),Rankings!I$2:'Rankings'!I$1000,0))</f>
        <v>Aya Ichikawa</v>
      </c>
      <c r="B97" s="340" t="str">
        <f>VLOOKUP(A97,Rankings!C:E,3,FALSE)</f>
        <v>f</v>
      </c>
    </row>
    <row r="98" spans="1:2" x14ac:dyDescent="0.2">
      <c r="A98" s="356" t="str">
        <f>INDEX(Rankings!C$2:'Rankings'!C$1000,MATCH(SMALL(Rankings!I$2:'Rankings'!I$1000,ROW()),Rankings!I$2:'Rankings'!I$1000,0))</f>
        <v>Ayal Benin</v>
      </c>
      <c r="B98" s="340" t="str">
        <f>VLOOKUP(A98,Rankings!C:E,3,FALSE)</f>
        <v>m</v>
      </c>
    </row>
    <row r="99" spans="1:2" x14ac:dyDescent="0.2">
      <c r="A99" s="356" t="str">
        <f>INDEX(Rankings!C$2:'Rankings'!C$1000,MATCH(SMALL(Rankings!I$2:'Rankings'!I$1000,ROW()),Rankings!I$2:'Rankings'!I$1000,0))</f>
        <v>Bailey Bonaci</v>
      </c>
      <c r="B99" s="340" t="str">
        <f>VLOOKUP(A99,Rankings!C:E,3,FALSE)</f>
        <v>f</v>
      </c>
    </row>
    <row r="100" spans="1:2" x14ac:dyDescent="0.2">
      <c r="A100" s="356" t="str">
        <f>INDEX(Rankings!C$2:'Rankings'!C$1000,MATCH(SMALL(Rankings!I$2:'Rankings'!I$1000,ROW()),Rankings!I$2:'Rankings'!I$1000,0))</f>
        <v>Balu Major</v>
      </c>
      <c r="B100" s="340" t="str">
        <f>VLOOKUP(A100,Rankings!C:E,3,FALSE)</f>
        <v>m</v>
      </c>
    </row>
    <row r="101" spans="1:2" x14ac:dyDescent="0.2">
      <c r="A101" s="356" t="str">
        <f>INDEX(Rankings!C$2:'Rankings'!C$1000,MATCH(SMALL(Rankings!I$2:'Rankings'!I$1000,ROW()),Rankings!I$2:'Rankings'!I$1000,0))</f>
        <v>Bar Bendek</v>
      </c>
      <c r="B101" s="340" t="str">
        <f>VLOOKUP(A101,Rankings!C:E,3,FALSE)</f>
        <v>f</v>
      </c>
    </row>
    <row r="102" spans="1:2" x14ac:dyDescent="0.2">
      <c r="A102" s="356" t="str">
        <f>INDEX(Rankings!C$2:'Rankings'!C$1000,MATCH(SMALL(Rankings!I$2:'Rankings'!I$1000,ROW()),Rankings!I$2:'Rankings'!I$1000,0))</f>
        <v>Bart Lodewijk</v>
      </c>
      <c r="B102" s="340" t="str">
        <f>VLOOKUP(A102,Rankings!C:E,3,FALSE)</f>
        <v>m</v>
      </c>
    </row>
    <row r="103" spans="1:2" x14ac:dyDescent="0.2">
      <c r="A103" s="356" t="str">
        <f>INDEX(Rankings!C$2:'Rankings'!C$1000,MATCH(SMALL(Rankings!I$2:'Rankings'!I$1000,ROW()),Rankings!I$2:'Rankings'!I$1000,0))</f>
        <v>Bartek Dusowski</v>
      </c>
      <c r="B103" s="340" t="str">
        <f>VLOOKUP(A103,Rankings!C:E,3,FALSE)</f>
        <v>m</v>
      </c>
    </row>
    <row r="104" spans="1:2" x14ac:dyDescent="0.2">
      <c r="A104" s="356" t="str">
        <f>INDEX(Rankings!C$2:'Rankings'!C$1000,MATCH(SMALL(Rankings!I$2:'Rankings'!I$1000,ROW()),Rankings!I$2:'Rankings'!I$1000,0))</f>
        <v>Beka Namchevadze</v>
      </c>
      <c r="B104" s="340" t="str">
        <f>VLOOKUP(A104,Rankings!C:E,3,FALSE)</f>
        <v>m</v>
      </c>
    </row>
    <row r="105" spans="1:2" x14ac:dyDescent="0.2">
      <c r="A105" s="356" t="str">
        <f>INDEX(Rankings!C$2:'Rankings'!C$1000,MATCH(SMALL(Rankings!I$2:'Rankings'!I$1000,ROW()),Rankings!I$2:'Rankings'!I$1000,0))</f>
        <v>Ben Singer</v>
      </c>
      <c r="B105" s="340" t="str">
        <f>VLOOKUP(A105,Rankings!C:E,3,FALSE)</f>
        <v>m</v>
      </c>
    </row>
    <row r="106" spans="1:2" x14ac:dyDescent="0.2">
      <c r="A106" s="356" t="str">
        <f>INDEX(Rankings!C$2:'Rankings'!C$1000,MATCH(SMALL(Rankings!I$2:'Rankings'!I$1000,ROW()),Rankings!I$2:'Rankings'!I$1000,0))</f>
        <v>Benedicte Audet</v>
      </c>
      <c r="B106" s="340" t="str">
        <f>VLOOKUP(A106,Rankings!C:E,3,FALSE)</f>
        <v>f</v>
      </c>
    </row>
    <row r="107" spans="1:2" x14ac:dyDescent="0.2">
      <c r="A107" s="356" t="str">
        <f>INDEX(Rankings!C$2:'Rankings'!C$1000,MATCH(SMALL(Rankings!I$2:'Rankings'!I$1000,ROW()),Rankings!I$2:'Rankings'!I$1000,0))</f>
        <v>Benedigt Becker</v>
      </c>
      <c r="B107" s="340" t="str">
        <f>VLOOKUP(A107,Rankings!C:E,3,FALSE)</f>
        <v>m</v>
      </c>
    </row>
    <row r="108" spans="1:2" x14ac:dyDescent="0.2">
      <c r="A108" s="356" t="str">
        <f>INDEX(Rankings!C$2:'Rankings'!C$1000,MATCH(SMALL(Rankings!I$2:'Rankings'!I$1000,ROW()),Rankings!I$2:'Rankings'!I$1000,0))</f>
        <v>Benjamin Edelmann</v>
      </c>
      <c r="B108" s="340" t="str">
        <f>VLOOKUP(A108,Rankings!C:E,3,FALSE)</f>
        <v>m</v>
      </c>
    </row>
    <row r="109" spans="1:2" x14ac:dyDescent="0.2">
      <c r="A109" s="356" t="str">
        <f>INDEX(Rankings!C$2:'Rankings'!C$1000,MATCH(SMALL(Rankings!I$2:'Rankings'!I$1000,ROW()),Rankings!I$2:'Rankings'!I$1000,0))</f>
        <v>Benni Sing</v>
      </c>
      <c r="B109" s="340" t="str">
        <f>VLOOKUP(A109,Rankings!C:E,3,FALSE)</f>
        <v>m</v>
      </c>
    </row>
    <row r="110" spans="1:2" x14ac:dyDescent="0.2">
      <c r="A110" s="356" t="str">
        <f>INDEX(Rankings!C$2:'Rankings'!C$1000,MATCH(SMALL(Rankings!I$2:'Rankings'!I$1000,ROW()),Rankings!I$2:'Rankings'!I$1000,0))</f>
        <v>Bernie Murray</v>
      </c>
      <c r="B110" s="340" t="str">
        <f>VLOOKUP(A110,Rankings!C:E,3,FALSE)</f>
        <v>f</v>
      </c>
    </row>
    <row r="111" spans="1:2" x14ac:dyDescent="0.2">
      <c r="A111" s="356" t="str">
        <f>INDEX(Rankings!C$2:'Rankings'!C$1000,MATCH(SMALL(Rankings!I$2:'Rankings'!I$1000,ROW()),Rankings!I$2:'Rankings'!I$1000,0))</f>
        <v>Beth Verish</v>
      </c>
      <c r="B111" s="340" t="str">
        <f>VLOOKUP(A111,Rankings!C:E,3,FALSE)</f>
        <v>f</v>
      </c>
    </row>
    <row r="112" spans="1:2" x14ac:dyDescent="0.2">
      <c r="A112" s="356" t="str">
        <f>INDEX(Rankings!C$2:'Rankings'!C$1000,MATCH(SMALL(Rankings!I$2:'Rankings'!I$1000,ROW()),Rankings!I$2:'Rankings'!I$1000,0))</f>
        <v>Bethany Sanchez</v>
      </c>
      <c r="B112" s="340" t="str">
        <f>VLOOKUP(A112,Rankings!C:E,3,FALSE)</f>
        <v>f</v>
      </c>
    </row>
    <row r="113" spans="1:2" x14ac:dyDescent="0.2">
      <c r="A113" s="356" t="str">
        <f>INDEX(Rankings!C$2:'Rankings'!C$1000,MATCH(SMALL(Rankings!I$2:'Rankings'!I$1000,ROW()),Rankings!I$2:'Rankings'!I$1000,0))</f>
        <v>Bianca Strunz</v>
      </c>
      <c r="B113" s="340" t="str">
        <f>VLOOKUP(A113,Rankings!C:E,3,FALSE)</f>
        <v>f</v>
      </c>
    </row>
    <row r="114" spans="1:2" x14ac:dyDescent="0.2">
      <c r="A114" s="356" t="str">
        <f>INDEX(Rankings!C$2:'Rankings'!C$1000,MATCH(SMALL(Rankings!I$2:'Rankings'!I$1000,ROW()),Rankings!I$2:'Rankings'!I$1000,0))</f>
        <v>Bill Chetel</v>
      </c>
      <c r="B114" s="340" t="str">
        <f>VLOOKUP(A114,Rankings!C:E,3,FALSE)</f>
        <v>m</v>
      </c>
    </row>
    <row r="115" spans="1:2" x14ac:dyDescent="0.2">
      <c r="A115" s="356" t="str">
        <f>INDEX(Rankings!C$2:'Rankings'!C$1000,MATCH(SMALL(Rankings!I$2:'Rankings'!I$1000,ROW()),Rankings!I$2:'Rankings'!I$1000,0))</f>
        <v>Bill Wright</v>
      </c>
      <c r="B115" s="340" t="str">
        <f>VLOOKUP(A115,Rankings!C:E,3,FALSE)</f>
        <v>m</v>
      </c>
    </row>
    <row r="116" spans="1:2" x14ac:dyDescent="0.2">
      <c r="A116" s="356" t="str">
        <f>INDEX(Rankings!C$2:'Rankings'!C$1000,MATCH(SMALL(Rankings!I$2:'Rankings'!I$1000,ROW()),Rankings!I$2:'Rankings'!I$1000,0))</f>
        <v>Billy Caplin</v>
      </c>
      <c r="B116" s="340" t="str">
        <f>VLOOKUP(A116,Rankings!C:E,3,FALSE)</f>
        <v>m</v>
      </c>
    </row>
    <row r="117" spans="1:2" x14ac:dyDescent="0.2">
      <c r="A117" s="356" t="str">
        <f>INDEX(Rankings!C$2:'Rankings'!C$1000,MATCH(SMALL(Rankings!I$2:'Rankings'!I$1000,ROW()),Rankings!I$2:'Rankings'!I$1000,0))</f>
        <v>Billy Kaplan</v>
      </c>
      <c r="B117" s="340" t="str">
        <f>VLOOKUP(A117,Rankings!C:E,3,FALSE)</f>
        <v>m</v>
      </c>
    </row>
    <row r="118" spans="1:2" x14ac:dyDescent="0.2">
      <c r="A118" s="356" t="str">
        <f>INDEX(Rankings!C$2:'Rankings'!C$1000,MATCH(SMALL(Rankings!I$2:'Rankings'!I$1000,ROW()),Rankings!I$2:'Rankings'!I$1000,0))</f>
        <v>Birger Schmidt</v>
      </c>
      <c r="B118" s="340" t="str">
        <f>VLOOKUP(A118,Rankings!C:E,3,FALSE)</f>
        <v>m</v>
      </c>
    </row>
    <row r="119" spans="1:2" x14ac:dyDescent="0.2">
      <c r="A119" s="356" t="str">
        <f>INDEX(Rankings!C$2:'Rankings'!C$1000,MATCH(SMALL(Rankings!I$2:'Rankings'!I$1000,ROW()),Rankings!I$2:'Rankings'!I$1000,0))</f>
        <v>Birgit Lenger</v>
      </c>
      <c r="B119" s="340" t="str">
        <f>VLOOKUP(A119,Rankings!C:E,3,FALSE)</f>
        <v>f</v>
      </c>
    </row>
    <row r="120" spans="1:2" x14ac:dyDescent="0.2">
      <c r="A120" s="356" t="str">
        <f>INDEX(Rankings!C$2:'Rankings'!C$1000,MATCH(SMALL(Rankings!I$2:'Rankings'!I$1000,ROW()),Rankings!I$2:'Rankings'!I$1000,0))</f>
        <v>Björn Ahlström</v>
      </c>
      <c r="B120" s="340" t="str">
        <f>VLOOKUP(A120,Rankings!C:E,3,FALSE)</f>
        <v>m</v>
      </c>
    </row>
    <row r="121" spans="1:2" x14ac:dyDescent="0.2">
      <c r="A121" s="356" t="str">
        <f>INDEX(Rankings!C$2:'Rankings'!C$1000,MATCH(SMALL(Rankings!I$2:'Rankings'!I$1000,ROW()),Rankings!I$2:'Rankings'!I$1000,0))</f>
        <v>Bjorn Tiggis</v>
      </c>
      <c r="B121" s="340" t="str">
        <f>VLOOKUP(A121,Rankings!C:E,3,FALSE)</f>
        <v>m</v>
      </c>
    </row>
    <row r="122" spans="1:2" x14ac:dyDescent="0.2">
      <c r="A122" s="356" t="str">
        <f>INDEX(Rankings!C$2:'Rankings'!C$1000,MATCH(SMALL(Rankings!I$2:'Rankings'!I$1000,ROW()),Rankings!I$2:'Rankings'!I$1000,0))</f>
        <v>Blake Herrschaft</v>
      </c>
      <c r="B122" s="340" t="str">
        <f>VLOOKUP(A122,Rankings!C:E,3,FALSE)</f>
        <v>m</v>
      </c>
    </row>
    <row r="123" spans="1:2" x14ac:dyDescent="0.2">
      <c r="A123" s="356" t="str">
        <f>INDEX(Rankings!C$2:'Rankings'!C$1000,MATCH(SMALL(Rankings!I$2:'Rankings'!I$1000,ROW()),Rankings!I$2:'Rankings'!I$1000,0))</f>
        <v>Bob Boulware</v>
      </c>
      <c r="B123" s="340" t="str">
        <f>VLOOKUP(A123,Rankings!C:E,3,FALSE)</f>
        <v>m</v>
      </c>
    </row>
    <row r="124" spans="1:2" x14ac:dyDescent="0.2">
      <c r="A124" s="356" t="str">
        <f>INDEX(Rankings!C$2:'Rankings'!C$1000,MATCH(SMALL(Rankings!I$2:'Rankings'!I$1000,ROW()),Rankings!I$2:'Rankings'!I$1000,0))</f>
        <v>Bob Coleman</v>
      </c>
      <c r="B124" s="340" t="str">
        <f>VLOOKUP(A124,Rankings!C:E,3,FALSE)</f>
        <v>m</v>
      </c>
    </row>
    <row r="125" spans="1:2" x14ac:dyDescent="0.2">
      <c r="A125" s="356" t="str">
        <f>INDEX(Rankings!C$2:'Rankings'!C$1000,MATCH(SMALL(Rankings!I$2:'Rankings'!I$1000,ROW()),Rankings!I$2:'Rankings'!I$1000,0))</f>
        <v>Bob Cooksey</v>
      </c>
      <c r="B125" s="340" t="str">
        <f>VLOOKUP(A125,Rankings!C:E,3,FALSE)</f>
        <v>m</v>
      </c>
    </row>
    <row r="126" spans="1:2" x14ac:dyDescent="0.2">
      <c r="A126" s="356" t="str">
        <f>INDEX(Rankings!C$2:'Rankings'!C$1000,MATCH(SMALL(Rankings!I$2:'Rankings'!I$1000,ROW()),Rankings!I$2:'Rankings'!I$1000,0))</f>
        <v>Bob Gossett</v>
      </c>
      <c r="B126" s="340" t="str">
        <f>VLOOKUP(A126,Rankings!C:E,3,FALSE)</f>
        <v>m</v>
      </c>
    </row>
    <row r="127" spans="1:2" x14ac:dyDescent="0.2">
      <c r="A127" s="356" t="str">
        <f>INDEX(Rankings!C$2:'Rankings'!C$1000,MATCH(SMALL(Rankings!I$2:'Rankings'!I$1000,ROW()),Rankings!I$2:'Rankings'!I$1000,0))</f>
        <v>Bobbo Karlsson</v>
      </c>
      <c r="B127" s="340" t="str">
        <f>VLOOKUP(A127,Rankings!C:E,3,FALSE)</f>
        <v>m</v>
      </c>
    </row>
    <row r="128" spans="1:2" x14ac:dyDescent="0.2">
      <c r="A128" s="356" t="str">
        <f>INDEX(Rankings!C$2:'Rankings'!C$1000,MATCH(SMALL(Rankings!I$2:'Rankings'!I$1000,ROW()),Rankings!I$2:'Rankings'!I$1000,0))</f>
        <v>Boguslaw Bul</v>
      </c>
      <c r="B128" s="340" t="str">
        <f>VLOOKUP(A128,Rankings!C:E,3,FALSE)</f>
        <v>m</v>
      </c>
    </row>
    <row r="129" spans="1:2" x14ac:dyDescent="0.2">
      <c r="A129" s="356" t="str">
        <f>INDEX(Rankings!C$2:'Rankings'!C$1000,MATCH(SMALL(Rankings!I$2:'Rankings'!I$1000,ROW()),Rankings!I$2:'Rankings'!I$1000,0))</f>
        <v>Brad Bishop</v>
      </c>
      <c r="B129" s="340" t="str">
        <f>VLOOKUP(A129,Rankings!C:E,3,FALSE)</f>
        <v>m</v>
      </c>
    </row>
    <row r="130" spans="1:2" x14ac:dyDescent="0.2">
      <c r="A130" s="356" t="str">
        <f>INDEX(Rankings!C$2:'Rankings'!C$1000,MATCH(SMALL(Rankings!I$2:'Rankings'!I$1000,ROW()),Rankings!I$2:'Rankings'!I$1000,0))</f>
        <v>Brad Keller</v>
      </c>
      <c r="B130" s="340" t="str">
        <f>VLOOKUP(A130,Rankings!C:E,3,FALSE)</f>
        <v>m</v>
      </c>
    </row>
    <row r="131" spans="1:2" x14ac:dyDescent="0.2">
      <c r="A131" s="356" t="str">
        <f>INDEX(Rankings!C$2:'Rankings'!C$1000,MATCH(SMALL(Rankings!I$2:'Rankings'!I$1000,ROW()),Rankings!I$2:'Rankings'!I$1000,0))</f>
        <v>Bram Maassen</v>
      </c>
      <c r="B131" s="340" t="str">
        <f>VLOOKUP(A131,Rankings!C:E,3,FALSE)</f>
        <v>m</v>
      </c>
    </row>
    <row r="132" spans="1:2" x14ac:dyDescent="0.2">
      <c r="A132" s="356" t="str">
        <f>INDEX(Rankings!C$2:'Rankings'!C$1000,MATCH(SMALL(Rankings!I$2:'Rankings'!I$1000,ROW()),Rankings!I$2:'Rankings'!I$1000,0))</f>
        <v>Brett Schramek</v>
      </c>
      <c r="B132" s="340" t="str">
        <f>VLOOKUP(A132,Rankings!C:E,3,FALSE)</f>
        <v>m</v>
      </c>
    </row>
    <row r="133" spans="1:2" x14ac:dyDescent="0.2">
      <c r="A133" s="356" t="str">
        <f>INDEX(Rankings!C$2:'Rankings'!C$1000,MATCH(SMALL(Rankings!I$2:'Rankings'!I$1000,ROW()),Rankings!I$2:'Rankings'!I$1000,0))</f>
        <v>Brian Boate</v>
      </c>
      <c r="B133" s="340" t="str">
        <f>VLOOKUP(A133,Rankings!C:E,3,FALSE)</f>
        <v>m</v>
      </c>
    </row>
    <row r="134" spans="1:2" x14ac:dyDescent="0.2">
      <c r="A134" s="356" t="str">
        <f>INDEX(Rankings!C$2:'Rankings'!C$1000,MATCH(SMALL(Rankings!I$2:'Rankings'!I$1000,ROW()),Rankings!I$2:'Rankings'!I$1000,0))</f>
        <v>Brian McElwain</v>
      </c>
      <c r="B134" s="340" t="str">
        <f>VLOOKUP(A134,Rankings!C:E,3,FALSE)</f>
        <v>m</v>
      </c>
    </row>
    <row r="135" spans="1:2" x14ac:dyDescent="0.2">
      <c r="A135" s="356" t="str">
        <f>INDEX(Rankings!C$2:'Rankings'!C$1000,MATCH(SMALL(Rankings!I$2:'Rankings'!I$1000,ROW()),Rankings!I$2:'Rankings'!I$1000,0))</f>
        <v>Bruce Page</v>
      </c>
      <c r="B135" s="340" t="str">
        <f>VLOOKUP(A135,Rankings!C:E,3,FALSE)</f>
        <v>m</v>
      </c>
    </row>
    <row r="136" spans="1:2" x14ac:dyDescent="0.2">
      <c r="A136" s="356" t="str">
        <f>INDEX(Rankings!C$2:'Rankings'!C$1000,MATCH(SMALL(Rankings!I$2:'Rankings'!I$1000,ROW()),Rankings!I$2:'Rankings'!I$1000,0))</f>
        <v>Bryan Steffen</v>
      </c>
      <c r="B136" s="340" t="str">
        <f>VLOOKUP(A136,Rankings!C:E,3,FALSE)</f>
        <v>m</v>
      </c>
    </row>
    <row r="137" spans="1:2" x14ac:dyDescent="0.2">
      <c r="A137" s="356" t="str">
        <f>INDEX(Rankings!C$2:'Rankings'!C$1000,MATCH(SMALL(Rankings!I$2:'Rankings'!I$1000,ROW()),Rankings!I$2:'Rankings'!I$1000,0))</f>
        <v>Cade Loving</v>
      </c>
      <c r="B137" s="340" t="str">
        <f>VLOOKUP(A137,Rankings!C:E,3,FALSE)</f>
        <v>m</v>
      </c>
    </row>
    <row r="138" spans="1:2" x14ac:dyDescent="0.2">
      <c r="A138" s="356" t="str">
        <f>INDEX(Rankings!C$2:'Rankings'!C$1000,MATCH(SMALL(Rankings!I$2:'Rankings'!I$1000,ROW()),Rankings!I$2:'Rankings'!I$1000,0))</f>
        <v>Caleb DePaola</v>
      </c>
      <c r="B138" s="340" t="str">
        <f>VLOOKUP(A138,Rankings!C:E,3,FALSE)</f>
        <v>m</v>
      </c>
    </row>
    <row r="139" spans="1:2" x14ac:dyDescent="0.2">
      <c r="A139" s="356" t="str">
        <f>INDEX(Rankings!C$2:'Rankings'!C$1000,MATCH(SMALL(Rankings!I$2:'Rankings'!I$1000,ROW()),Rankings!I$2:'Rankings'!I$1000,0))</f>
        <v>Carl Dobson</v>
      </c>
      <c r="B139" s="340" t="str">
        <f>VLOOKUP(A139,Rankings!C:E,3,FALSE)</f>
        <v>m</v>
      </c>
    </row>
    <row r="140" spans="1:2" x14ac:dyDescent="0.2">
      <c r="A140" s="356" t="str">
        <f>INDEX(Rankings!C$2:'Rankings'!C$1000,MATCH(SMALL(Rankings!I$2:'Rankings'!I$1000,ROW()),Rankings!I$2:'Rankings'!I$1000,0))</f>
        <v>Carl Emerson</v>
      </c>
      <c r="B140" s="340" t="str">
        <f>VLOOKUP(A140,Rankings!C:E,3,FALSE)</f>
        <v>m</v>
      </c>
    </row>
    <row r="141" spans="1:2" x14ac:dyDescent="0.2">
      <c r="A141" s="356" t="str">
        <f>INDEX(Rankings!C$2:'Rankings'!C$1000,MATCH(SMALL(Rankings!I$2:'Rankings'!I$1000,ROW()),Rankings!I$2:'Rankings'!I$1000,0))</f>
        <v>Carlo Lupin</v>
      </c>
      <c r="B141" s="340" t="str">
        <f>VLOOKUP(A141,Rankings!C:E,3,FALSE)</f>
        <v>m</v>
      </c>
    </row>
    <row r="142" spans="1:2" x14ac:dyDescent="0.2">
      <c r="A142" s="356" t="str">
        <f>INDEX(Rankings!C$2:'Rankings'!C$1000,MATCH(SMALL(Rankings!I$2:'Rankings'!I$1000,ROW()),Rankings!I$2:'Rankings'!I$1000,0))</f>
        <v>Carlo Perrone</v>
      </c>
      <c r="B142" s="340" t="str">
        <f>VLOOKUP(A142,Rankings!C:E,3,FALSE)</f>
        <v>m</v>
      </c>
    </row>
    <row r="143" spans="1:2" x14ac:dyDescent="0.2">
      <c r="A143" s="356" t="str">
        <f>INDEX(Rankings!C$2:'Rankings'!C$1000,MATCH(SMALL(Rankings!I$2:'Rankings'!I$1000,ROW()),Rankings!I$2:'Rankings'!I$1000,0))</f>
        <v>Carlotta Berini</v>
      </c>
      <c r="B143" s="340" t="str">
        <f>VLOOKUP(A143,Rankings!C:E,3,FALSE)</f>
        <v>f</v>
      </c>
    </row>
    <row r="144" spans="1:2" x14ac:dyDescent="0.2">
      <c r="A144" s="356" t="str">
        <f>INDEX(Rankings!C$2:'Rankings'!C$1000,MATCH(SMALL(Rankings!I$2:'Rankings'!I$1000,ROW()),Rankings!I$2:'Rankings'!I$1000,0))</f>
        <v>Carolyn Hubbard</v>
      </c>
      <c r="B144" s="340" t="str">
        <f>VLOOKUP(A144,Rankings!C:E,3,FALSE)</f>
        <v>f</v>
      </c>
    </row>
    <row r="145" spans="1:2" x14ac:dyDescent="0.2">
      <c r="A145" s="356" t="str">
        <f>INDEX(Rankings!C$2:'Rankings'!C$1000,MATCH(SMALL(Rankings!I$2:'Rankings'!I$1000,ROW()),Rankings!I$2:'Rankings'!I$1000,0))</f>
        <v>Carsten Heim</v>
      </c>
      <c r="B145" s="340" t="str">
        <f>VLOOKUP(A145,Rankings!C:E,3,FALSE)</f>
        <v>m</v>
      </c>
    </row>
    <row r="146" spans="1:2" x14ac:dyDescent="0.2">
      <c r="A146" s="356" t="str">
        <f>INDEX(Rankings!C$2:'Rankings'!C$1000,MATCH(SMALL(Rankings!I$2:'Rankings'!I$1000,ROW()),Rankings!I$2:'Rankings'!I$1000,0))</f>
        <v>Cedrik Stevens</v>
      </c>
      <c r="B146" s="340" t="str">
        <f>VLOOKUP(A146,Rankings!C:E,3,FALSE)</f>
        <v>m</v>
      </c>
    </row>
    <row r="147" spans="1:2" x14ac:dyDescent="0.2">
      <c r="A147" s="356" t="str">
        <f>INDEX(Rankings!C$2:'Rankings'!C$1000,MATCH(SMALL(Rankings!I$2:'Rankings'!I$1000,ROW()),Rankings!I$2:'Rankings'!I$1000,0))</f>
        <v>Char Powell</v>
      </c>
      <c r="B147" s="340" t="str">
        <f>VLOOKUP(A147,Rankings!C:E,3,FALSE)</f>
        <v>f</v>
      </c>
    </row>
    <row r="148" spans="1:2" x14ac:dyDescent="0.2">
      <c r="A148" s="356" t="str">
        <f>INDEX(Rankings!C$2:'Rankings'!C$1000,MATCH(SMALL(Rankings!I$2:'Rankings'!I$1000,ROW()),Rankings!I$2:'Rankings'!I$1000,0))</f>
        <v>Charles Logan</v>
      </c>
      <c r="B148" s="340" t="str">
        <f>VLOOKUP(A148,Rankings!C:E,3,FALSE)</f>
        <v>m</v>
      </c>
    </row>
    <row r="149" spans="1:2" x14ac:dyDescent="0.2">
      <c r="A149" s="356" t="str">
        <f>INDEX(Rankings!C$2:'Rankings'!C$1000,MATCH(SMALL(Rankings!I$2:'Rankings'!I$1000,ROW()),Rankings!I$2:'Rankings'!I$1000,0))</f>
        <v>Charlie Richards IV</v>
      </c>
      <c r="B149" s="340" t="str">
        <f>VLOOKUP(A149,Rankings!C:E,3,FALSE)</f>
        <v>m</v>
      </c>
    </row>
    <row r="150" spans="1:2" x14ac:dyDescent="0.2">
      <c r="A150" s="356" t="str">
        <f>INDEX(Rankings!C$2:'Rankings'!C$1000,MATCH(SMALL(Rankings!I$2:'Rankings'!I$1000,ROW()),Rankings!I$2:'Rankings'!I$1000,0))</f>
        <v>Charlotte DePaola</v>
      </c>
      <c r="B150" s="340" t="str">
        <f>VLOOKUP(A150,Rankings!C:E,3,FALSE)</f>
        <v>f</v>
      </c>
    </row>
    <row r="151" spans="1:2" x14ac:dyDescent="0.2">
      <c r="A151" s="356" t="str">
        <f>INDEX(Rankings!C$2:'Rankings'!C$1000,MATCH(SMALL(Rankings!I$2:'Rankings'!I$1000,ROW()),Rankings!I$2:'Rankings'!I$1000,0))</f>
        <v>Charly Katzenmaier</v>
      </c>
      <c r="B151" s="340" t="str">
        <f>VLOOKUP(A151,Rankings!C:E,3,FALSE)</f>
        <v>m</v>
      </c>
    </row>
    <row r="152" spans="1:2" x14ac:dyDescent="0.2">
      <c r="A152" s="356" t="str">
        <f>INDEX(Rankings!C$2:'Rankings'!C$1000,MATCH(SMALL(Rankings!I$2:'Rankings'!I$1000,ROW()),Rankings!I$2:'Rankings'!I$1000,0))</f>
        <v>Chip Bell</v>
      </c>
      <c r="B152" s="340" t="str">
        <f>VLOOKUP(A152,Rankings!C:E,3,FALSE)</f>
        <v>m</v>
      </c>
    </row>
    <row r="153" spans="1:2" x14ac:dyDescent="0.2">
      <c r="A153" s="356" t="str">
        <f>INDEX(Rankings!C$2:'Rankings'!C$1000,MATCH(SMALL(Rankings!I$2:'Rankings'!I$1000,ROW()),Rankings!I$2:'Rankings'!I$1000,0))</f>
        <v>Chris Baker</v>
      </c>
      <c r="B153" s="340" t="str">
        <f>VLOOKUP(A153,Rankings!C:E,3,FALSE)</f>
        <v>m</v>
      </c>
    </row>
    <row r="154" spans="1:2" x14ac:dyDescent="0.2">
      <c r="A154" s="356" t="str">
        <f>INDEX(Rankings!C$2:'Rankings'!C$1000,MATCH(SMALL(Rankings!I$2:'Rankings'!I$1000,ROW()),Rankings!I$2:'Rankings'!I$1000,0))</f>
        <v>Chris Bellaj</v>
      </c>
      <c r="B154" s="340" t="str">
        <f>VLOOKUP(A154,Rankings!C:E,3,FALSE)</f>
        <v>m</v>
      </c>
    </row>
    <row r="155" spans="1:2" x14ac:dyDescent="0.2">
      <c r="A155" s="356" t="str">
        <f>INDEX(Rankings!C$2:'Rankings'!C$1000,MATCH(SMALL(Rankings!I$2:'Rankings'!I$1000,ROW()),Rankings!I$2:'Rankings'!I$1000,0))</f>
        <v>Chris DePaola</v>
      </c>
      <c r="B155" s="340" t="str">
        <f>VLOOKUP(A155,Rankings!C:E,3,FALSE)</f>
        <v>m</v>
      </c>
    </row>
    <row r="156" spans="1:2" x14ac:dyDescent="0.2">
      <c r="A156" s="356" t="str">
        <f>INDEX(Rankings!C$2:'Rankings'!C$1000,MATCH(SMALL(Rankings!I$2:'Rankings'!I$1000,ROW()),Rankings!I$2:'Rankings'!I$1000,0))</f>
        <v>Chris Dunaway</v>
      </c>
      <c r="B156" s="340" t="str">
        <f>VLOOKUP(A156,Rankings!C:E,3,FALSE)</f>
        <v>m</v>
      </c>
    </row>
    <row r="157" spans="1:2" x14ac:dyDescent="0.2">
      <c r="A157" s="356" t="str">
        <f>INDEX(Rankings!C$2:'Rankings'!C$1000,MATCH(SMALL(Rankings!I$2:'Rankings'!I$1000,ROW()),Rankings!I$2:'Rankings'!I$1000,0))</f>
        <v>Chris Hill</v>
      </c>
      <c r="B157" s="340" t="str">
        <f>VLOOKUP(A157,Rankings!C:E,3,FALSE)</f>
        <v>m</v>
      </c>
    </row>
    <row r="158" spans="1:2" x14ac:dyDescent="0.2">
      <c r="A158" s="356" t="str">
        <f>INDEX(Rankings!C$2:'Rankings'!C$1000,MATCH(SMALL(Rankings!I$2:'Rankings'!I$1000,ROW()),Rankings!I$2:'Rankings'!I$1000,0))</f>
        <v>Chris Horn</v>
      </c>
      <c r="B158" s="340" t="str">
        <f>VLOOKUP(A158,Rankings!C:E,3,FALSE)</f>
        <v>m</v>
      </c>
    </row>
    <row r="159" spans="1:2" x14ac:dyDescent="0.2">
      <c r="A159" s="356" t="str">
        <f>INDEX(Rankings!C$2:'Rankings'!C$1000,MATCH(SMALL(Rankings!I$2:'Rankings'!I$1000,ROW()),Rankings!I$2:'Rankings'!I$1000,0))</f>
        <v>Chris Korn</v>
      </c>
      <c r="B159" s="340" t="str">
        <f>VLOOKUP(A159,Rankings!C:E,3,FALSE)</f>
        <v>m</v>
      </c>
    </row>
    <row r="160" spans="1:2" x14ac:dyDescent="0.2">
      <c r="A160" s="356" t="str">
        <f>INDEX(Rankings!C$2:'Rankings'!C$1000,MATCH(SMALL(Rankings!I$2:'Rankings'!I$1000,ROW()),Rankings!I$2:'Rankings'!I$1000,0))</f>
        <v>Chris Koslowski</v>
      </c>
      <c r="B160" s="340" t="str">
        <f>VLOOKUP(A160,Rankings!C:E,3,FALSE)</f>
        <v>m</v>
      </c>
    </row>
    <row r="161" spans="1:2" x14ac:dyDescent="0.2">
      <c r="A161" s="356" t="str">
        <f>INDEX(Rankings!C$2:'Rankings'!C$1000,MATCH(SMALL(Rankings!I$2:'Rankings'!I$1000,ROW()),Rankings!I$2:'Rankings'!I$1000,0))</f>
        <v>Chris Reynolds</v>
      </c>
      <c r="B161" s="340" t="str">
        <f>VLOOKUP(A161,Rankings!C:E,3,FALSE)</f>
        <v>m</v>
      </c>
    </row>
    <row r="162" spans="1:2" x14ac:dyDescent="0.2">
      <c r="A162" s="356" t="str">
        <f>INDEX(Rankings!C$2:'Rankings'!C$1000,MATCH(SMALL(Rankings!I$2:'Rankings'!I$1000,ROW()),Rankings!I$2:'Rankings'!I$1000,0))</f>
        <v>Chris Ryan</v>
      </c>
      <c r="B162" s="340" t="str">
        <f>VLOOKUP(A162,Rankings!C:E,3,FALSE)</f>
        <v>m</v>
      </c>
    </row>
    <row r="163" spans="1:2" x14ac:dyDescent="0.2">
      <c r="A163" s="356" t="str">
        <f>INDEX(Rankings!C$2:'Rankings'!C$1000,MATCH(SMALL(Rankings!I$2:'Rankings'!I$1000,ROW()),Rankings!I$2:'Rankings'!I$1000,0))</f>
        <v>Chris Sieben</v>
      </c>
      <c r="B163" s="340" t="str">
        <f>VLOOKUP(A163,Rankings!C:E,3,FALSE)</f>
        <v>m</v>
      </c>
    </row>
    <row r="164" spans="1:2" x14ac:dyDescent="0.2">
      <c r="A164" s="356" t="str">
        <f>INDEX(Rankings!C$2:'Rankings'!C$1000,MATCH(SMALL(Rankings!I$2:'Rankings'!I$1000,ROW()),Rankings!I$2:'Rankings'!I$1000,0))</f>
        <v>Christian Grau</v>
      </c>
      <c r="B164" s="340" t="str">
        <f>VLOOKUP(A164,Rankings!C:E,3,FALSE)</f>
        <v>m</v>
      </c>
    </row>
    <row r="165" spans="1:2" x14ac:dyDescent="0.2">
      <c r="A165" s="356" t="str">
        <f>INDEX(Rankings!C$2:'Rankings'!C$1000,MATCH(SMALL(Rankings!I$2:'Rankings'!I$1000,ROW()),Rankings!I$2:'Rankings'!I$1000,0))</f>
        <v>Christian Lamred</v>
      </c>
      <c r="B165" s="340" t="str">
        <f>VLOOKUP(A165,Rankings!C:E,3,FALSE)</f>
        <v>m</v>
      </c>
    </row>
    <row r="166" spans="1:2" x14ac:dyDescent="0.2">
      <c r="A166" s="356" t="str">
        <f>INDEX(Rankings!C$2:'Rankings'!C$1000,MATCH(SMALL(Rankings!I$2:'Rankings'!I$1000,ROW()),Rankings!I$2:'Rankings'!I$1000,0))</f>
        <v>Christian Voigt</v>
      </c>
      <c r="B166" s="340" t="str">
        <f>VLOOKUP(A166,Rankings!C:E,3,FALSE)</f>
        <v>m</v>
      </c>
    </row>
    <row r="167" spans="1:2" x14ac:dyDescent="0.2">
      <c r="A167" s="356" t="str">
        <f>INDEX(Rankings!C$2:'Rankings'!C$1000,MATCH(SMALL(Rankings!I$2:'Rankings'!I$1000,ROW()),Rankings!I$2:'Rankings'!I$1000,0))</f>
        <v>Christina Kunze</v>
      </c>
      <c r="B167" s="340" t="str">
        <f>VLOOKUP(A167,Rankings!C:E,3,FALSE)</f>
        <v>f</v>
      </c>
    </row>
    <row r="168" spans="1:2" x14ac:dyDescent="0.2">
      <c r="A168" s="356" t="str">
        <f>INDEX(Rankings!C$2:'Rankings'!C$1000,MATCH(SMALL(Rankings!I$2:'Rankings'!I$1000,ROW()),Rankings!I$2:'Rankings'!I$1000,0))</f>
        <v>Christoph Brack</v>
      </c>
      <c r="B168" s="340" t="str">
        <f>VLOOKUP(A168,Rankings!C:E,3,FALSE)</f>
        <v>m</v>
      </c>
    </row>
    <row r="169" spans="1:2" x14ac:dyDescent="0.2">
      <c r="A169" s="356" t="str">
        <f>INDEX(Rankings!C$2:'Rankings'!C$1000,MATCH(SMALL(Rankings!I$2:'Rankings'!I$1000,ROW()),Rankings!I$2:'Rankings'!I$1000,0))</f>
        <v>Christophe Legendre</v>
      </c>
      <c r="B169" s="340" t="str">
        <f>VLOOKUP(A169,Rankings!C:E,3,FALSE)</f>
        <v>m</v>
      </c>
    </row>
    <row r="170" spans="1:2" x14ac:dyDescent="0.2">
      <c r="A170" s="356" t="str">
        <f>INDEX(Rankings!C$2:'Rankings'!C$1000,MATCH(SMALL(Rankings!I$2:'Rankings'!I$1000,ROW()),Rankings!I$2:'Rankings'!I$1000,0))</f>
        <v>Chuck Richard</v>
      </c>
      <c r="B170" s="340" t="str">
        <f>VLOOKUP(A170,Rankings!C:E,3,FALSE)</f>
        <v>m</v>
      </c>
    </row>
    <row r="171" spans="1:2" x14ac:dyDescent="0.2">
      <c r="A171" s="356" t="str">
        <f>INDEX(Rankings!C$2:'Rankings'!C$1000,MATCH(SMALL(Rankings!I$2:'Rankings'!I$1000,ROW()),Rankings!I$2:'Rankings'!I$1000,0))</f>
        <v>Cindy St. Mary</v>
      </c>
      <c r="B171" s="340" t="str">
        <f>VLOOKUP(A171,Rankings!C:E,3,FALSE)</f>
        <v>f</v>
      </c>
    </row>
    <row r="172" spans="1:2" x14ac:dyDescent="0.2">
      <c r="A172" s="356" t="str">
        <f>INDEX(Rankings!C$2:'Rankings'!C$1000,MATCH(SMALL(Rankings!I$2:'Rankings'!I$1000,ROW()),Rankings!I$2:'Rankings'!I$1000,0))</f>
        <v>Claudio Cigna</v>
      </c>
      <c r="B172" s="340" t="str">
        <f>VLOOKUP(A172,Rankings!C:E,3,FALSE)</f>
        <v>m</v>
      </c>
    </row>
    <row r="173" spans="1:2" x14ac:dyDescent="0.2">
      <c r="A173" s="356" t="str">
        <f>INDEX(Rankings!C$2:'Rankings'!C$1000,MATCH(SMALL(Rankings!I$2:'Rankings'!I$1000,ROW()),Rankings!I$2:'Rankings'!I$1000,0))</f>
        <v>Claudio Marana</v>
      </c>
      <c r="B173" s="340" t="str">
        <f>VLOOKUP(A173,Rankings!C:E,3,FALSE)</f>
        <v>m</v>
      </c>
    </row>
    <row r="174" spans="1:2" x14ac:dyDescent="0.2">
      <c r="A174" s="356" t="str">
        <f>INDEX(Rankings!C$2:'Rankings'!C$1000,MATCH(SMALL(Rankings!I$2:'Rankings'!I$1000,ROW()),Rankings!I$2:'Rankings'!I$1000,0))</f>
        <v>Claudio Massaro</v>
      </c>
      <c r="B174" s="340" t="str">
        <f>VLOOKUP(A174,Rankings!C:E,3,FALSE)</f>
        <v>m</v>
      </c>
    </row>
    <row r="175" spans="1:2" x14ac:dyDescent="0.2">
      <c r="A175" s="356" t="str">
        <f>INDEX(Rankings!C$2:'Rankings'!C$1000,MATCH(SMALL(Rankings!I$2:'Rankings'!I$1000,ROW()),Rankings!I$2:'Rankings'!I$1000,0))</f>
        <v>Claudio Petro</v>
      </c>
      <c r="B175" s="340" t="str">
        <f>VLOOKUP(A175,Rankings!C:E,3,FALSE)</f>
        <v>m</v>
      </c>
    </row>
    <row r="176" spans="1:2" x14ac:dyDescent="0.2">
      <c r="A176" s="356" t="str">
        <f>INDEX(Rankings!C$2:'Rankings'!C$1000,MATCH(SMALL(Rankings!I$2:'Rankings'!I$1000,ROW()),Rankings!I$2:'Rankings'!I$1000,0))</f>
        <v>Claudio Pietranelli</v>
      </c>
      <c r="B176" s="340" t="str">
        <f>VLOOKUP(A176,Rankings!C:E,3,FALSE)</f>
        <v>m</v>
      </c>
    </row>
    <row r="177" spans="1:2" x14ac:dyDescent="0.2">
      <c r="A177" s="356" t="str">
        <f>INDEX(Rankings!C$2:'Rankings'!C$1000,MATCH(SMALL(Rankings!I$2:'Rankings'!I$1000,ROW()),Rankings!I$2:'Rankings'!I$1000,0))</f>
        <v>Clay Collerà</v>
      </c>
      <c r="B177" s="340" t="str">
        <f>VLOOKUP(A177,Rankings!C:E,3,FALSE)</f>
        <v>m</v>
      </c>
    </row>
    <row r="178" spans="1:2" x14ac:dyDescent="0.2">
      <c r="A178" s="356" t="str">
        <f>INDEX(Rankings!C$2:'Rankings'!C$1000,MATCH(SMALL(Rankings!I$2:'Rankings'!I$1000,ROW()),Rankings!I$2:'Rankings'!I$1000,0))</f>
        <v>Cody Kirkland</v>
      </c>
      <c r="B178" s="340" t="str">
        <f>VLOOKUP(A178,Rankings!C:E,3,FALSE)</f>
        <v>m</v>
      </c>
    </row>
    <row r="179" spans="1:2" x14ac:dyDescent="0.2">
      <c r="A179" s="356" t="str">
        <f>INDEX(Rankings!C$2:'Rankings'!C$1000,MATCH(SMALL(Rankings!I$2:'Rankings'!I$1000,ROW()),Rankings!I$2:'Rankings'!I$1000,0))</f>
        <v>Connie Bond</v>
      </c>
      <c r="B179" s="340" t="str">
        <f>VLOOKUP(A179,Rankings!C:E,3,FALSE)</f>
        <v>f</v>
      </c>
    </row>
    <row r="180" spans="1:2" x14ac:dyDescent="0.2">
      <c r="A180" s="356" t="str">
        <f>INDEX(Rankings!C$2:'Rankings'!C$1000,MATCH(SMALL(Rankings!I$2:'Rankings'!I$1000,ROW()),Rankings!I$2:'Rankings'!I$1000,0))</f>
        <v>Conrad Damon</v>
      </c>
      <c r="B180" s="340" t="str">
        <f>VLOOKUP(A180,Rankings!C:E,3,FALSE)</f>
        <v>m</v>
      </c>
    </row>
    <row r="181" spans="1:2" x14ac:dyDescent="0.2">
      <c r="A181" s="356" t="str">
        <f>INDEX(Rankings!C$2:'Rankings'!C$1000,MATCH(SMALL(Rankings!I$2:'Rankings'!I$1000,ROW()),Rankings!I$2:'Rankings'!I$1000,0))</f>
        <v>Constantino Mucciaccia</v>
      </c>
      <c r="B181" s="340" t="str">
        <f>VLOOKUP(A181,Rankings!C:E,3,FALSE)</f>
        <v>m</v>
      </c>
    </row>
    <row r="182" spans="1:2" x14ac:dyDescent="0.2">
      <c r="A182" s="356" t="str">
        <f>INDEX(Rankings!C$2:'Rankings'!C$1000,MATCH(SMALL(Rankings!I$2:'Rankings'!I$1000,ROW()),Rankings!I$2:'Rankings'!I$1000,0))</f>
        <v>Corina Schusfer</v>
      </c>
      <c r="B182" s="340" t="str">
        <f>VLOOKUP(A182,Rankings!C:E,3,FALSE)</f>
        <v>f</v>
      </c>
    </row>
    <row r="183" spans="1:2" x14ac:dyDescent="0.2">
      <c r="A183" s="356" t="str">
        <f>INDEX(Rankings!C$2:'Rankings'!C$1000,MATCH(SMALL(Rankings!I$2:'Rankings'!I$1000,ROW()),Rankings!I$2:'Rankings'!I$1000,0))</f>
        <v>Cormac Finn O'Brien</v>
      </c>
      <c r="B183" s="340" t="str">
        <f>VLOOKUP(A183,Rankings!C:E,3,FALSE)</f>
        <v>m</v>
      </c>
    </row>
    <row r="184" spans="1:2" x14ac:dyDescent="0.2">
      <c r="A184" s="356" t="str">
        <f>INDEX(Rankings!C$2:'Rankings'!C$1000,MATCH(SMALL(Rankings!I$2:'Rankings'!I$1000,ROW()),Rankings!I$2:'Rankings'!I$1000,0))</f>
        <v>Cosmi Palmisano</v>
      </c>
      <c r="B184" s="340" t="str">
        <f>VLOOKUP(A184,Rankings!C:E,3,FALSE)</f>
        <v>m</v>
      </c>
    </row>
    <row r="185" spans="1:2" x14ac:dyDescent="0.2">
      <c r="A185" s="356" t="str">
        <f>INDEX(Rankings!C$2:'Rankings'!C$1000,MATCH(SMALL(Rankings!I$2:'Rankings'!I$1000,ROW()),Rankings!I$2:'Rankings'!I$1000,0))</f>
        <v>Cotter Michaels</v>
      </c>
      <c r="B185" s="340" t="str">
        <f>VLOOKUP(A185,Rankings!C:E,3,FALSE)</f>
        <v>m</v>
      </c>
    </row>
    <row r="186" spans="1:2" x14ac:dyDescent="0.2">
      <c r="A186" s="356" t="str">
        <f>INDEX(Rankings!C$2:'Rankings'!C$1000,MATCH(SMALL(Rankings!I$2:'Rankings'!I$1000,ROW()),Rankings!I$2:'Rankings'!I$1000,0))</f>
        <v>Cotton McAloon</v>
      </c>
      <c r="B186" s="340" t="str">
        <f>VLOOKUP(A186,Rankings!C:E,3,FALSE)</f>
        <v>m</v>
      </c>
    </row>
    <row r="187" spans="1:2" x14ac:dyDescent="0.2">
      <c r="A187" s="356" t="str">
        <f>INDEX(Rankings!C$2:'Rankings'!C$1000,MATCH(SMALL(Rankings!I$2:'Rankings'!I$1000,ROW()),Rankings!I$2:'Rankings'!I$1000,0))</f>
        <v>Craig Simon</v>
      </c>
      <c r="B187" s="340" t="str">
        <f>VLOOKUP(A187,Rankings!C:E,3,FALSE)</f>
        <v>m</v>
      </c>
    </row>
    <row r="188" spans="1:2" x14ac:dyDescent="0.2">
      <c r="A188" s="356" t="str">
        <f>INDEX(Rankings!C$2:'Rankings'!C$1000,MATCH(SMALL(Rankings!I$2:'Rankings'!I$1000,ROW()),Rankings!I$2:'Rankings'!I$1000,0))</f>
        <v>Cristina Nicolardi</v>
      </c>
      <c r="B188" s="340" t="str">
        <f>VLOOKUP(A188,Rankings!C:E,3,FALSE)</f>
        <v>f</v>
      </c>
    </row>
    <row r="189" spans="1:2" x14ac:dyDescent="0.2">
      <c r="A189" s="356" t="str">
        <f>INDEX(Rankings!C$2:'Rankings'!C$1000,MATCH(SMALL(Rankings!I$2:'Rankings'!I$1000,ROW()),Rankings!I$2:'Rankings'!I$1000,0))</f>
        <v>Curran McCrory</v>
      </c>
      <c r="B189" s="340" t="str">
        <f>VLOOKUP(A189,Rankings!C:E,3,FALSE)</f>
        <v>m</v>
      </c>
    </row>
    <row r="190" spans="1:2" x14ac:dyDescent="0.2">
      <c r="A190" s="356" t="str">
        <f>INDEX(Rankings!C$2:'Rankings'!C$1000,MATCH(SMALL(Rankings!I$2:'Rankings'!I$1000,ROW()),Rankings!I$2:'Rankings'!I$1000,0))</f>
        <v>Daisuke Kuroda</v>
      </c>
      <c r="B190" s="340" t="str">
        <f>VLOOKUP(A190,Rankings!C:E,3,FALSE)</f>
        <v>m</v>
      </c>
    </row>
    <row r="191" spans="1:2" x14ac:dyDescent="0.2">
      <c r="A191" s="356" t="str">
        <f>INDEX(Rankings!C$2:'Rankings'!C$1000,MATCH(SMALL(Rankings!I$2:'Rankings'!I$1000,ROW()),Rankings!I$2:'Rankings'!I$1000,0))</f>
        <v>Daisuke Shinkai</v>
      </c>
      <c r="B191" s="340" t="str">
        <f>VLOOKUP(A191,Rankings!C:E,3,FALSE)</f>
        <v>m</v>
      </c>
    </row>
    <row r="192" spans="1:2" x14ac:dyDescent="0.2">
      <c r="A192" s="356" t="str">
        <f>INDEX(Rankings!C$2:'Rankings'!C$1000,MATCH(SMALL(Rankings!I$2:'Rankings'!I$1000,ROW()),Rankings!I$2:'Rankings'!I$1000,0))</f>
        <v>Dale Crawford</v>
      </c>
      <c r="B192" s="340" t="str">
        <f>VLOOKUP(A192,Rankings!C:E,3,FALSE)</f>
        <v>m</v>
      </c>
    </row>
    <row r="193" spans="1:2" x14ac:dyDescent="0.2">
      <c r="A193" s="356" t="str">
        <f>INDEX(Rankings!C$2:'Rankings'!C$1000,MATCH(SMALL(Rankings!I$2:'Rankings'!I$1000,ROW()),Rankings!I$2:'Rankings'!I$1000,0))</f>
        <v>Dan Bailey</v>
      </c>
      <c r="B193" s="340" t="str">
        <f>VLOOKUP(A193,Rankings!C:E,3,FALSE)</f>
        <v>m</v>
      </c>
    </row>
    <row r="194" spans="1:2" x14ac:dyDescent="0.2">
      <c r="A194" s="356" t="str">
        <f>INDEX(Rankings!C$2:'Rankings'!C$1000,MATCH(SMALL(Rankings!I$2:'Rankings'!I$1000,ROW()),Rankings!I$2:'Rankings'!I$1000,0))</f>
        <v>Dan Berman</v>
      </c>
      <c r="B194" s="340" t="str">
        <f>VLOOKUP(A194,Rankings!C:E,3,FALSE)</f>
        <v>m</v>
      </c>
    </row>
    <row r="195" spans="1:2" x14ac:dyDescent="0.2">
      <c r="A195" s="356" t="str">
        <f>INDEX(Rankings!C$2:'Rankings'!C$1000,MATCH(SMALL(Rankings!I$2:'Rankings'!I$1000,ROW()),Rankings!I$2:'Rankings'!I$1000,0))</f>
        <v>Dan Burke</v>
      </c>
      <c r="B195" s="340" t="str">
        <f>VLOOKUP(A195,Rankings!C:E,3,FALSE)</f>
        <v>m</v>
      </c>
    </row>
    <row r="196" spans="1:2" x14ac:dyDescent="0.2">
      <c r="A196" s="356" t="str">
        <f>INDEX(Rankings!C$2:'Rankings'!C$1000,MATCH(SMALL(Rankings!I$2:'Rankings'!I$1000,ROW()),Rankings!I$2:'Rankings'!I$1000,0))</f>
        <v>Dan Exelby</v>
      </c>
      <c r="B196" s="340" t="str">
        <f>VLOOKUP(A196,Rankings!C:E,3,FALSE)</f>
        <v>m</v>
      </c>
    </row>
    <row r="197" spans="1:2" x14ac:dyDescent="0.2">
      <c r="A197" s="356" t="str">
        <f>INDEX(Rankings!C$2:'Rankings'!C$1000,MATCH(SMALL(Rankings!I$2:'Rankings'!I$1000,ROW()),Rankings!I$2:'Rankings'!I$1000,0))</f>
        <v>Dan Lustiger</v>
      </c>
      <c r="B197" s="340" t="str">
        <f>VLOOKUP(A197,Rankings!C:E,3,FALSE)</f>
        <v>m</v>
      </c>
    </row>
    <row r="198" spans="1:2" x14ac:dyDescent="0.2">
      <c r="A198" s="356" t="str">
        <f>INDEX(Rankings!C$2:'Rankings'!C$1000,MATCH(SMALL(Rankings!I$2:'Rankings'!I$1000,ROW()),Rankings!I$2:'Rankings'!I$1000,0))</f>
        <v>Dan Magallanes</v>
      </c>
      <c r="B198" s="340" t="str">
        <f>VLOOKUP(A198,Rankings!C:E,3,FALSE)</f>
        <v>m</v>
      </c>
    </row>
    <row r="199" spans="1:2" x14ac:dyDescent="0.2">
      <c r="A199" s="356" t="str">
        <f>INDEX(Rankings!C$2:'Rankings'!C$1000,MATCH(SMALL(Rankings!I$2:'Rankings'!I$1000,ROW()),Rankings!I$2:'Rankings'!I$1000,0))</f>
        <v>Dan Roddick</v>
      </c>
      <c r="B199" s="340" t="str">
        <f>VLOOKUP(A199,Rankings!C:E,3,FALSE)</f>
        <v>m</v>
      </c>
    </row>
    <row r="200" spans="1:2" x14ac:dyDescent="0.2">
      <c r="A200" s="356" t="str">
        <f>INDEX(Rankings!C$2:'Rankings'!C$1000,MATCH(SMALL(Rankings!I$2:'Rankings'!I$1000,ROW()),Rankings!I$2:'Rankings'!I$1000,0))</f>
        <v>Dan Schmitt</v>
      </c>
      <c r="B200" s="340" t="str">
        <f>VLOOKUP(A200,Rankings!C:E,3,FALSE)</f>
        <v>m</v>
      </c>
    </row>
    <row r="201" spans="1:2" x14ac:dyDescent="0.2">
      <c r="A201" s="356" t="str">
        <f>INDEX(Rankings!C$2:'Rankings'!C$1000,MATCH(SMALL(Rankings!I$2:'Rankings'!I$1000,ROW()),Rankings!I$2:'Rankings'!I$1000,0))</f>
        <v>Dan Yarnell</v>
      </c>
      <c r="B201" s="340" t="str">
        <f>VLOOKUP(A201,Rankings!C:E,3,FALSE)</f>
        <v>m</v>
      </c>
    </row>
    <row r="202" spans="1:2" x14ac:dyDescent="0.2">
      <c r="A202" s="356" t="str">
        <f>INDEX(Rankings!C$2:'Rankings'!C$1000,MATCH(SMALL(Rankings!I$2:'Rankings'!I$1000,ROW()),Rankings!I$2:'Rankings'!I$1000,0))</f>
        <v>Daniel Bailey</v>
      </c>
      <c r="B202" s="340" t="str">
        <f>VLOOKUP(A202,Rankings!C:E,3,FALSE)</f>
        <v>m</v>
      </c>
    </row>
    <row r="203" spans="1:2" x14ac:dyDescent="0.2">
      <c r="A203" s="356" t="str">
        <f>INDEX(Rankings!C$2:'Rankings'!C$1000,MATCH(SMALL(Rankings!I$2:'Rankings'!I$1000,ROW()),Rankings!I$2:'Rankings'!I$1000,0))</f>
        <v>Daniel Hernandez</v>
      </c>
      <c r="B203" s="340" t="str">
        <f>VLOOKUP(A203,Rankings!C:E,3,FALSE)</f>
        <v>m</v>
      </c>
    </row>
    <row r="204" spans="1:2" x14ac:dyDescent="0.2">
      <c r="A204" s="356" t="str">
        <f>INDEX(Rankings!C$2:'Rankings'!C$1000,MATCH(SMALL(Rankings!I$2:'Rankings'!I$1000,ROW()),Rankings!I$2:'Rankings'!I$1000,0))</f>
        <v>Dániel Kárpáti</v>
      </c>
      <c r="B204" s="340" t="str">
        <f>VLOOKUP(A204,Rankings!C:E,3,FALSE)</f>
        <v>m</v>
      </c>
    </row>
    <row r="205" spans="1:2" x14ac:dyDescent="0.2">
      <c r="A205" s="356" t="str">
        <f>INDEX(Rankings!C$2:'Rankings'!C$1000,MATCH(SMALL(Rankings!I$2:'Rankings'!I$1000,ROW()),Rankings!I$2:'Rankings'!I$1000,0))</f>
        <v>Daniel Nothaas</v>
      </c>
      <c r="B205" s="340" t="str">
        <f>VLOOKUP(A205,Rankings!C:E,3,FALSE)</f>
        <v>m</v>
      </c>
    </row>
    <row r="206" spans="1:2" x14ac:dyDescent="0.2">
      <c r="A206" s="356" t="str">
        <f>INDEX(Rankings!C$2:'Rankings'!C$1000,MATCH(SMALL(Rankings!I$2:'Rankings'!I$1000,ROW()),Rankings!I$2:'Rankings'!I$1000,0))</f>
        <v>Daniel O'Neill</v>
      </c>
      <c r="B206" s="340" t="str">
        <f>VLOOKUP(A206,Rankings!C:E,3,FALSE)</f>
        <v>m</v>
      </c>
    </row>
    <row r="207" spans="1:2" x14ac:dyDescent="0.2">
      <c r="A207" s="356" t="str">
        <f>INDEX(Rankings!C$2:'Rankings'!C$1000,MATCH(SMALL(Rankings!I$2:'Rankings'!I$1000,ROW()),Rankings!I$2:'Rankings'!I$1000,0))</f>
        <v>Daniel Pinchasov</v>
      </c>
      <c r="B207" s="340" t="str">
        <f>VLOOKUP(A207,Rankings!C:E,3,FALSE)</f>
        <v>m</v>
      </c>
    </row>
    <row r="208" spans="1:2" x14ac:dyDescent="0.2">
      <c r="A208" s="356" t="str">
        <f>INDEX(Rankings!C$2:'Rankings'!C$1000,MATCH(SMALL(Rankings!I$2:'Rankings'!I$1000,ROW()),Rankings!I$2:'Rankings'!I$1000,0))</f>
        <v>Daniel Reichert</v>
      </c>
      <c r="B208" s="340" t="str">
        <f>VLOOKUP(A208,Rankings!C:E,3,FALSE)</f>
        <v>m</v>
      </c>
    </row>
    <row r="209" spans="1:2" x14ac:dyDescent="0.2">
      <c r="A209" s="356" t="str">
        <f>INDEX(Rankings!C$2:'Rankings'!C$1000,MATCH(SMALL(Rankings!I$2:'Rankings'!I$1000,ROW()),Rankings!I$2:'Rankings'!I$1000,0))</f>
        <v>Daniel Shriki</v>
      </c>
      <c r="B209" s="340" t="str">
        <f>VLOOKUP(A209,Rankings!C:E,3,FALSE)</f>
        <v>m</v>
      </c>
    </row>
    <row r="210" spans="1:2" x14ac:dyDescent="0.2">
      <c r="A210" s="356" t="str">
        <f>INDEX(Rankings!C$2:'Rankings'!C$1000,MATCH(SMALL(Rankings!I$2:'Rankings'!I$1000,ROW()),Rankings!I$2:'Rankings'!I$1000,0))</f>
        <v>Daniel Weinbuch</v>
      </c>
      <c r="B210" s="340" t="str">
        <f>VLOOKUP(A210,Rankings!C:E,3,FALSE)</f>
        <v>m</v>
      </c>
    </row>
    <row r="211" spans="1:2" x14ac:dyDescent="0.2">
      <c r="A211" s="356" t="str">
        <f>INDEX(Rankings!C$2:'Rankings'!C$1000,MATCH(SMALL(Rankings!I$2:'Rankings'!I$1000,ROW()),Rankings!I$2:'Rankings'!I$1000,0))</f>
        <v>Daniele Bertolini</v>
      </c>
      <c r="B211" s="340" t="str">
        <f>VLOOKUP(A211,Rankings!C:E,3,FALSE)</f>
        <v>m</v>
      </c>
    </row>
    <row r="212" spans="1:2" x14ac:dyDescent="0.2">
      <c r="A212" s="356" t="str">
        <f>INDEX(Rankings!C$2:'Rankings'!C$1000,MATCH(SMALL(Rankings!I$2:'Rankings'!I$1000,ROW()),Rankings!I$2:'Rankings'!I$1000,0))</f>
        <v>Daniele Circensi</v>
      </c>
      <c r="B212" s="340" t="str">
        <f>VLOOKUP(A212,Rankings!C:E,3,FALSE)</f>
        <v>m</v>
      </c>
    </row>
    <row r="213" spans="1:2" x14ac:dyDescent="0.2">
      <c r="A213" s="356" t="str">
        <f>INDEX(Rankings!C$2:'Rankings'!C$1000,MATCH(SMALL(Rankings!I$2:'Rankings'!I$1000,ROW()),Rankings!I$2:'Rankings'!I$1000,0))</f>
        <v>Daniele Malaguzzi</v>
      </c>
      <c r="B213" s="340" t="str">
        <f>VLOOKUP(A213,Rankings!C:E,3,FALSE)</f>
        <v>m</v>
      </c>
    </row>
    <row r="214" spans="1:2" x14ac:dyDescent="0.2">
      <c r="A214" s="356" t="str">
        <f>INDEX(Rankings!C$2:'Rankings'!C$1000,MATCH(SMALL(Rankings!I$2:'Rankings'!I$1000,ROW()),Rankings!I$2:'Rankings'!I$1000,0))</f>
        <v>Daniele Sancini</v>
      </c>
      <c r="B214" s="340" t="str">
        <f>VLOOKUP(A214,Rankings!C:E,3,FALSE)</f>
        <v>m</v>
      </c>
    </row>
    <row r="215" spans="1:2" x14ac:dyDescent="0.2">
      <c r="A215" s="356" t="str">
        <f>INDEX(Rankings!C$2:'Rankings'!C$1000,MATCH(SMALL(Rankings!I$2:'Rankings'!I$1000,ROW()),Rankings!I$2:'Rankings'!I$1000,0))</f>
        <v>Danilo Torzolini</v>
      </c>
      <c r="B215" s="340" t="str">
        <f>VLOOKUP(A215,Rankings!C:E,3,FALSE)</f>
        <v>m</v>
      </c>
    </row>
    <row r="216" spans="1:2" x14ac:dyDescent="0.2">
      <c r="A216" s="356" t="str">
        <f>INDEX(Rankings!C$2:'Rankings'!C$1000,MATCH(SMALL(Rankings!I$2:'Rankings'!I$1000,ROW()),Rankings!I$2:'Rankings'!I$1000,0))</f>
        <v>Danny Cameranesi</v>
      </c>
      <c r="B216" s="340" t="str">
        <f>VLOOKUP(A216,Rankings!C:E,3,FALSE)</f>
        <v>m</v>
      </c>
    </row>
    <row r="217" spans="1:2" x14ac:dyDescent="0.2">
      <c r="A217" s="356" t="str">
        <f>INDEX(Rankings!C$2:'Rankings'!C$1000,MATCH(SMALL(Rankings!I$2:'Rankings'!I$1000,ROW()),Rankings!I$2:'Rankings'!I$1000,0))</f>
        <v>Danny Miles</v>
      </c>
      <c r="B217" s="340" t="str">
        <f>VLOOKUP(A217,Rankings!C:E,3,FALSE)</f>
        <v>m</v>
      </c>
    </row>
    <row r="218" spans="1:2" x14ac:dyDescent="0.2">
      <c r="A218" s="356" t="str">
        <f>INDEX(Rankings!C$2:'Rankings'!C$1000,MATCH(SMALL(Rankings!I$2:'Rankings'!I$1000,ROW()),Rankings!I$2:'Rankings'!I$1000,0))</f>
        <v>Danny Sorgatz</v>
      </c>
      <c r="B218" s="340" t="str">
        <f>VLOOKUP(A218,Rankings!C:E,3,FALSE)</f>
        <v>m</v>
      </c>
    </row>
    <row r="219" spans="1:2" x14ac:dyDescent="0.2">
      <c r="A219" s="356" t="str">
        <f>INDEX(Rankings!C$2:'Rankings'!C$1000,MATCH(SMALL(Rankings!I$2:'Rankings'!I$1000,ROW()),Rankings!I$2:'Rankings'!I$1000,0))</f>
        <v>Dario Giusti</v>
      </c>
      <c r="B219" s="340" t="str">
        <f>VLOOKUP(A219,Rankings!C:E,3,FALSE)</f>
        <v>m</v>
      </c>
    </row>
    <row r="220" spans="1:2" x14ac:dyDescent="0.2">
      <c r="A220" s="356" t="str">
        <f>INDEX(Rankings!C$2:'Rankings'!C$1000,MATCH(SMALL(Rankings!I$2:'Rankings'!I$1000,ROW()),Rankings!I$2:'Rankings'!I$1000,0))</f>
        <v>Dario Marioni</v>
      </c>
      <c r="B220" s="340" t="str">
        <f>VLOOKUP(A220,Rankings!C:E,3,FALSE)</f>
        <v>m</v>
      </c>
    </row>
    <row r="221" spans="1:2" x14ac:dyDescent="0.2">
      <c r="A221" s="356" t="str">
        <f>INDEX(Rankings!C$2:'Rankings'!C$1000,MATCH(SMALL(Rankings!I$2:'Rankings'!I$1000,ROW()),Rankings!I$2:'Rankings'!I$1000,0))</f>
        <v>Dario Scaramucci</v>
      </c>
      <c r="B221" s="340" t="str">
        <f>VLOOKUP(A221,Rankings!C:E,3,FALSE)</f>
        <v>m</v>
      </c>
    </row>
    <row r="222" spans="1:2" x14ac:dyDescent="0.2">
      <c r="A222" s="356" t="str">
        <f>INDEX(Rankings!C$2:'Rankings'!C$1000,MATCH(SMALL(Rankings!I$2:'Rankings'!I$1000,ROW()),Rankings!I$2:'Rankings'!I$1000,0))</f>
        <v>Darryl Allen</v>
      </c>
      <c r="B222" s="340" t="str">
        <f>VLOOKUP(A222,Rankings!C:E,3,FALSE)</f>
        <v>m</v>
      </c>
    </row>
    <row r="223" spans="1:2" x14ac:dyDescent="0.2">
      <c r="A223" s="356" t="str">
        <f>INDEX(Rankings!C$2:'Rankings'!C$1000,MATCH(SMALL(Rankings!I$2:'Rankings'!I$1000,ROW()),Rankings!I$2:'Rankings'!I$1000,0))</f>
        <v>Dave Bailey</v>
      </c>
      <c r="B223" s="340" t="str">
        <f>VLOOKUP(A223,Rankings!C:E,3,FALSE)</f>
        <v>m</v>
      </c>
    </row>
    <row r="224" spans="1:2" x14ac:dyDescent="0.2">
      <c r="A224" s="356" t="str">
        <f>INDEX(Rankings!C$2:'Rankings'!C$1000,MATCH(SMALL(Rankings!I$2:'Rankings'!I$1000,ROW()),Rankings!I$2:'Rankings'!I$1000,0))</f>
        <v>Dave Bogenhagen</v>
      </c>
      <c r="B224" s="340" t="str">
        <f>VLOOKUP(A224,Rankings!C:E,3,FALSE)</f>
        <v>m</v>
      </c>
    </row>
    <row r="225" spans="1:2" x14ac:dyDescent="0.2">
      <c r="A225" s="356" t="str">
        <f>INDEX(Rankings!C$2:'Rankings'!C$1000,MATCH(SMALL(Rankings!I$2:'Rankings'!I$1000,ROW()),Rankings!I$2:'Rankings'!I$1000,0))</f>
        <v>Dave Bolyard</v>
      </c>
      <c r="B225" s="340" t="str">
        <f>VLOOKUP(A225,Rankings!C:E,3,FALSE)</f>
        <v>m</v>
      </c>
    </row>
    <row r="226" spans="1:2" x14ac:dyDescent="0.2">
      <c r="A226" s="356" t="str">
        <f>INDEX(Rankings!C$2:'Rankings'!C$1000,MATCH(SMALL(Rankings!I$2:'Rankings'!I$1000,ROW()),Rankings!I$2:'Rankings'!I$1000,0))</f>
        <v>Dave Griffin</v>
      </c>
      <c r="B226" s="340" t="str">
        <f>VLOOKUP(A226,Rankings!C:E,3,FALSE)</f>
        <v>m</v>
      </c>
    </row>
    <row r="227" spans="1:2" x14ac:dyDescent="0.2">
      <c r="A227" s="356" t="str">
        <f>INDEX(Rankings!C$2:'Rankings'!C$1000,MATCH(SMALL(Rankings!I$2:'Rankings'!I$1000,ROW()),Rankings!I$2:'Rankings'!I$1000,0))</f>
        <v>Dave Hesselberth</v>
      </c>
      <c r="B227" s="340" t="str">
        <f>VLOOKUP(A227,Rankings!C:E,3,FALSE)</f>
        <v>m</v>
      </c>
    </row>
    <row r="228" spans="1:2" x14ac:dyDescent="0.2">
      <c r="A228" s="356" t="str">
        <f>INDEX(Rankings!C$2:'Rankings'!C$1000,MATCH(SMALL(Rankings!I$2:'Rankings'!I$1000,ROW()),Rankings!I$2:'Rankings'!I$1000,0))</f>
        <v>Dave Kessler</v>
      </c>
      <c r="B228" s="340" t="str">
        <f>VLOOKUP(A228,Rankings!C:E,3,FALSE)</f>
        <v>m</v>
      </c>
    </row>
    <row r="229" spans="1:2" x14ac:dyDescent="0.2">
      <c r="A229" s="356" t="str">
        <f>INDEX(Rankings!C$2:'Rankings'!C$1000,MATCH(SMALL(Rankings!I$2:'Rankings'!I$1000,ROW()),Rankings!I$2:'Rankings'!I$1000,0))</f>
        <v>Dave Kuettner</v>
      </c>
      <c r="B229" s="340" t="str">
        <f>VLOOKUP(A229,Rankings!C:E,3,FALSE)</f>
        <v>m</v>
      </c>
    </row>
    <row r="230" spans="1:2" x14ac:dyDescent="0.2">
      <c r="A230" s="356" t="str">
        <f>INDEX(Rankings!C$2:'Rankings'!C$1000,MATCH(SMALL(Rankings!I$2:'Rankings'!I$1000,ROW()),Rankings!I$2:'Rankings'!I$1000,0))</f>
        <v>Dave Lewis</v>
      </c>
      <c r="B230" s="340" t="str">
        <f>VLOOKUP(A230,Rankings!C:E,3,FALSE)</f>
        <v>m</v>
      </c>
    </row>
    <row r="231" spans="1:2" x14ac:dyDescent="0.2">
      <c r="A231" s="356" t="str">
        <f>INDEX(Rankings!C$2:'Rankings'!C$1000,MATCH(SMALL(Rankings!I$2:'Rankings'!I$1000,ROW()),Rankings!I$2:'Rankings'!I$1000,0))</f>
        <v>Dave Murphy</v>
      </c>
      <c r="B231" s="340" t="str">
        <f>VLOOKUP(A231,Rankings!C:E,3,FALSE)</f>
        <v>m</v>
      </c>
    </row>
    <row r="232" spans="1:2" x14ac:dyDescent="0.2">
      <c r="A232" s="356" t="str">
        <f>INDEX(Rankings!C$2:'Rankings'!C$1000,MATCH(SMALL(Rankings!I$2:'Rankings'!I$1000,ROW()),Rankings!I$2:'Rankings'!I$1000,0))</f>
        <v>Dave Schiller</v>
      </c>
      <c r="B232" s="340" t="str">
        <f>VLOOKUP(A232,Rankings!C:E,3,FALSE)</f>
        <v>m</v>
      </c>
    </row>
    <row r="233" spans="1:2" x14ac:dyDescent="0.2">
      <c r="A233" s="356" t="str">
        <f>INDEX(Rankings!C$2:'Rankings'!C$1000,MATCH(SMALL(Rankings!I$2:'Rankings'!I$1000,ROW()),Rankings!I$2:'Rankings'!I$1000,0))</f>
        <v>Dave Steger</v>
      </c>
      <c r="B233" s="340" t="str">
        <f>VLOOKUP(A233,Rankings!C:E,3,FALSE)</f>
        <v>m</v>
      </c>
    </row>
    <row r="234" spans="1:2" x14ac:dyDescent="0.2">
      <c r="A234" s="356" t="str">
        <f>INDEX(Rankings!C$2:'Rankings'!C$1000,MATCH(SMALL(Rankings!I$2:'Rankings'!I$1000,ROW()),Rankings!I$2:'Rankings'!I$1000,0))</f>
        <v>Dave Zeff</v>
      </c>
      <c r="B234" s="340" t="str">
        <f>VLOOKUP(A234,Rankings!C:E,3,FALSE)</f>
        <v>m</v>
      </c>
    </row>
    <row r="235" spans="1:2" x14ac:dyDescent="0.2">
      <c r="A235" s="356" t="str">
        <f>INDEX(Rankings!C$2:'Rankings'!C$1000,MATCH(SMALL(Rankings!I$2:'Rankings'!I$1000,ROW()),Rankings!I$2:'Rankings'!I$1000,0))</f>
        <v>David Taylor</v>
      </c>
      <c r="B235" s="340" t="str">
        <f>VLOOKUP(A235,Rankings!C:E,3,FALSE)</f>
        <v>m</v>
      </c>
    </row>
    <row r="236" spans="1:2" x14ac:dyDescent="0.2">
      <c r="A236" s="356" t="str">
        <f>INDEX(Rankings!C$2:'Rankings'!C$1000,MATCH(SMALL(Rankings!I$2:'Rankings'!I$1000,ROW()),Rankings!I$2:'Rankings'!I$1000,0))</f>
        <v>David Tomiak</v>
      </c>
      <c r="B236" s="340" t="str">
        <f>VLOOKUP(A236,Rankings!C:E,3,FALSE)</f>
        <v>m</v>
      </c>
    </row>
    <row r="237" spans="1:2" x14ac:dyDescent="0.2">
      <c r="A237" s="356" t="str">
        <f>INDEX(Rankings!C$2:'Rankings'!C$1000,MATCH(SMALL(Rankings!I$2:'Rankings'!I$1000,ROW()),Rankings!I$2:'Rankings'!I$1000,0))</f>
        <v>Davide "Panda" Fortunati</v>
      </c>
      <c r="B237" s="340" t="str">
        <f>VLOOKUP(A237,Rankings!C:E,3,FALSE)</f>
        <v>m</v>
      </c>
    </row>
    <row r="238" spans="1:2" x14ac:dyDescent="0.2">
      <c r="A238" s="356" t="str">
        <f>INDEX(Rankings!C$2:'Rankings'!C$1000,MATCH(SMALL(Rankings!I$2:'Rankings'!I$1000,ROW()),Rankings!I$2:'Rankings'!I$1000,0))</f>
        <v>Davide Bacco</v>
      </c>
      <c r="B238" s="340" t="str">
        <f>VLOOKUP(A238,Rankings!C:E,3,FALSE)</f>
        <v>m</v>
      </c>
    </row>
    <row r="239" spans="1:2" x14ac:dyDescent="0.2">
      <c r="A239" s="356" t="str">
        <f>INDEX(Rankings!C$2:'Rankings'!C$1000,MATCH(SMALL(Rankings!I$2:'Rankings'!I$1000,ROW()),Rankings!I$2:'Rankings'!I$1000,0))</f>
        <v>Davide Bianchi</v>
      </c>
      <c r="B239" s="340" t="str">
        <f>VLOOKUP(A239,Rankings!C:E,3,FALSE)</f>
        <v>m</v>
      </c>
    </row>
    <row r="240" spans="1:2" x14ac:dyDescent="0.2">
      <c r="A240" s="356" t="str">
        <f>INDEX(Rankings!C$2:'Rankings'!C$1000,MATCH(SMALL(Rankings!I$2:'Rankings'!I$1000,ROW()),Rankings!I$2:'Rankings'!I$1000,0))</f>
        <v>Davide Liberti</v>
      </c>
      <c r="B240" s="340" t="str">
        <f>VLOOKUP(A240,Rankings!C:E,3,FALSE)</f>
        <v>m</v>
      </c>
    </row>
    <row r="241" spans="1:2" x14ac:dyDescent="0.2">
      <c r="A241" s="356" t="str">
        <f>INDEX(Rankings!C$2:'Rankings'!C$1000,MATCH(SMALL(Rankings!I$2:'Rankings'!I$1000,ROW()),Rankings!I$2:'Rankings'!I$1000,0))</f>
        <v>Davide Livi</v>
      </c>
      <c r="B241" s="340" t="str">
        <f>VLOOKUP(A241,Rankings!C:E,3,FALSE)</f>
        <v>m</v>
      </c>
    </row>
    <row r="242" spans="1:2" x14ac:dyDescent="0.2">
      <c r="A242" s="356" t="str">
        <f>INDEX(Rankings!C$2:'Rankings'!C$1000,MATCH(SMALL(Rankings!I$2:'Rankings'!I$1000,ROW()),Rankings!I$2:'Rankings'!I$1000,0))</f>
        <v>Davide Sanna</v>
      </c>
      <c r="B242" s="340" t="str">
        <f>VLOOKUP(A242,Rankings!C:E,3,FALSE)</f>
        <v>m</v>
      </c>
    </row>
    <row r="243" spans="1:2" x14ac:dyDescent="0.2">
      <c r="A243" s="356" t="str">
        <f>INDEX(Rankings!C$2:'Rankings'!C$1000,MATCH(SMALL(Rankings!I$2:'Rankings'!I$1000,ROW()),Rankings!I$2:'Rankings'!I$1000,0))</f>
        <v>Davide Serlenga</v>
      </c>
      <c r="B243" s="340" t="str">
        <f>VLOOKUP(A243,Rankings!C:E,3,FALSE)</f>
        <v>m</v>
      </c>
    </row>
    <row r="244" spans="1:2" x14ac:dyDescent="0.2">
      <c r="A244" s="356" t="str">
        <f>INDEX(Rankings!C$2:'Rankings'!C$1000,MATCH(SMALL(Rankings!I$2:'Rankings'!I$1000,ROW()),Rankings!I$2:'Rankings'!I$1000,0))</f>
        <v>Davis Johnson</v>
      </c>
      <c r="B244" s="340" t="str">
        <f>VLOOKUP(A244,Rankings!C:E,3,FALSE)</f>
        <v>m</v>
      </c>
    </row>
    <row r="245" spans="1:2" x14ac:dyDescent="0.2">
      <c r="A245" s="356" t="str">
        <f>INDEX(Rankings!C$2:'Rankings'!C$1000,MATCH(SMALL(Rankings!I$2:'Rankings'!I$1000,ROW()),Rankings!I$2:'Rankings'!I$1000,0))</f>
        <v>Dean Porter</v>
      </c>
      <c r="B245" s="340" t="str">
        <f>VLOOKUP(A245,Rankings!C:E,3,FALSE)</f>
        <v>m</v>
      </c>
    </row>
    <row r="246" spans="1:2" x14ac:dyDescent="0.2">
      <c r="A246" s="356" t="str">
        <f>INDEX(Rankings!C$2:'Rankings'!C$1000,MATCH(SMALL(Rankings!I$2:'Rankings'!I$1000,ROW()),Rankings!I$2:'Rankings'!I$1000,0))</f>
        <v>Delia Centonze</v>
      </c>
      <c r="B246" s="340" t="str">
        <f>VLOOKUP(A246,Rankings!C:E,3,FALSE)</f>
        <v>f</v>
      </c>
    </row>
    <row r="247" spans="1:2" x14ac:dyDescent="0.2">
      <c r="A247" s="356" t="str">
        <f>INDEX(Rankings!C$2:'Rankings'!C$1000,MATCH(SMALL(Rankings!I$2:'Rankings'!I$1000,ROW()),Rankings!I$2:'Rankings'!I$1000,0))</f>
        <v>Dennis Black</v>
      </c>
      <c r="B247" s="340" t="str">
        <f>VLOOKUP(A247,Rankings!C:E,3,FALSE)</f>
        <v>m</v>
      </c>
    </row>
    <row r="248" spans="1:2" x14ac:dyDescent="0.2">
      <c r="A248" s="356" t="str">
        <f>INDEX(Rankings!C$2:'Rankings'!C$1000,MATCH(SMALL(Rankings!I$2:'Rankings'!I$1000,ROW()),Rankings!I$2:'Rankings'!I$1000,0))</f>
        <v>Dennis Kretschmer</v>
      </c>
      <c r="B248" s="340" t="str">
        <f>VLOOKUP(A248,Rankings!C:E,3,FALSE)</f>
        <v>m</v>
      </c>
    </row>
    <row r="249" spans="1:2" x14ac:dyDescent="0.2">
      <c r="A249" s="356" t="str">
        <f>INDEX(Rankings!C$2:'Rankings'!C$1000,MATCH(SMALL(Rankings!I$2:'Rankings'!I$1000,ROW()),Rankings!I$2:'Rankings'!I$1000,0))</f>
        <v>Dennis Vollmer</v>
      </c>
      <c r="B249" s="340" t="str">
        <f>VLOOKUP(A249,Rankings!C:E,3,FALSE)</f>
        <v>m</v>
      </c>
    </row>
    <row r="250" spans="1:2" x14ac:dyDescent="0.2">
      <c r="A250" s="356" t="str">
        <f>INDEX(Rankings!C$2:'Rankings'!C$1000,MATCH(SMALL(Rankings!I$2:'Rankings'!I$1000,ROW()),Rankings!I$2:'Rankings'!I$1000,0))</f>
        <v>Derek Robins</v>
      </c>
      <c r="B250" s="340" t="str">
        <f>VLOOKUP(A250,Rankings!C:E,3,FALSE)</f>
        <v>m</v>
      </c>
    </row>
    <row r="251" spans="1:2" x14ac:dyDescent="0.2">
      <c r="A251" s="356" t="str">
        <f>INDEX(Rankings!C$2:'Rankings'!C$1000,MATCH(SMALL(Rankings!I$2:'Rankings'!I$1000,ROW()),Rankings!I$2:'Rankings'!I$1000,0))</f>
        <v>Diana Elsner</v>
      </c>
      <c r="B251" s="340" t="str">
        <f>VLOOKUP(A251,Rankings!C:E,3,FALSE)</f>
        <v>f</v>
      </c>
    </row>
    <row r="252" spans="1:2" x14ac:dyDescent="0.2">
      <c r="A252" s="356" t="str">
        <f>INDEX(Rankings!C$2:'Rankings'!C$1000,MATCH(SMALL(Rankings!I$2:'Rankings'!I$1000,ROW()),Rankings!I$2:'Rankings'!I$1000,0))</f>
        <v>Dieter Johansson</v>
      </c>
      <c r="B252" s="340" t="str">
        <f>VLOOKUP(A252,Rankings!C:E,3,FALSE)</f>
        <v>m</v>
      </c>
    </row>
    <row r="253" spans="1:2" x14ac:dyDescent="0.2">
      <c r="A253" s="356" t="str">
        <f>INDEX(Rankings!C$2:'Rankings'!C$1000,MATCH(SMALL(Rankings!I$2:'Rankings'!I$1000,ROW()),Rankings!I$2:'Rankings'!I$1000,0))</f>
        <v>Dominik Rurek</v>
      </c>
      <c r="B253" s="340" t="str">
        <f>VLOOKUP(A253,Rankings!C:E,3,FALSE)</f>
        <v>m</v>
      </c>
    </row>
    <row r="254" spans="1:2" x14ac:dyDescent="0.2">
      <c r="A254" s="356" t="str">
        <f>INDEX(Rankings!C$2:'Rankings'!C$1000,MATCH(SMALL(Rankings!I$2:'Rankings'!I$1000,ROW()),Rankings!I$2:'Rankings'!I$1000,0))</f>
        <v>Dominika Matuskova</v>
      </c>
      <c r="B254" s="340" t="str">
        <f>VLOOKUP(A254,Rankings!C:E,3,FALSE)</f>
        <v>f</v>
      </c>
    </row>
    <row r="255" spans="1:2" x14ac:dyDescent="0.2">
      <c r="A255" s="356" t="str">
        <f>INDEX(Rankings!C$2:'Rankings'!C$1000,MATCH(SMALL(Rankings!I$2:'Rankings'!I$1000,ROW()),Rankings!I$2:'Rankings'!I$1000,0))</f>
        <v>Don Hunkel</v>
      </c>
      <c r="B255" s="340" t="str">
        <f>VLOOKUP(A255,Rankings!C:E,3,FALSE)</f>
        <v>m</v>
      </c>
    </row>
    <row r="256" spans="1:2" x14ac:dyDescent="0.2">
      <c r="A256" s="356" t="str">
        <f>INDEX(Rankings!C$2:'Rankings'!C$1000,MATCH(SMALL(Rankings!I$2:'Rankings'!I$1000,ROW()),Rankings!I$2:'Rankings'!I$1000,0))</f>
        <v>Donny Baker</v>
      </c>
      <c r="B256" s="340" t="str">
        <f>VLOOKUP(A256,Rankings!C:E,3,FALSE)</f>
        <v>m</v>
      </c>
    </row>
    <row r="257" spans="1:2" x14ac:dyDescent="0.2">
      <c r="A257" s="356" t="str">
        <f>INDEX(Rankings!C$2:'Rankings'!C$1000,MATCH(SMALL(Rankings!I$2:'Rankings'!I$1000,ROW()),Rankings!I$2:'Rankings'!I$1000,0))</f>
        <v>Doug Korns</v>
      </c>
      <c r="B257" s="340" t="str">
        <f>VLOOKUP(A257,Rankings!C:E,3,FALSE)</f>
        <v>m</v>
      </c>
    </row>
    <row r="258" spans="1:2" x14ac:dyDescent="0.2">
      <c r="A258" s="356" t="str">
        <f>INDEX(Rankings!C$2:'Rankings'!C$1000,MATCH(SMALL(Rankings!I$2:'Rankings'!I$1000,ROW()),Rankings!I$2:'Rankings'!I$1000,0))</f>
        <v>Doug Simon</v>
      </c>
      <c r="B258" s="340" t="str">
        <f>VLOOKUP(A258,Rankings!C:E,3,FALSE)</f>
        <v>m</v>
      </c>
    </row>
    <row r="259" spans="1:2" x14ac:dyDescent="0.2">
      <c r="A259" s="356" t="str">
        <f>INDEX(Rankings!C$2:'Rankings'!C$1000,MATCH(SMALL(Rankings!I$2:'Rankings'!I$1000,ROW()),Rankings!I$2:'Rankings'!I$1000,0))</f>
        <v>Drew Preiss</v>
      </c>
      <c r="B259" s="340" t="str">
        <f>VLOOKUP(A259,Rankings!C:E,3,FALSE)</f>
        <v>m</v>
      </c>
    </row>
    <row r="260" spans="1:2" x14ac:dyDescent="0.2">
      <c r="A260" s="356" t="str">
        <f>INDEX(Rankings!C$2:'Rankings'!C$1000,MATCH(SMALL(Rankings!I$2:'Rankings'!I$1000,ROW()),Rankings!I$2:'Rankings'!I$1000,0))</f>
        <v>Dvir Sanela</v>
      </c>
      <c r="B260" s="340" t="str">
        <f>VLOOKUP(A260,Rankings!C:E,3,FALSE)</f>
        <v>m</v>
      </c>
    </row>
    <row r="261" spans="1:2" x14ac:dyDescent="0.2">
      <c r="A261" s="356" t="str">
        <f>INDEX(Rankings!C$2:'Rankings'!C$1000,MATCH(SMALL(Rankings!I$2:'Rankings'!I$1000,ROW()),Rankings!I$2:'Rankings'!I$1000,0))</f>
        <v>Dylan Rocha Pires</v>
      </c>
      <c r="B261" s="340" t="str">
        <f>VLOOKUP(A261,Rankings!C:E,3,FALSE)</f>
        <v>m</v>
      </c>
    </row>
    <row r="262" spans="1:2" x14ac:dyDescent="0.2">
      <c r="A262" s="356" t="str">
        <f>INDEX(Rankings!C$2:'Rankings'!C$1000,MATCH(SMALL(Rankings!I$2:'Rankings'!I$1000,ROW()),Rankings!I$2:'Rankings'!I$1000,0))</f>
        <v>Eddie Cohn</v>
      </c>
      <c r="B262" s="340" t="str">
        <f>VLOOKUP(A262,Rankings!C:E,3,FALSE)</f>
        <v>m</v>
      </c>
    </row>
    <row r="263" spans="1:2" x14ac:dyDescent="0.2">
      <c r="A263" s="356" t="str">
        <f>INDEX(Rankings!C$2:'Rankings'!C$1000,MATCH(SMALL(Rankings!I$2:'Rankings'!I$1000,ROW()),Rankings!I$2:'Rankings'!I$1000,0))</f>
        <v>Edgardo Balzac</v>
      </c>
      <c r="B263" s="340" t="str">
        <f>VLOOKUP(A263,Rankings!C:E,3,FALSE)</f>
        <v>m</v>
      </c>
    </row>
    <row r="264" spans="1:2" x14ac:dyDescent="0.2">
      <c r="A264" s="356" t="str">
        <f>INDEX(Rankings!C$2:'Rankings'!C$1000,MATCH(SMALL(Rankings!I$2:'Rankings'!I$1000,ROW()),Rankings!I$2:'Rankings'!I$1000,0))</f>
        <v>Edoardo Favorini</v>
      </c>
      <c r="B264" s="340" t="str">
        <f>VLOOKUP(A264,Rankings!C:E,3,FALSE)</f>
        <v>m</v>
      </c>
    </row>
    <row r="265" spans="1:2" x14ac:dyDescent="0.2">
      <c r="A265" s="356" t="str">
        <f>INDEX(Rankings!C$2:'Rankings'!C$1000,MATCH(SMALL(Rankings!I$2:'Rankings'!I$1000,ROW()),Rankings!I$2:'Rankings'!I$1000,0))</f>
        <v>Edoardo Gargano</v>
      </c>
      <c r="B265" s="340" t="str">
        <f>VLOOKUP(A265,Rankings!C:E,3,FALSE)</f>
        <v>m</v>
      </c>
    </row>
    <row r="266" spans="1:2" x14ac:dyDescent="0.2">
      <c r="A266" s="356" t="str">
        <f>INDEX(Rankings!C$2:'Rankings'!C$1000,MATCH(SMALL(Rankings!I$2:'Rankings'!I$1000,ROW()),Rankings!I$2:'Rankings'!I$1000,0))</f>
        <v>Edoardo Turri</v>
      </c>
      <c r="B266" s="340" t="str">
        <f>VLOOKUP(A266,Rankings!C:E,3,FALSE)</f>
        <v>m</v>
      </c>
    </row>
    <row r="267" spans="1:2" x14ac:dyDescent="0.2">
      <c r="A267" s="356" t="str">
        <f>INDEX(Rankings!C$2:'Rankings'!C$1000,MATCH(SMALL(Rankings!I$2:'Rankings'!I$1000,ROW()),Rankings!I$2:'Rankings'!I$1000,0))</f>
        <v>Eduardo Suero</v>
      </c>
      <c r="B267" s="340" t="str">
        <f>VLOOKUP(A267,Rankings!C:E,3,FALSE)</f>
        <v>m</v>
      </c>
    </row>
    <row r="268" spans="1:2" x14ac:dyDescent="0.2">
      <c r="A268" s="356" t="str">
        <f>INDEX(Rankings!C$2:'Rankings'!C$1000,MATCH(SMALL(Rankings!I$2:'Rankings'!I$1000,ROW()),Rankings!I$2:'Rankings'!I$1000,0))</f>
        <v>Eitan Labinaz</v>
      </c>
      <c r="B268" s="340" t="str">
        <f>VLOOKUP(A268,Rankings!C:E,3,FALSE)</f>
        <v>m</v>
      </c>
    </row>
    <row r="269" spans="1:2" x14ac:dyDescent="0.2">
      <c r="A269" s="356" t="str">
        <f>INDEX(Rankings!C$2:'Rankings'!C$1000,MATCH(SMALL(Rankings!I$2:'Rankings'!I$1000,ROW()),Rankings!I$2:'Rankings'!I$1000,0))</f>
        <v>Eitan Rei Koren</v>
      </c>
      <c r="B269" s="340" t="str">
        <f>VLOOKUP(A269,Rankings!C:E,3,FALSE)</f>
        <v>m</v>
      </c>
    </row>
    <row r="270" spans="1:2" x14ac:dyDescent="0.2">
      <c r="A270" s="356" t="str">
        <f>INDEX(Rankings!C$2:'Rankings'!C$1000,MATCH(SMALL(Rankings!I$2:'Rankings'!I$1000,ROW()),Rankings!I$2:'Rankings'!I$1000,0))</f>
        <v>Eitan Reikoren</v>
      </c>
      <c r="B270" s="340" t="str">
        <f>VLOOKUP(A270,Rankings!C:E,3,FALSE)</f>
        <v>m</v>
      </c>
    </row>
    <row r="271" spans="1:2" x14ac:dyDescent="0.2">
      <c r="A271" s="356" t="str">
        <f>INDEX(Rankings!C$2:'Rankings'!C$1000,MATCH(SMALL(Rankings!I$2:'Rankings'!I$1000,ROW()),Rankings!I$2:'Rankings'!I$1000,0))</f>
        <v>Elena Dal Gesso</v>
      </c>
      <c r="B271" s="340" t="str">
        <f>VLOOKUP(A271,Rankings!C:E,3,FALSE)</f>
        <v>f</v>
      </c>
    </row>
    <row r="272" spans="1:2" x14ac:dyDescent="0.2">
      <c r="A272" s="356" t="str">
        <f>INDEX(Rankings!C$2:'Rankings'!C$1000,MATCH(SMALL(Rankings!I$2:'Rankings'!I$1000,ROW()),Rankings!I$2:'Rankings'!I$1000,0))</f>
        <v>Elena Dalmasso</v>
      </c>
      <c r="B272" s="340" t="str">
        <f>VLOOKUP(A272,Rankings!C:E,3,FALSE)</f>
        <v>f</v>
      </c>
    </row>
    <row r="273" spans="1:2" x14ac:dyDescent="0.2">
      <c r="A273" s="356" t="str">
        <f>INDEX(Rankings!C$2:'Rankings'!C$1000,MATCH(SMALL(Rankings!I$2:'Rankings'!I$1000,ROW()),Rankings!I$2:'Rankings'!I$1000,0))</f>
        <v>Eleonora Imazio</v>
      </c>
      <c r="B273" s="340" t="str">
        <f>VLOOKUP(A273,Rankings!C:E,3,FALSE)</f>
        <v>f</v>
      </c>
    </row>
    <row r="274" spans="1:2" x14ac:dyDescent="0.2">
      <c r="A274" s="356" t="str">
        <f>INDEX(Rankings!C$2:'Rankings'!C$1000,MATCH(SMALL(Rankings!I$2:'Rankings'!I$1000,ROW()),Rankings!I$2:'Rankings'!I$1000,0))</f>
        <v>Elke Herwick</v>
      </c>
      <c r="B274" s="340" t="str">
        <f>VLOOKUP(A274,Rankings!C:E,3,FALSE)</f>
        <v>f</v>
      </c>
    </row>
    <row r="275" spans="1:2" x14ac:dyDescent="0.2">
      <c r="A275" s="356" t="str">
        <f>INDEX(Rankings!C$2:'Rankings'!C$1000,MATCH(SMALL(Rankings!I$2:'Rankings'!I$1000,ROW()),Rankings!I$2:'Rankings'!I$1000,0))</f>
        <v>Emanuele Faustini</v>
      </c>
      <c r="B275" s="340" t="str">
        <f>VLOOKUP(A275,Rankings!C:E,3,FALSE)</f>
        <v>m</v>
      </c>
    </row>
    <row r="276" spans="1:2" x14ac:dyDescent="0.2">
      <c r="A276" s="356" t="str">
        <f>INDEX(Rankings!C$2:'Rankings'!C$1000,MATCH(SMALL(Rankings!I$2:'Rankings'!I$1000,ROW()),Rankings!I$2:'Rankings'!I$1000,0))</f>
        <v>Emidio Prosperi</v>
      </c>
      <c r="B276" s="340" t="str">
        <f>VLOOKUP(A276,Rankings!C:E,3,FALSE)</f>
        <v>m</v>
      </c>
    </row>
    <row r="277" spans="1:2" x14ac:dyDescent="0.2">
      <c r="A277" s="356" t="str">
        <f>INDEX(Rankings!C$2:'Rankings'!C$1000,MATCH(SMALL(Rankings!I$2:'Rankings'!I$1000,ROW()),Rankings!I$2:'Rankings'!I$1000,0))</f>
        <v>Emilia Zoila</v>
      </c>
      <c r="B277" s="340" t="str">
        <f>VLOOKUP(A277,Rankings!C:E,3,FALSE)</f>
        <v>f</v>
      </c>
    </row>
    <row r="278" spans="1:2" x14ac:dyDescent="0.2">
      <c r="A278" s="356" t="str">
        <f>INDEX(Rankings!C$2:'Rankings'!C$1000,MATCH(SMALL(Rankings!I$2:'Rankings'!I$1000,ROW()),Rankings!I$2:'Rankings'!I$1000,0))</f>
        <v>Emiliano Verrino</v>
      </c>
      <c r="B278" s="340" t="str">
        <f>VLOOKUP(A278,Rankings!C:E,3,FALSE)</f>
        <v>m</v>
      </c>
    </row>
    <row r="279" spans="1:2" x14ac:dyDescent="0.2">
      <c r="A279" s="356" t="str">
        <f>INDEX(Rankings!C$2:'Rankings'!C$1000,MATCH(SMALL(Rankings!I$2:'Rankings'!I$1000,ROW()),Rankings!I$2:'Rankings'!I$1000,0))</f>
        <v>Emma Kahle</v>
      </c>
      <c r="B279" s="340" t="str">
        <f>VLOOKUP(A279,Rankings!C:E,3,FALSE)</f>
        <v>f</v>
      </c>
    </row>
    <row r="280" spans="1:2" x14ac:dyDescent="0.2">
      <c r="A280" s="356" t="str">
        <f>INDEX(Rankings!C$2:'Rankings'!C$1000,MATCH(SMALL(Rankings!I$2:'Rankings'!I$1000,ROW()),Rankings!I$2:'Rankings'!I$1000,0))</f>
        <v>Ennio Scrimieri</v>
      </c>
      <c r="B280" s="340" t="str">
        <f>VLOOKUP(A280,Rankings!C:E,3,FALSE)</f>
        <v>m</v>
      </c>
    </row>
    <row r="281" spans="1:2" x14ac:dyDescent="0.2">
      <c r="A281" s="356" t="str">
        <f>INDEX(Rankings!C$2:'Rankings'!C$1000,MATCH(SMALL(Rankings!I$2:'Rankings'!I$1000,ROW()),Rankings!I$2:'Rankings'!I$1000,0))</f>
        <v>Enrico Barsanti</v>
      </c>
      <c r="B281" s="340" t="str">
        <f>VLOOKUP(A281,Rankings!C:E,3,FALSE)</f>
        <v>m</v>
      </c>
    </row>
    <row r="282" spans="1:2" x14ac:dyDescent="0.2">
      <c r="A282" s="356" t="str">
        <f>INDEX(Rankings!C$2:'Rankings'!C$1000,MATCH(SMALL(Rankings!I$2:'Rankings'!I$1000,ROW()),Rankings!I$2:'Rankings'!I$1000,0))</f>
        <v>Enrique Faria</v>
      </c>
      <c r="B282" s="340" t="str">
        <f>VLOOKUP(A282,Rankings!C:E,3,FALSE)</f>
        <v>m</v>
      </c>
    </row>
    <row r="283" spans="1:2" x14ac:dyDescent="0.2">
      <c r="A283" s="356" t="str">
        <f>INDEX(Rankings!C$2:'Rankings'!C$1000,MATCH(SMALL(Rankings!I$2:'Rankings'!I$1000,ROW()),Rankings!I$2:'Rankings'!I$1000,0))</f>
        <v>Enrique Ortiz</v>
      </c>
      <c r="B283" s="340" t="str">
        <f>VLOOKUP(A283,Rankings!C:E,3,FALSE)</f>
        <v>m</v>
      </c>
    </row>
    <row r="284" spans="1:2" x14ac:dyDescent="0.2">
      <c r="A284" s="356" t="str">
        <f>INDEX(Rankings!C$2:'Rankings'!C$1000,MATCH(SMALL(Rankings!I$2:'Rankings'!I$1000,ROW()),Rankings!I$2:'Rankings'!I$1000,0))</f>
        <v>Eric Gibbons</v>
      </c>
      <c r="B284" s="340" t="str">
        <f>VLOOKUP(A284,Rankings!C:E,3,FALSE)</f>
        <v>m</v>
      </c>
    </row>
    <row r="285" spans="1:2" x14ac:dyDescent="0.2">
      <c r="A285" s="356" t="str">
        <f>INDEX(Rankings!C$2:'Rankings'!C$1000,MATCH(SMALL(Rankings!I$2:'Rankings'!I$1000,ROW()),Rankings!I$2:'Rankings'!I$1000,0))</f>
        <v>Erik Drummond</v>
      </c>
      <c r="B285" s="340" t="str">
        <f>VLOOKUP(A285,Rankings!C:E,3,FALSE)</f>
        <v>m</v>
      </c>
    </row>
    <row r="286" spans="1:2" x14ac:dyDescent="0.2">
      <c r="A286" s="356" t="str">
        <f>INDEX(Rankings!C$2:'Rankings'!C$1000,MATCH(SMALL(Rankings!I$2:'Rankings'!I$1000,ROW()),Rankings!I$2:'Rankings'!I$1000,0))</f>
        <v>Ermanno Mantovani</v>
      </c>
      <c r="B286" s="340" t="str">
        <f>VLOOKUP(A286,Rankings!C:E,3,FALSE)</f>
        <v>m</v>
      </c>
    </row>
    <row r="287" spans="1:2" x14ac:dyDescent="0.2">
      <c r="A287" s="356" t="str">
        <f>INDEX(Rankings!C$2:'Rankings'!C$1000,MATCH(SMALL(Rankings!I$2:'Rankings'!I$1000,ROW()),Rankings!I$2:'Rankings'!I$1000,0))</f>
        <v>Erwin Velasquez</v>
      </c>
      <c r="B287" s="340" t="str">
        <f>VLOOKUP(A287,Rankings!C:E,3,FALSE)</f>
        <v>m</v>
      </c>
    </row>
    <row r="288" spans="1:2" x14ac:dyDescent="0.2">
      <c r="A288" s="356" t="str">
        <f>INDEX(Rankings!C$2:'Rankings'!C$1000,MATCH(SMALL(Rankings!I$2:'Rankings'!I$1000,ROW()),Rankings!I$2:'Rankings'!I$1000,0))</f>
        <v>Ethan Lahm</v>
      </c>
      <c r="B288" s="340" t="str">
        <f>VLOOKUP(A288,Rankings!C:E,3,FALSE)</f>
        <v>m</v>
      </c>
    </row>
    <row r="289" spans="1:2" x14ac:dyDescent="0.2">
      <c r="A289" s="356" t="str">
        <f>INDEX(Rankings!C$2:'Rankings'!C$1000,MATCH(SMALL(Rankings!I$2:'Rankings'!I$1000,ROW()),Rankings!I$2:'Rankings'!I$1000,0))</f>
        <v>Eugenio Zaffarano</v>
      </c>
      <c r="B289" s="340" t="str">
        <f>VLOOKUP(A289,Rankings!C:E,3,FALSE)</f>
        <v>m</v>
      </c>
    </row>
    <row r="290" spans="1:2" x14ac:dyDescent="0.2">
      <c r="A290" s="356" t="str">
        <f>INDEX(Rankings!C$2:'Rankings'!C$1000,MATCH(SMALL(Rankings!I$2:'Rankings'!I$1000,ROW()),Rankings!I$2:'Rankings'!I$1000,0))</f>
        <v>Evan Walridge</v>
      </c>
      <c r="B290" s="340" t="str">
        <f>VLOOKUP(A290,Rankings!C:E,3,FALSE)</f>
        <v>m</v>
      </c>
    </row>
    <row r="291" spans="1:2" x14ac:dyDescent="0.2">
      <c r="A291" s="356" t="str">
        <f>INDEX(Rankings!C$2:'Rankings'!C$1000,MATCH(SMALL(Rankings!I$2:'Rankings'!I$1000,ROW()),Rankings!I$2:'Rankings'!I$1000,0))</f>
        <v>Fabian Dinklage</v>
      </c>
      <c r="B291" s="340" t="str">
        <f>VLOOKUP(A291,Rankings!C:E,3,FALSE)</f>
        <v>m</v>
      </c>
    </row>
    <row r="292" spans="1:2" x14ac:dyDescent="0.2">
      <c r="A292" s="356" t="str">
        <f>INDEX(Rankings!C$2:'Rankings'!C$1000,MATCH(SMALL(Rankings!I$2:'Rankings'!I$1000,ROW()),Rankings!I$2:'Rankings'!I$1000,0))</f>
        <v>Fabian Lindblad</v>
      </c>
      <c r="B292" s="340" t="str">
        <f>VLOOKUP(A292,Rankings!C:E,3,FALSE)</f>
        <v>m</v>
      </c>
    </row>
    <row r="293" spans="1:2" x14ac:dyDescent="0.2">
      <c r="A293" s="356" t="str">
        <f>INDEX(Rankings!C$2:'Rankings'!C$1000,MATCH(SMALL(Rankings!I$2:'Rankings'!I$1000,ROW()),Rankings!I$2:'Rankings'!I$1000,0))</f>
        <v>Fabiana Ciciriello</v>
      </c>
      <c r="B293" s="340" t="str">
        <f>VLOOKUP(A293,Rankings!C:E,3,FALSE)</f>
        <v>f</v>
      </c>
    </row>
    <row r="294" spans="1:2" x14ac:dyDescent="0.2">
      <c r="A294" s="356" t="str">
        <f>INDEX(Rankings!C$2:'Rankings'!C$1000,MATCH(SMALL(Rankings!I$2:'Rankings'!I$1000,ROW()),Rankings!I$2:'Rankings'!I$1000,0))</f>
        <v>Fabio Böhm</v>
      </c>
      <c r="B294" s="340" t="str">
        <f>VLOOKUP(A294,Rankings!C:E,3,FALSE)</f>
        <v>m</v>
      </c>
    </row>
    <row r="295" spans="1:2" x14ac:dyDescent="0.2">
      <c r="A295" s="356" t="str">
        <f>INDEX(Rankings!C$2:'Rankings'!C$1000,MATCH(SMALL(Rankings!I$2:'Rankings'!I$1000,ROW()),Rankings!I$2:'Rankings'!I$1000,0))</f>
        <v>Fabio Caruso</v>
      </c>
      <c r="B295" s="340" t="str">
        <f>VLOOKUP(A295,Rankings!C:E,3,FALSE)</f>
        <v>m</v>
      </c>
    </row>
    <row r="296" spans="1:2" x14ac:dyDescent="0.2">
      <c r="A296" s="356" t="str">
        <f>INDEX(Rankings!C$2:'Rankings'!C$1000,MATCH(SMALL(Rankings!I$2:'Rankings'!I$1000,ROW()),Rankings!I$2:'Rankings'!I$1000,0))</f>
        <v>Fabio Girotto</v>
      </c>
      <c r="B296" s="340" t="str">
        <f>VLOOKUP(A296,Rankings!C:E,3,FALSE)</f>
        <v>m</v>
      </c>
    </row>
    <row r="297" spans="1:2" x14ac:dyDescent="0.2">
      <c r="A297" s="356" t="str">
        <f>INDEX(Rankings!C$2:'Rankings'!C$1000,MATCH(SMALL(Rankings!I$2:'Rankings'!I$1000,ROW()),Rankings!I$2:'Rankings'!I$1000,0))</f>
        <v>Fabio Nizzo</v>
      </c>
      <c r="B297" s="340" t="str">
        <f>VLOOKUP(A297,Rankings!C:E,3,FALSE)</f>
        <v>m</v>
      </c>
    </row>
    <row r="298" spans="1:2" x14ac:dyDescent="0.2">
      <c r="A298" s="356" t="str">
        <f>INDEX(Rankings!C$2:'Rankings'!C$1000,MATCH(SMALL(Rankings!I$2:'Rankings'!I$1000,ROW()),Rankings!I$2:'Rankings'!I$1000,0))</f>
        <v>Fabio Percario</v>
      </c>
      <c r="B298" s="340" t="str">
        <f>VLOOKUP(A298,Rankings!C:E,3,FALSE)</f>
        <v>m</v>
      </c>
    </row>
    <row r="299" spans="1:2" x14ac:dyDescent="0.2">
      <c r="A299" s="356" t="str">
        <f>INDEX(Rankings!C$2:'Rankings'!C$1000,MATCH(SMALL(Rankings!I$2:'Rankings'!I$1000,ROW()),Rankings!I$2:'Rankings'!I$1000,0))</f>
        <v>Fabio Sanna</v>
      </c>
      <c r="B299" s="340" t="str">
        <f>VLOOKUP(A299,Rankings!C:E,3,FALSE)</f>
        <v>m</v>
      </c>
    </row>
    <row r="300" spans="1:2" x14ac:dyDescent="0.2">
      <c r="A300" s="356" t="str">
        <f>INDEX(Rankings!C$2:'Rankings'!C$1000,MATCH(SMALL(Rankings!I$2:'Rankings'!I$1000,ROW()),Rankings!I$2:'Rankings'!I$1000,0))</f>
        <v>Fabio Vinciguerra</v>
      </c>
      <c r="B300" s="340" t="str">
        <f>VLOOKUP(A300,Rankings!C:E,3,FALSE)</f>
        <v>m</v>
      </c>
    </row>
    <row r="301" spans="1:2" x14ac:dyDescent="0.2">
      <c r="A301" s="356" t="str">
        <f>INDEX(Rankings!C$2:'Rankings'!C$1000,MATCH(SMALL(Rankings!I$2:'Rankings'!I$1000,ROW()),Rankings!I$2:'Rankings'!I$1000,0))</f>
        <v>Fabrizio "Nino" Nicco</v>
      </c>
      <c r="B301" s="340" t="str">
        <f>VLOOKUP(A301,Rankings!C:E,3,FALSE)</f>
        <v>m</v>
      </c>
    </row>
    <row r="302" spans="1:2" x14ac:dyDescent="0.2">
      <c r="A302" s="356" t="str">
        <f>INDEX(Rankings!C$2:'Rankings'!C$1000,MATCH(SMALL(Rankings!I$2:'Rankings'!I$1000,ROW()),Rankings!I$2:'Rankings'!I$1000,0))</f>
        <v>Fabrizio De Rossi</v>
      </c>
      <c r="B302" s="340" t="str">
        <f>VLOOKUP(A302,Rankings!C:E,3,FALSE)</f>
        <v>m</v>
      </c>
    </row>
    <row r="303" spans="1:2" x14ac:dyDescent="0.2">
      <c r="A303" s="356" t="str">
        <f>INDEX(Rankings!C$2:'Rankings'!C$1000,MATCH(SMALL(Rankings!I$2:'Rankings'!I$1000,ROW()),Rankings!I$2:'Rankings'!I$1000,0))</f>
        <v>Fabrizio Gori</v>
      </c>
      <c r="B303" s="340" t="str">
        <f>VLOOKUP(A303,Rankings!C:E,3,FALSE)</f>
        <v>m</v>
      </c>
    </row>
    <row r="304" spans="1:2" x14ac:dyDescent="0.2">
      <c r="A304" s="356" t="str">
        <f>INDEX(Rankings!C$2:'Rankings'!C$1000,MATCH(SMALL(Rankings!I$2:'Rankings'!I$1000,ROW()),Rankings!I$2:'Rankings'!I$1000,0))</f>
        <v>Fabrizio La Mura</v>
      </c>
      <c r="B304" s="340" t="str">
        <f>VLOOKUP(A304,Rankings!C:E,3,FALSE)</f>
        <v>m</v>
      </c>
    </row>
    <row r="305" spans="1:2" x14ac:dyDescent="0.2">
      <c r="A305" s="356" t="str">
        <f>INDEX(Rankings!C$2:'Rankings'!C$1000,MATCH(SMALL(Rankings!I$2:'Rankings'!I$1000,ROW()),Rankings!I$2:'Rankings'!I$1000,0))</f>
        <v>Fabrizio Stefano</v>
      </c>
      <c r="B305" s="340" t="str">
        <f>VLOOKUP(A305,Rankings!C:E,3,FALSE)</f>
        <v>m</v>
      </c>
    </row>
    <row r="306" spans="1:2" x14ac:dyDescent="0.2">
      <c r="A306" s="356" t="str">
        <f>INDEX(Rankings!C$2:'Rankings'!C$1000,MATCH(SMALL(Rankings!I$2:'Rankings'!I$1000,ROW()),Rankings!I$2:'Rankings'!I$1000,0))</f>
        <v>Fabrizio Valenti</v>
      </c>
      <c r="B306" s="340" t="str">
        <f>VLOOKUP(A306,Rankings!C:E,3,FALSE)</f>
        <v>m</v>
      </c>
    </row>
    <row r="307" spans="1:2" x14ac:dyDescent="0.2">
      <c r="A307" s="356" t="str">
        <f>INDEX(Rankings!C$2:'Rankings'!C$1000,MATCH(SMALL(Rankings!I$2:'Rankings'!I$1000,ROW()),Rankings!I$2:'Rankings'!I$1000,0))</f>
        <v>Fady Kalo</v>
      </c>
      <c r="B307" s="340" t="str">
        <f>VLOOKUP(A307,Rankings!C:E,3,FALSE)</f>
        <v>m</v>
      </c>
    </row>
    <row r="308" spans="1:2" x14ac:dyDescent="0.2">
      <c r="A308" s="356" t="str">
        <f>INDEX(Rankings!C$2:'Rankings'!C$1000,MATCH(SMALL(Rankings!I$2:'Rankings'!I$1000,ROW()),Rankings!I$2:'Rankings'!I$1000,0))</f>
        <v>Fathi Abdelli</v>
      </c>
      <c r="B308" s="340" t="str">
        <f>VLOOKUP(A308,Rankings!C:E,3,FALSE)</f>
        <v>m</v>
      </c>
    </row>
    <row r="309" spans="1:2" x14ac:dyDescent="0.2">
      <c r="A309" s="356" t="str">
        <f>INDEX(Rankings!C$2:'Rankings'!C$1000,MATCH(SMALL(Rankings!I$2:'Rankings'!I$1000,ROW()),Rankings!I$2:'Rankings'!I$1000,0))</f>
        <v>Federico Bianchini</v>
      </c>
      <c r="B309" s="340" t="str">
        <f>VLOOKUP(A309,Rankings!C:E,3,FALSE)</f>
        <v>m</v>
      </c>
    </row>
    <row r="310" spans="1:2" x14ac:dyDescent="0.2">
      <c r="A310" s="356" t="str">
        <f>INDEX(Rankings!C$2:'Rankings'!C$1000,MATCH(SMALL(Rankings!I$2:'Rankings'!I$1000,ROW()),Rankings!I$2:'Rankings'!I$1000,0))</f>
        <v>Federico Bon</v>
      </c>
      <c r="B310" s="340" t="str">
        <f>VLOOKUP(A310,Rankings!C:E,3,FALSE)</f>
        <v>m</v>
      </c>
    </row>
    <row r="311" spans="1:2" x14ac:dyDescent="0.2">
      <c r="A311" s="356" t="str">
        <f>INDEX(Rankings!C$2:'Rankings'!C$1000,MATCH(SMALL(Rankings!I$2:'Rankings'!I$1000,ROW()),Rankings!I$2:'Rankings'!I$1000,0))</f>
        <v>Federico Iommi</v>
      </c>
      <c r="B311" s="340" t="str">
        <f>VLOOKUP(A311,Rankings!C:E,3,FALSE)</f>
        <v>m</v>
      </c>
    </row>
    <row r="312" spans="1:2" x14ac:dyDescent="0.2">
      <c r="A312" s="356" t="str">
        <f>INDEX(Rankings!C$2:'Rankings'!C$1000,MATCH(SMALL(Rankings!I$2:'Rankings'!I$1000,ROW()),Rankings!I$2:'Rankings'!I$1000,0))</f>
        <v>Felipe "Tito" Torres</v>
      </c>
      <c r="B312" s="340" t="str">
        <f>VLOOKUP(A312,Rankings!C:E,3,FALSE)</f>
        <v>m</v>
      </c>
    </row>
    <row r="313" spans="1:2" x14ac:dyDescent="0.2">
      <c r="A313" s="356" t="str">
        <f>INDEX(Rankings!C$2:'Rankings'!C$1000,MATCH(SMALL(Rankings!I$2:'Rankings'!I$1000,ROW()),Rankings!I$2:'Rankings'!I$1000,0))</f>
        <v>Felix Geipel</v>
      </c>
      <c r="B313" s="340" t="str">
        <f>VLOOKUP(A313,Rankings!C:E,3,FALSE)</f>
        <v>m</v>
      </c>
    </row>
    <row r="314" spans="1:2" x14ac:dyDescent="0.2">
      <c r="A314" s="356" t="str">
        <f>INDEX(Rankings!C$2:'Rankings'!C$1000,MATCH(SMALL(Rankings!I$2:'Rankings'!I$1000,ROW()),Rankings!I$2:'Rankings'!I$1000,0))</f>
        <v>Felix Krause</v>
      </c>
      <c r="B314" s="340" t="str">
        <f>VLOOKUP(A314,Rankings!C:E,3,FALSE)</f>
        <v>m</v>
      </c>
    </row>
    <row r="315" spans="1:2" x14ac:dyDescent="0.2">
      <c r="A315" s="356" t="str">
        <f>INDEX(Rankings!C$2:'Rankings'!C$1000,MATCH(SMALL(Rankings!I$2:'Rankings'!I$1000,ROW()),Rankings!I$2:'Rankings'!I$1000,0))</f>
        <v>Felix Schwarzbach</v>
      </c>
      <c r="B315" s="340" t="str">
        <f>VLOOKUP(A315,Rankings!C:E,3,FALSE)</f>
        <v>m</v>
      </c>
    </row>
    <row r="316" spans="1:2" x14ac:dyDescent="0.2">
      <c r="A316" s="356" t="str">
        <f>INDEX(Rankings!C$2:'Rankings'!C$1000,MATCH(SMALL(Rankings!I$2:'Rankings'!I$1000,ROW()),Rankings!I$2:'Rankings'!I$1000,0))</f>
        <v>Ferenc Orosz</v>
      </c>
      <c r="B316" s="340" t="str">
        <f>VLOOKUP(A316,Rankings!C:E,3,FALSE)</f>
        <v>m</v>
      </c>
    </row>
    <row r="317" spans="1:2" x14ac:dyDescent="0.2">
      <c r="A317" s="356" t="str">
        <f>INDEX(Rankings!C$2:'Rankings'!C$1000,MATCH(SMALL(Rankings!I$2:'Rankings'!I$1000,ROW()),Rankings!I$2:'Rankings'!I$1000,0))</f>
        <v>Fernando Botrugno</v>
      </c>
      <c r="B317" s="340" t="str">
        <f>VLOOKUP(A317,Rankings!C:E,3,FALSE)</f>
        <v>m</v>
      </c>
    </row>
    <row r="318" spans="1:2" x14ac:dyDescent="0.2">
      <c r="A318" s="356" t="str">
        <f>INDEX(Rankings!C$2:'Rankings'!C$1000,MATCH(SMALL(Rankings!I$2:'Rankings'!I$1000,ROW()),Rankings!I$2:'Rankings'!I$1000,0))</f>
        <v>Filip Korzycki</v>
      </c>
      <c r="B318" s="340" t="str">
        <f>VLOOKUP(A318,Rankings!C:E,3,FALSE)</f>
        <v>m</v>
      </c>
    </row>
    <row r="319" spans="1:2" x14ac:dyDescent="0.2">
      <c r="A319" s="356" t="str">
        <f>INDEX(Rankings!C$2:'Rankings'!C$1000,MATCH(SMALL(Rankings!I$2:'Rankings'!I$1000,ROW()),Rankings!I$2:'Rankings'!I$1000,0))</f>
        <v>Filippo Bortot</v>
      </c>
      <c r="B319" s="340" t="str">
        <f>VLOOKUP(A319,Rankings!C:E,3,FALSE)</f>
        <v>m</v>
      </c>
    </row>
    <row r="320" spans="1:2" x14ac:dyDescent="0.2">
      <c r="A320" s="356" t="str">
        <f>INDEX(Rankings!C$2:'Rankings'!C$1000,MATCH(SMALL(Rankings!I$2:'Rankings'!I$1000,ROW()),Rankings!I$2:'Rankings'!I$1000,0))</f>
        <v>Filippo Cavalca</v>
      </c>
      <c r="B320" s="340" t="str">
        <f>VLOOKUP(A320,Rankings!C:E,3,FALSE)</f>
        <v>m</v>
      </c>
    </row>
    <row r="321" spans="1:2" x14ac:dyDescent="0.2">
      <c r="A321" s="356" t="str">
        <f>INDEX(Rankings!C$2:'Rankings'!C$1000,MATCH(SMALL(Rankings!I$2:'Rankings'!I$1000,ROW()),Rankings!I$2:'Rankings'!I$1000,0))</f>
        <v>Filippo Del Trappeto</v>
      </c>
      <c r="B321" s="340" t="str">
        <f>VLOOKUP(A321,Rankings!C:E,3,FALSE)</f>
        <v>m</v>
      </c>
    </row>
    <row r="322" spans="1:2" x14ac:dyDescent="0.2">
      <c r="A322" s="356" t="str">
        <f>INDEX(Rankings!C$2:'Rankings'!C$1000,MATCH(SMALL(Rankings!I$2:'Rankings'!I$1000,ROW()),Rankings!I$2:'Rankings'!I$1000,0))</f>
        <v>Flavia Figa Talamanca</v>
      </c>
      <c r="B322" s="340" t="str">
        <f>VLOOKUP(A322,Rankings!C:E,3,FALSE)</f>
        <v>f</v>
      </c>
    </row>
    <row r="323" spans="1:2" x14ac:dyDescent="0.2">
      <c r="A323" s="356" t="str">
        <f>INDEX(Rankings!C$2:'Rankings'!C$1000,MATCH(SMALL(Rankings!I$2:'Rankings'!I$1000,ROW()),Rankings!I$2:'Rankings'!I$1000,0))</f>
        <v>Florian Fessler</v>
      </c>
      <c r="B323" s="340" t="str">
        <f>VLOOKUP(A323,Rankings!C:E,3,FALSE)</f>
        <v>m</v>
      </c>
    </row>
    <row r="324" spans="1:2" x14ac:dyDescent="0.2">
      <c r="A324" s="356" t="str">
        <f>INDEX(Rankings!C$2:'Rankings'!C$1000,MATCH(SMALL(Rankings!I$2:'Rankings'!I$1000,ROW()),Rankings!I$2:'Rankings'!I$1000,0))</f>
        <v>Florian Hess</v>
      </c>
      <c r="B324" s="340" t="str">
        <f>VLOOKUP(A324,Rankings!C:E,3,FALSE)</f>
        <v>m</v>
      </c>
    </row>
    <row r="325" spans="1:2" x14ac:dyDescent="0.2">
      <c r="A325" s="356" t="str">
        <f>INDEX(Rankings!C$2:'Rankings'!C$1000,MATCH(SMALL(Rankings!I$2:'Rankings'!I$1000,ROW()),Rankings!I$2:'Rankings'!I$1000,0))</f>
        <v>Florian Leist</v>
      </c>
      <c r="B325" s="340" t="str">
        <f>VLOOKUP(A325,Rankings!C:E,3,FALSE)</f>
        <v>m</v>
      </c>
    </row>
    <row r="326" spans="1:2" x14ac:dyDescent="0.2">
      <c r="A326" s="356" t="str">
        <f>INDEX(Rankings!C$2:'Rankings'!C$1000,MATCH(SMALL(Rankings!I$2:'Rankings'!I$1000,ROW()),Rankings!I$2:'Rankings'!I$1000,0))</f>
        <v>Francesca Iasenzio</v>
      </c>
      <c r="B326" s="340" t="str">
        <f>VLOOKUP(A326,Rankings!C:E,3,FALSE)</f>
        <v>f</v>
      </c>
    </row>
    <row r="327" spans="1:2" x14ac:dyDescent="0.2">
      <c r="A327" s="356" t="str">
        <f>INDEX(Rankings!C$2:'Rankings'!C$1000,MATCH(SMALL(Rankings!I$2:'Rankings'!I$1000,ROW()),Rankings!I$2:'Rankings'!I$1000,0))</f>
        <v>Francesco Lucci</v>
      </c>
      <c r="B327" s="340" t="str">
        <f>VLOOKUP(A327,Rankings!C:E,3,FALSE)</f>
        <v>m</v>
      </c>
    </row>
    <row r="328" spans="1:2" x14ac:dyDescent="0.2">
      <c r="A328" s="356" t="str">
        <f>INDEX(Rankings!C$2:'Rankings'!C$1000,MATCH(SMALL(Rankings!I$2:'Rankings'!I$1000,ROW()),Rankings!I$2:'Rankings'!I$1000,0))</f>
        <v>Francesco Paolacci</v>
      </c>
      <c r="B328" s="340" t="str">
        <f>VLOOKUP(A328,Rankings!C:E,3,FALSE)</f>
        <v>m</v>
      </c>
    </row>
    <row r="329" spans="1:2" x14ac:dyDescent="0.2">
      <c r="A329" s="356" t="str">
        <f>INDEX(Rankings!C$2:'Rankings'!C$1000,MATCH(SMALL(Rankings!I$2:'Rankings'!I$1000,ROW()),Rankings!I$2:'Rankings'!I$1000,0))</f>
        <v>Francesco Romeo</v>
      </c>
      <c r="B329" s="340" t="str">
        <f>VLOOKUP(A329,Rankings!C:E,3,FALSE)</f>
        <v>m</v>
      </c>
    </row>
    <row r="330" spans="1:2" x14ac:dyDescent="0.2">
      <c r="A330" s="356" t="str">
        <f>INDEX(Rankings!C$2:'Rankings'!C$1000,MATCH(SMALL(Rankings!I$2:'Rankings'!I$1000,ROW()),Rankings!I$2:'Rankings'!I$1000,0))</f>
        <v>Francesco Santolin</v>
      </c>
      <c r="B330" s="340" t="str">
        <f>VLOOKUP(A330,Rankings!C:E,3,FALSE)</f>
        <v>m</v>
      </c>
    </row>
    <row r="331" spans="1:2" x14ac:dyDescent="0.2">
      <c r="A331" s="356" t="str">
        <f>INDEX(Rankings!C$2:'Rankings'!C$1000,MATCH(SMALL(Rankings!I$2:'Rankings'!I$1000,ROW()),Rankings!I$2:'Rankings'!I$1000,0))</f>
        <v>Frank Lejeune</v>
      </c>
      <c r="B331" s="340" t="str">
        <f>VLOOKUP(A331,Rankings!C:E,3,FALSE)</f>
        <v>m</v>
      </c>
    </row>
    <row r="332" spans="1:2" x14ac:dyDescent="0.2">
      <c r="A332" s="356" t="str">
        <f>INDEX(Rankings!C$2:'Rankings'!C$1000,MATCH(SMALL(Rankings!I$2:'Rankings'!I$1000,ROW()),Rankings!I$2:'Rankings'!I$1000,0))</f>
        <v>Fred Salaz</v>
      </c>
      <c r="B332" s="340" t="str">
        <f>VLOOKUP(A332,Rankings!C:E,3,FALSE)</f>
        <v>m</v>
      </c>
    </row>
    <row r="333" spans="1:2" x14ac:dyDescent="0.2">
      <c r="A333" s="356" t="str">
        <f>INDEX(Rankings!C$2:'Rankings'!C$1000,MATCH(SMALL(Rankings!I$2:'Rankings'!I$1000,ROW()),Rankings!I$2:'Rankings'!I$1000,0))</f>
        <v>Freddy Finner</v>
      </c>
      <c r="B333" s="340" t="str">
        <f>VLOOKUP(A333,Rankings!C:E,3,FALSE)</f>
        <v>m</v>
      </c>
    </row>
    <row r="334" spans="1:2" x14ac:dyDescent="0.2">
      <c r="A334" s="356" t="str">
        <f>INDEX(Rankings!C$2:'Rankings'!C$1000,MATCH(SMALL(Rankings!I$2:'Rankings'!I$1000,ROW()),Rankings!I$2:'Rankings'!I$1000,0))</f>
        <v>Frederic Rudel</v>
      </c>
      <c r="B334" s="340" t="str">
        <f>VLOOKUP(A334,Rankings!C:E,3,FALSE)</f>
        <v>m</v>
      </c>
    </row>
    <row r="335" spans="1:2" x14ac:dyDescent="0.2">
      <c r="A335" s="356" t="str">
        <f>INDEX(Rankings!C$2:'Rankings'!C$1000,MATCH(SMALL(Rankings!I$2:'Rankings'!I$1000,ROW()),Rankings!I$2:'Rankings'!I$1000,0))</f>
        <v>Fredrik Bodell</v>
      </c>
      <c r="B335" s="340" t="str">
        <f>VLOOKUP(A335,Rankings!C:E,3,FALSE)</f>
        <v>m</v>
      </c>
    </row>
    <row r="336" spans="1:2" x14ac:dyDescent="0.2">
      <c r="A336" s="356" t="str">
        <f>INDEX(Rankings!C$2:'Rankings'!C$1000,MATCH(SMALL(Rankings!I$2:'Rankings'!I$1000,ROW()),Rankings!I$2:'Rankings'!I$1000,0))</f>
        <v>Gabriele Micciola</v>
      </c>
      <c r="B336" s="340" t="str">
        <f>VLOOKUP(A336,Rankings!C:E,3,FALSE)</f>
        <v>m</v>
      </c>
    </row>
    <row r="337" spans="1:2" x14ac:dyDescent="0.2">
      <c r="A337" s="356" t="str">
        <f>INDEX(Rankings!C$2:'Rankings'!C$1000,MATCH(SMALL(Rankings!I$2:'Rankings'!I$1000,ROW()),Rankings!I$2:'Rankings'!I$1000,0))</f>
        <v>Gahfur Hossini</v>
      </c>
      <c r="B337" s="340" t="str">
        <f>VLOOKUP(A337,Rankings!C:E,3,FALSE)</f>
        <v>m</v>
      </c>
    </row>
    <row r="338" spans="1:2" x14ac:dyDescent="0.2">
      <c r="A338" s="356" t="str">
        <f>INDEX(Rankings!C$2:'Rankings'!C$1000,MATCH(SMALL(Rankings!I$2:'Rankings'!I$1000,ROW()),Rankings!I$2:'Rankings'!I$1000,0))</f>
        <v>Gary Auerbach</v>
      </c>
      <c r="B338" s="340" t="str">
        <f>VLOOKUP(A338,Rankings!C:E,3,FALSE)</f>
        <v>m</v>
      </c>
    </row>
    <row r="339" spans="1:2" x14ac:dyDescent="0.2">
      <c r="A339" s="356" t="str">
        <f>INDEX(Rankings!C$2:'Rankings'!C$1000,MATCH(SMALL(Rankings!I$2:'Rankings'!I$1000,ROW()),Rankings!I$2:'Rankings'!I$1000,0))</f>
        <v>Gary Edge</v>
      </c>
      <c r="B339" s="340" t="str">
        <f>VLOOKUP(A339,Rankings!C:E,3,FALSE)</f>
        <v>m</v>
      </c>
    </row>
    <row r="340" spans="1:2" x14ac:dyDescent="0.2">
      <c r="A340" s="356" t="str">
        <f>INDEX(Rankings!C$2:'Rankings'!C$1000,MATCH(SMALL(Rankings!I$2:'Rankings'!I$1000,ROW()),Rankings!I$2:'Rankings'!I$1000,0))</f>
        <v>Geoff Gregory</v>
      </c>
      <c r="B340" s="340" t="str">
        <f>VLOOKUP(A340,Rankings!C:E,3,FALSE)</f>
        <v>m</v>
      </c>
    </row>
    <row r="341" spans="1:2" x14ac:dyDescent="0.2">
      <c r="A341" s="356" t="str">
        <f>INDEX(Rankings!C$2:'Rankings'!C$1000,MATCH(SMALL(Rankings!I$2:'Rankings'!I$1000,ROW()),Rankings!I$2:'Rankings'!I$1000,0))</f>
        <v>Gerry Geare</v>
      </c>
      <c r="B341" s="340" t="str">
        <f>VLOOKUP(A341,Rankings!C:E,3,FALSE)</f>
        <v>m</v>
      </c>
    </row>
    <row r="342" spans="1:2" x14ac:dyDescent="0.2">
      <c r="A342" s="356" t="str">
        <f>INDEX(Rankings!C$2:'Rankings'!C$1000,MATCH(SMALL(Rankings!I$2:'Rankings'!I$1000,ROW()),Rankings!I$2:'Rankings'!I$1000,0))</f>
        <v>Gery Németh</v>
      </c>
      <c r="B342" s="340" t="str">
        <f>VLOOKUP(A342,Rankings!C:E,3,FALSE)</f>
        <v>m</v>
      </c>
    </row>
    <row r="343" spans="1:2" x14ac:dyDescent="0.2">
      <c r="A343" s="356" t="str">
        <f>INDEX(Rankings!C$2:'Rankings'!C$1000,MATCH(SMALL(Rankings!I$2:'Rankings'!I$1000,ROW()),Rankings!I$2:'Rankings'!I$1000,0))</f>
        <v>Giacomo Poli</v>
      </c>
      <c r="B343" s="340" t="str">
        <f>VLOOKUP(A343,Rankings!C:E,3,FALSE)</f>
        <v>m</v>
      </c>
    </row>
    <row r="344" spans="1:2" x14ac:dyDescent="0.2">
      <c r="A344" s="356" t="str">
        <f>INDEX(Rankings!C$2:'Rankings'!C$1000,MATCH(SMALL(Rankings!I$2:'Rankings'!I$1000,ROW()),Rankings!I$2:'Rankings'!I$1000,0))</f>
        <v>Gianluca Bertoncelli</v>
      </c>
      <c r="B344" s="340" t="str">
        <f>VLOOKUP(A344,Rankings!C:E,3,FALSE)</f>
        <v>m</v>
      </c>
    </row>
    <row r="345" spans="1:2" x14ac:dyDescent="0.2">
      <c r="A345" s="356" t="str">
        <f>INDEX(Rankings!C$2:'Rankings'!C$1000,MATCH(SMALL(Rankings!I$2:'Rankings'!I$1000,ROW()),Rankings!I$2:'Rankings'!I$1000,0))</f>
        <v>Gianluca Giglio</v>
      </c>
      <c r="B345" s="340" t="str">
        <f>VLOOKUP(A345,Rankings!C:E,3,FALSE)</f>
        <v>m</v>
      </c>
    </row>
    <row r="346" spans="1:2" x14ac:dyDescent="0.2">
      <c r="A346" s="356" t="str">
        <f>INDEX(Rankings!C$2:'Rankings'!C$1000,MATCH(SMALL(Rankings!I$2:'Rankings'!I$1000,ROW()),Rankings!I$2:'Rankings'!I$1000,0))</f>
        <v>Gil Korin</v>
      </c>
      <c r="B346" s="340" t="str">
        <f>VLOOKUP(A346,Rankings!C:E,3,FALSE)</f>
        <v>m</v>
      </c>
    </row>
    <row r="347" spans="1:2" x14ac:dyDescent="0.2">
      <c r="A347" s="356" t="str">
        <f>INDEX(Rankings!C$2:'Rankings'!C$1000,MATCH(SMALL(Rankings!I$2:'Rankings'!I$1000,ROW()),Rankings!I$2:'Rankings'!I$1000,0))</f>
        <v>Gino Lucia</v>
      </c>
      <c r="B347" s="340" t="str">
        <f>VLOOKUP(A347,Rankings!C:E,3,FALSE)</f>
        <v>m</v>
      </c>
    </row>
    <row r="348" spans="1:2" x14ac:dyDescent="0.2">
      <c r="A348" s="356" t="str">
        <f>INDEX(Rankings!C$2:'Rankings'!C$1000,MATCH(SMALL(Rankings!I$2:'Rankings'!I$1000,ROW()),Rankings!I$2:'Rankings'!I$1000,0))</f>
        <v>Giovanni Coppo</v>
      </c>
      <c r="B348" s="340" t="str">
        <f>VLOOKUP(A348,Rankings!C:E,3,FALSE)</f>
        <v>m</v>
      </c>
    </row>
    <row r="349" spans="1:2" x14ac:dyDescent="0.2">
      <c r="A349" s="356" t="str">
        <f>INDEX(Rankings!C$2:'Rankings'!C$1000,MATCH(SMALL(Rankings!I$2:'Rankings'!I$1000,ROW()),Rankings!I$2:'Rankings'!I$1000,0))</f>
        <v>Giulia Aretano</v>
      </c>
      <c r="B349" s="340" t="str">
        <f>VLOOKUP(A349,Rankings!C:E,3,FALSE)</f>
        <v>f</v>
      </c>
    </row>
    <row r="350" spans="1:2" x14ac:dyDescent="0.2">
      <c r="A350" s="356" t="str">
        <f>INDEX(Rankings!C$2:'Rankings'!C$1000,MATCH(SMALL(Rankings!I$2:'Rankings'!I$1000,ROW()),Rankings!I$2:'Rankings'!I$1000,0))</f>
        <v>Giulio ?</v>
      </c>
      <c r="B350" s="340" t="str">
        <f>VLOOKUP(A350,Rankings!C:E,3,FALSE)</f>
        <v>m</v>
      </c>
    </row>
    <row r="351" spans="1:2" x14ac:dyDescent="0.2">
      <c r="A351" s="356" t="str">
        <f>INDEX(Rankings!C$2:'Rankings'!C$1000,MATCH(SMALL(Rankings!I$2:'Rankings'!I$1000,ROW()),Rankings!I$2:'Rankings'!I$1000,0))</f>
        <v>Giulio Baroni</v>
      </c>
      <c r="B351" s="340" t="str">
        <f>VLOOKUP(A351,Rankings!C:E,3,FALSE)</f>
        <v>m</v>
      </c>
    </row>
    <row r="352" spans="1:2" x14ac:dyDescent="0.2">
      <c r="A352" s="356" t="str">
        <f>INDEX(Rankings!C$2:'Rankings'!C$1000,MATCH(SMALL(Rankings!I$2:'Rankings'!I$1000,ROW()),Rankings!I$2:'Rankings'!I$1000,0))</f>
        <v>Giuseppe Rizzo</v>
      </c>
      <c r="B352" s="340" t="str">
        <f>VLOOKUP(A352,Rankings!C:E,3,FALSE)</f>
        <v>m</v>
      </c>
    </row>
    <row r="353" spans="1:2" x14ac:dyDescent="0.2">
      <c r="A353" s="356" t="str">
        <f>INDEX(Rankings!C$2:'Rankings'!C$1000,MATCH(SMALL(Rankings!I$2:'Rankings'!I$1000,ROW()),Rankings!I$2:'Rankings'!I$1000,0))</f>
        <v>Gloria Alessandrini</v>
      </c>
      <c r="B353" s="340" t="str">
        <f>VLOOKUP(A353,Rankings!C:E,3,FALSE)</f>
        <v>f</v>
      </c>
    </row>
    <row r="354" spans="1:2" x14ac:dyDescent="0.2">
      <c r="A354" s="356" t="str">
        <f>INDEX(Rankings!C$2:'Rankings'!C$1000,MATCH(SMALL(Rankings!I$2:'Rankings'!I$1000,ROW()),Rankings!I$2:'Rankings'!I$1000,0))</f>
        <v>Gohar Mossavar Rahmani</v>
      </c>
      <c r="B354" s="340" t="str">
        <f>VLOOKUP(A354,Rankings!C:E,3,FALSE)</f>
        <v>f</v>
      </c>
    </row>
    <row r="355" spans="1:2" x14ac:dyDescent="0.2">
      <c r="A355" s="356" t="str">
        <f>INDEX(Rankings!C$2:'Rankings'!C$1000,MATCH(SMALL(Rankings!I$2:'Rankings'!I$1000,ROW()),Rankings!I$2:'Rankings'!I$1000,0))</f>
        <v>Gordy Brown</v>
      </c>
      <c r="B355" s="340" t="str">
        <f>VLOOKUP(A355,Rankings!C:E,3,FALSE)</f>
        <v>m</v>
      </c>
    </row>
    <row r="356" spans="1:2" x14ac:dyDescent="0.2">
      <c r="A356" s="356" t="str">
        <f>INDEX(Rankings!C$2:'Rankings'!C$1000,MATCH(SMALL(Rankings!I$2:'Rankings'!I$1000,ROW()),Rankings!I$2:'Rankings'!I$1000,0))</f>
        <v>Grant Guilmor</v>
      </c>
      <c r="B356" s="340" t="str">
        <f>VLOOKUP(A356,Rankings!C:E,3,FALSE)</f>
        <v>m</v>
      </c>
    </row>
    <row r="357" spans="1:2" x14ac:dyDescent="0.2">
      <c r="A357" s="356" t="str">
        <f>INDEX(Rankings!C$2:'Rankings'!C$1000,MATCH(SMALL(Rankings!I$2:'Rankings'!I$1000,ROW()),Rankings!I$2:'Rankings'!I$1000,0))</f>
        <v>Greg Goren</v>
      </c>
      <c r="B357" s="340" t="str">
        <f>VLOOKUP(A357,Rankings!C:E,3,FALSE)</f>
        <v>m</v>
      </c>
    </row>
    <row r="358" spans="1:2" x14ac:dyDescent="0.2">
      <c r="A358" s="356" t="str">
        <f>INDEX(Rankings!C$2:'Rankings'!C$1000,MATCH(SMALL(Rankings!I$2:'Rankings'!I$1000,ROW()),Rankings!I$2:'Rankings'!I$1000,0))</f>
        <v>Greg Marter</v>
      </c>
      <c r="B358" s="340" t="str">
        <f>VLOOKUP(A358,Rankings!C:E,3,FALSE)</f>
        <v>m</v>
      </c>
    </row>
    <row r="359" spans="1:2" x14ac:dyDescent="0.2">
      <c r="A359" s="356" t="str">
        <f>INDEX(Rankings!C$2:'Rankings'!C$1000,MATCH(SMALL(Rankings!I$2:'Rankings'!I$1000,ROW()),Rankings!I$2:'Rankings'!I$1000,0))</f>
        <v>Greg Riley</v>
      </c>
      <c r="B359" s="340" t="str">
        <f>VLOOKUP(A359,Rankings!C:E,3,FALSE)</f>
        <v>m</v>
      </c>
    </row>
    <row r="360" spans="1:2" x14ac:dyDescent="0.2">
      <c r="A360" s="356" t="str">
        <f>INDEX(Rankings!C$2:'Rankings'!C$1000,MATCH(SMALL(Rankings!I$2:'Rankings'!I$1000,ROW()),Rankings!I$2:'Rankings'!I$1000,0))</f>
        <v>Gregg Hosfeld</v>
      </c>
      <c r="B360" s="340" t="str">
        <f>VLOOKUP(A360,Rankings!C:E,3,FALSE)</f>
        <v>m</v>
      </c>
    </row>
    <row r="361" spans="1:2" x14ac:dyDescent="0.2">
      <c r="A361" s="356" t="str">
        <f>INDEX(Rankings!C$2:'Rankings'!C$1000,MATCH(SMALL(Rankings!I$2:'Rankings'!I$1000,ROW()),Rankings!I$2:'Rankings'!I$1000,0))</f>
        <v>Gregory Lo-a-sjoe</v>
      </c>
      <c r="B361" s="340" t="str">
        <f>VLOOKUP(A361,Rankings!C:E,3,FALSE)</f>
        <v>m</v>
      </c>
    </row>
    <row r="362" spans="1:2" x14ac:dyDescent="0.2">
      <c r="A362" s="356" t="str">
        <f>INDEX(Rankings!C$2:'Rankings'!C$1000,MATCH(SMALL(Rankings!I$2:'Rankings'!I$1000,ROW()),Rankings!I$2:'Rankings'!I$1000,0))</f>
        <v>Greyce Ayla D'avila Rosa</v>
      </c>
      <c r="B362" s="340" t="str">
        <f>VLOOKUP(A362,Rankings!C:E,3,FALSE)</f>
        <v>f</v>
      </c>
    </row>
    <row r="363" spans="1:2" x14ac:dyDescent="0.2">
      <c r="A363" s="356" t="str">
        <f>INDEX(Rankings!C$2:'Rankings'!C$1000,MATCH(SMALL(Rankings!I$2:'Rankings'!I$1000,ROW()),Rankings!I$2:'Rankings'!I$1000,0))</f>
        <v>Guglielmo Feis</v>
      </c>
      <c r="B363" s="340" t="str">
        <f>VLOOKUP(A363,Rankings!C:E,3,FALSE)</f>
        <v>m</v>
      </c>
    </row>
    <row r="364" spans="1:2" x14ac:dyDescent="0.2">
      <c r="A364" s="356" t="str">
        <f>INDEX(Rankings!C$2:'Rankings'!C$1000,MATCH(SMALL(Rankings!I$2:'Rankings'!I$1000,ROW()),Rankings!I$2:'Rankings'!I$1000,0))</f>
        <v>Gur Kimel</v>
      </c>
      <c r="B364" s="340" t="str">
        <f>VLOOKUP(A364,Rankings!C:E,3,FALSE)</f>
        <v>m</v>
      </c>
    </row>
    <row r="365" spans="1:2" x14ac:dyDescent="0.2">
      <c r="A365" s="356" t="str">
        <f>INDEX(Rankings!C$2:'Rankings'!C$1000,MATCH(SMALL(Rankings!I$2:'Rankings'!I$1000,ROW()),Rankings!I$2:'Rankings'!I$1000,0))</f>
        <v>Guy Clemente</v>
      </c>
      <c r="B365" s="340" t="str">
        <f>VLOOKUP(A365,Rankings!C:E,3,FALSE)</f>
        <v>m</v>
      </c>
    </row>
    <row r="366" spans="1:2" x14ac:dyDescent="0.2">
      <c r="A366" s="356" t="str">
        <f>INDEX(Rankings!C$2:'Rankings'!C$1000,MATCH(SMALL(Rankings!I$2:'Rankings'!I$1000,ROW()),Rankings!I$2:'Rankings'!I$1000,0))</f>
        <v>Hampus Colbrand</v>
      </c>
      <c r="B366" s="340" t="str">
        <f>VLOOKUP(A366,Rankings!C:E,3,FALSE)</f>
        <v>m</v>
      </c>
    </row>
    <row r="367" spans="1:2" x14ac:dyDescent="0.2">
      <c r="A367" s="356" t="str">
        <f>INDEX(Rankings!C$2:'Rankings'!C$1000,MATCH(SMALL(Rankings!I$2:'Rankings'!I$1000,ROW()),Rankings!I$2:'Rankings'!I$1000,0))</f>
        <v>Hank Bass</v>
      </c>
      <c r="B367" s="340" t="str">
        <f>VLOOKUP(A367,Rankings!C:E,3,FALSE)</f>
        <v>m</v>
      </c>
    </row>
    <row r="368" spans="1:2" x14ac:dyDescent="0.2">
      <c r="A368" s="356" t="str">
        <f>INDEX(Rankings!C$2:'Rankings'!C$1000,MATCH(SMALL(Rankings!I$2:'Rankings'!I$1000,ROW()),Rankings!I$2:'Rankings'!I$1000,0))</f>
        <v>Hanna Dura</v>
      </c>
      <c r="B368" s="340" t="str">
        <f>VLOOKUP(A368,Rankings!C:E,3,FALSE)</f>
        <v>f</v>
      </c>
    </row>
    <row r="369" spans="1:2" x14ac:dyDescent="0.2">
      <c r="A369" s="356" t="str">
        <f>INDEX(Rankings!C$2:'Rankings'!C$1000,MATCH(SMALL(Rankings!I$2:'Rankings'!I$1000,ROW()),Rankings!I$2:'Rankings'!I$1000,0))</f>
        <v>Hanna Gustafsson</v>
      </c>
      <c r="B369" s="340" t="str">
        <f>VLOOKUP(A369,Rankings!C:E,3,FALSE)</f>
        <v>f</v>
      </c>
    </row>
    <row r="370" spans="1:2" x14ac:dyDescent="0.2">
      <c r="A370" s="356" t="str">
        <f>INDEX(Rankings!C$2:'Rankings'!C$1000,MATCH(SMALL(Rankings!I$2:'Rankings'!I$1000,ROW()),Rankings!I$2:'Rankings'!I$1000,0))</f>
        <v>Hans Peeters</v>
      </c>
      <c r="B370" s="340" t="str">
        <f>VLOOKUP(A370,Rankings!C:E,3,FALSE)</f>
        <v>m</v>
      </c>
    </row>
    <row r="371" spans="1:2" x14ac:dyDescent="0.2">
      <c r="A371" s="356" t="str">
        <f>INDEX(Rankings!C$2:'Rankings'!C$1000,MATCH(SMALL(Rankings!I$2:'Rankings'!I$1000,ROW()),Rankings!I$2:'Rankings'!I$1000,0))</f>
        <v>Harald S.</v>
      </c>
      <c r="B371" s="340" t="str">
        <f>VLOOKUP(A371,Rankings!C:E,3,FALSE)</f>
        <v>m</v>
      </c>
    </row>
    <row r="372" spans="1:2" x14ac:dyDescent="0.2">
      <c r="A372" s="356" t="str">
        <f>INDEX(Rankings!C$2:'Rankings'!C$1000,MATCH(SMALL(Rankings!I$2:'Rankings'!I$1000,ROW()),Rankings!I$2:'Rankings'!I$1000,0))</f>
        <v>Harvey Brandt</v>
      </c>
      <c r="B372" s="340" t="str">
        <f>VLOOKUP(A372,Rankings!C:E,3,FALSE)</f>
        <v>m</v>
      </c>
    </row>
    <row r="373" spans="1:2" x14ac:dyDescent="0.2">
      <c r="A373" s="356" t="str">
        <f>INDEX(Rankings!C$2:'Rankings'!C$1000,MATCH(SMALL(Rankings!I$2:'Rankings'!I$1000,ROW()),Rankings!I$2:'Rankings'!I$1000,0))</f>
        <v>Hauke Raschen</v>
      </c>
      <c r="B373" s="340" t="str">
        <f>VLOOKUP(A373,Rankings!C:E,3,FALSE)</f>
        <v>m</v>
      </c>
    </row>
    <row r="374" spans="1:2" x14ac:dyDescent="0.2">
      <c r="A374" s="356" t="str">
        <f>INDEX(Rankings!C$2:'Rankings'!C$1000,MATCH(SMALL(Rankings!I$2:'Rankings'!I$1000,ROW()),Rankings!I$2:'Rankings'!I$1000,0))</f>
        <v>Hayato Hikari</v>
      </c>
      <c r="B374" s="340" t="str">
        <f>VLOOKUP(A374,Rankings!C:E,3,FALSE)</f>
        <v>m</v>
      </c>
    </row>
    <row r="375" spans="1:2" x14ac:dyDescent="0.2">
      <c r="A375" s="356" t="str">
        <f>INDEX(Rankings!C$2:'Rankings'!C$1000,MATCH(SMALL(Rankings!I$2:'Rankings'!I$1000,ROW()),Rankings!I$2:'Rankings'!I$1000,0))</f>
        <v>Hazma Abdelli</v>
      </c>
      <c r="B375" s="340" t="str">
        <f>VLOOKUP(A375,Rankings!C:E,3,FALSE)</f>
        <v>m</v>
      </c>
    </row>
    <row r="376" spans="1:2" x14ac:dyDescent="0.2">
      <c r="A376" s="356" t="str">
        <f>INDEX(Rankings!C$2:'Rankings'!C$1000,MATCH(SMALL(Rankings!I$2:'Rankings'!I$1000,ROW()),Rankings!I$2:'Rankings'!I$1000,0))</f>
        <v>Heather Bogenhagen</v>
      </c>
      <c r="B376" s="340" t="str">
        <f>VLOOKUP(A376,Rankings!C:E,3,FALSE)</f>
        <v>f</v>
      </c>
    </row>
    <row r="377" spans="1:2" x14ac:dyDescent="0.2">
      <c r="A377" s="356" t="str">
        <f>INDEX(Rankings!C$2:'Rankings'!C$1000,MATCH(SMALL(Rankings!I$2:'Rankings'!I$1000,ROW()),Rankings!I$2:'Rankings'!I$1000,0))</f>
        <v>Heather Gray</v>
      </c>
      <c r="B377" s="340" t="str">
        <f>VLOOKUP(A377,Rankings!C:E,3,FALSE)</f>
        <v>f</v>
      </c>
    </row>
    <row r="378" spans="1:2" x14ac:dyDescent="0.2">
      <c r="A378" s="356" t="str">
        <f>INDEX(Rankings!C$2:'Rankings'!C$1000,MATCH(SMALL(Rankings!I$2:'Rankings'!I$1000,ROW()),Rankings!I$2:'Rankings'!I$1000,0))</f>
        <v>Heiko Vogt</v>
      </c>
      <c r="B378" s="340" t="str">
        <f>VLOOKUP(A378,Rankings!C:E,3,FALSE)</f>
        <v>m</v>
      </c>
    </row>
    <row r="379" spans="1:2" x14ac:dyDescent="0.2">
      <c r="A379" s="356" t="str">
        <f>INDEX(Rankings!C$2:'Rankings'!C$1000,MATCH(SMALL(Rankings!I$2:'Rankings'!I$1000,ROW()),Rankings!I$2:'Rankings'!I$1000,0))</f>
        <v>Heinz Auferodt</v>
      </c>
      <c r="B379" s="340" t="str">
        <f>VLOOKUP(A379,Rankings!C:E,3,FALSE)</f>
        <v>m</v>
      </c>
    </row>
    <row r="380" spans="1:2" x14ac:dyDescent="0.2">
      <c r="A380" s="356" t="str">
        <f>INDEX(Rankings!C$2:'Rankings'!C$1000,MATCH(SMALL(Rankings!I$2:'Rankings'!I$1000,ROW()),Rankings!I$2:'Rankings'!I$1000,0))</f>
        <v>Henrik Klein</v>
      </c>
      <c r="B380" s="340" t="str">
        <f>VLOOKUP(A380,Rankings!C:E,3,FALSE)</f>
        <v>m</v>
      </c>
    </row>
    <row r="381" spans="1:2" x14ac:dyDescent="0.2">
      <c r="A381" s="356" t="str">
        <f>INDEX(Rankings!C$2:'Rankings'!C$1000,MATCH(SMALL(Rankings!I$2:'Rankings'!I$1000,ROW()),Rankings!I$2:'Rankings'!I$1000,0))</f>
        <v>Henrik Montin</v>
      </c>
      <c r="B381" s="340" t="str">
        <f>VLOOKUP(A381,Rankings!C:E,3,FALSE)</f>
        <v>m</v>
      </c>
    </row>
    <row r="382" spans="1:2" x14ac:dyDescent="0.2">
      <c r="A382" s="356" t="str">
        <f>INDEX(Rankings!C$2:'Rankings'!C$1000,MATCH(SMALL(Rankings!I$2:'Rankings'!I$1000,ROW()),Rankings!I$2:'Rankings'!I$1000,0))</f>
        <v>Hiroshi Oguri</v>
      </c>
      <c r="B382" s="340" t="str">
        <f>VLOOKUP(A382,Rankings!C:E,3,FALSE)</f>
        <v>m</v>
      </c>
    </row>
    <row r="383" spans="1:2" x14ac:dyDescent="0.2">
      <c r="A383" s="356" t="str">
        <f>INDEX(Rankings!C$2:'Rankings'!C$1000,MATCH(SMALL(Rankings!I$2:'Rankings'!I$1000,ROW()),Rankings!I$2:'Rankings'!I$1000,0))</f>
        <v>Hiroshi Okano</v>
      </c>
      <c r="B383" s="340" t="str">
        <f>VLOOKUP(A383,Rankings!C:E,3,FALSE)</f>
        <v>m</v>
      </c>
    </row>
    <row r="384" spans="1:2" x14ac:dyDescent="0.2">
      <c r="A384" s="356" t="str">
        <f>INDEX(Rankings!C$2:'Rankings'!C$1000,MATCH(SMALL(Rankings!I$2:'Rankings'!I$1000,ROW()),Rankings!I$2:'Rankings'!I$1000,0))</f>
        <v>Hiroshi Yokota</v>
      </c>
      <c r="B384" s="340" t="str">
        <f>VLOOKUP(A384,Rankings!C:E,3,FALSE)</f>
        <v>m</v>
      </c>
    </row>
    <row r="385" spans="1:2" x14ac:dyDescent="0.2">
      <c r="A385" s="356" t="str">
        <f>INDEX(Rankings!C$2:'Rankings'!C$1000,MATCH(SMALL(Rankings!I$2:'Rankings'!I$1000,ROW()),Rankings!I$2:'Rankings'!I$1000,0))</f>
        <v>Hiroyuki Takeno</v>
      </c>
      <c r="B385" s="340" t="str">
        <f>VLOOKUP(A385,Rankings!C:E,3,FALSE)</f>
        <v>m</v>
      </c>
    </row>
    <row r="386" spans="1:2" x14ac:dyDescent="0.2">
      <c r="A386" s="356" t="str">
        <f>INDEX(Rankings!C$2:'Rankings'!C$1000,MATCH(SMALL(Rankings!I$2:'Rankings'!I$1000,ROW()),Rankings!I$2:'Rankings'!I$1000,0))</f>
        <v>Hiroyuki Takeuchi</v>
      </c>
      <c r="B386" s="340" t="str">
        <f>VLOOKUP(A386,Rankings!C:E,3,FALSE)</f>
        <v>m</v>
      </c>
    </row>
    <row r="387" spans="1:2" x14ac:dyDescent="0.2">
      <c r="A387" s="356" t="str">
        <f>INDEX(Rankings!C$2:'Rankings'!C$1000,MATCH(SMALL(Rankings!I$2:'Rankings'!I$1000,ROW()),Rankings!I$2:'Rankings'!I$1000,0))</f>
        <v>Holger Hill</v>
      </c>
      <c r="B387" s="340" t="str">
        <f>VLOOKUP(A387,Rankings!C:E,3,FALSE)</f>
        <v>m</v>
      </c>
    </row>
    <row r="388" spans="1:2" x14ac:dyDescent="0.2">
      <c r="A388" s="356" t="str">
        <f>INDEX(Rankings!C$2:'Rankings'!C$1000,MATCH(SMALL(Rankings!I$2:'Rankings'!I$1000,ROW()),Rankings!I$2:'Rankings'!I$1000,0))</f>
        <v>Holger Sorgatz</v>
      </c>
      <c r="B388" s="340" t="str">
        <f>VLOOKUP(A388,Rankings!C:E,3,FALSE)</f>
        <v>m</v>
      </c>
    </row>
    <row r="389" spans="1:2" x14ac:dyDescent="0.2">
      <c r="A389" s="356" t="str">
        <f>INDEX(Rankings!C$2:'Rankings'!C$1000,MATCH(SMALL(Rankings!I$2:'Rankings'!I$1000,ROW()),Rankings!I$2:'Rankings'!I$1000,0))</f>
        <v>Hunter Wootten</v>
      </c>
      <c r="B389" s="340" t="str">
        <f>VLOOKUP(A389,Rankings!C:E,3,FALSE)</f>
        <v>m</v>
      </c>
    </row>
    <row r="390" spans="1:2" x14ac:dyDescent="0.2">
      <c r="A390" s="356" t="str">
        <f>INDEX(Rankings!C$2:'Rankings'!C$1000,MATCH(SMALL(Rankings!I$2:'Rankings'!I$1000,ROW()),Rankings!I$2:'Rankings'!I$1000,0))</f>
        <v>Ian Kitchens</v>
      </c>
      <c r="B390" s="340" t="str">
        <f>VLOOKUP(A390,Rankings!C:E,3,FALSE)</f>
        <v>m</v>
      </c>
    </row>
    <row r="391" spans="1:2" x14ac:dyDescent="0.2">
      <c r="A391" s="356" t="str">
        <f>INDEX(Rankings!C$2:'Rankings'!C$1000,MATCH(SMALL(Rankings!I$2:'Rankings'!I$1000,ROW()),Rankings!I$2:'Rankings'!I$1000,0))</f>
        <v>Ian Schwarz</v>
      </c>
      <c r="B391" s="340" t="str">
        <f>VLOOKUP(A391,Rankings!C:E,3,FALSE)</f>
        <v>m</v>
      </c>
    </row>
    <row r="392" spans="1:2" x14ac:dyDescent="0.2">
      <c r="A392" s="356" t="str">
        <f>INDEX(Rankings!C$2:'Rankings'!C$1000,MATCH(SMALL(Rankings!I$2:'Rankings'!I$1000,ROW()),Rankings!I$2:'Rankings'!I$1000,0))</f>
        <v>Ian White</v>
      </c>
      <c r="B392" s="340" t="str">
        <f>VLOOKUP(A392,Rankings!C:E,3,FALSE)</f>
        <v>m</v>
      </c>
    </row>
    <row r="393" spans="1:2" x14ac:dyDescent="0.2">
      <c r="A393" s="356" t="str">
        <f>INDEX(Rankings!C$2:'Rankings'!C$1000,MATCH(SMALL(Rankings!I$2:'Rankings'!I$1000,ROW()),Rankings!I$2:'Rankings'!I$1000,0))</f>
        <v>Idan Levy</v>
      </c>
      <c r="B393" s="340" t="str">
        <f>VLOOKUP(A393,Rankings!C:E,3,FALSE)</f>
        <v>m</v>
      </c>
    </row>
    <row r="394" spans="1:2" x14ac:dyDescent="0.2">
      <c r="A394" s="356" t="str">
        <f>INDEX(Rankings!C$2:'Rankings'!C$1000,MATCH(SMALL(Rankings!I$2:'Rankings'!I$1000,ROW()),Rankings!I$2:'Rankings'!I$1000,0))</f>
        <v>Ilaria Aprile</v>
      </c>
      <c r="B394" s="340" t="str">
        <f>VLOOKUP(A394,Rankings!C:E,3,FALSE)</f>
        <v>f</v>
      </c>
    </row>
    <row r="395" spans="1:2" x14ac:dyDescent="0.2">
      <c r="A395" s="356" t="str">
        <f>INDEX(Rankings!C$2:'Rankings'!C$1000,MATCH(SMALL(Rankings!I$2:'Rankings'!I$1000,ROW()),Rankings!I$2:'Rankings'!I$1000,0))</f>
        <v>Ilaria Capobianco</v>
      </c>
      <c r="B395" s="340" t="str">
        <f>VLOOKUP(A395,Rankings!C:E,3,FALSE)</f>
        <v>f</v>
      </c>
    </row>
    <row r="396" spans="1:2" x14ac:dyDescent="0.2">
      <c r="A396" s="356" t="str">
        <f>INDEX(Rankings!C$2:'Rankings'!C$1000,MATCH(SMALL(Rankings!I$2:'Rankings'!I$1000,ROW()),Rankings!I$2:'Rankings'!I$1000,0))</f>
        <v>Ilka Simon</v>
      </c>
      <c r="B396" s="340" t="str">
        <f>VLOOKUP(A396,Rankings!C:E,3,FALSE)</f>
        <v>f</v>
      </c>
    </row>
    <row r="397" spans="1:2" x14ac:dyDescent="0.2">
      <c r="A397" s="356" t="str">
        <f>INDEX(Rankings!C$2:'Rankings'!C$1000,MATCH(SMALL(Rankings!I$2:'Rankings'!I$1000,ROW()),Rankings!I$2:'Rankings'!I$1000,0))</f>
        <v>Ilona Heinz</v>
      </c>
      <c r="B397" s="340" t="str">
        <f>VLOOKUP(A397,Rankings!C:E,3,FALSE)</f>
        <v>f</v>
      </c>
    </row>
    <row r="398" spans="1:2" x14ac:dyDescent="0.2">
      <c r="A398" s="356" t="str">
        <f>INDEX(Rankings!C$2:'Rankings'!C$1000,MATCH(SMALL(Rankings!I$2:'Rankings'!I$1000,ROW()),Rankings!I$2:'Rankings'!I$1000,0))</f>
        <v>Irena Kulisanova</v>
      </c>
      <c r="B398" s="340" t="str">
        <f>VLOOKUP(A398,Rankings!C:E,3,FALSE)</f>
        <v>f</v>
      </c>
    </row>
    <row r="399" spans="1:2" x14ac:dyDescent="0.2">
      <c r="A399" s="356" t="str">
        <f>INDEX(Rankings!C$2:'Rankings'!C$1000,MATCH(SMALL(Rankings!I$2:'Rankings'!I$1000,ROW()),Rankings!I$2:'Rankings'!I$1000,0))</f>
        <v>Itay Gal</v>
      </c>
      <c r="B399" s="340" t="str">
        <f>VLOOKUP(A399,Rankings!C:E,3,FALSE)</f>
        <v>m</v>
      </c>
    </row>
    <row r="400" spans="1:2" x14ac:dyDescent="0.2">
      <c r="A400" s="356" t="str">
        <f>INDEX(Rankings!C$2:'Rankings'!C$1000,MATCH(SMALL(Rankings!I$2:'Rankings'!I$1000,ROW()),Rankings!I$2:'Rankings'!I$1000,0))</f>
        <v>Iva Svrchokrylova</v>
      </c>
      <c r="B400" s="340" t="str">
        <f>VLOOKUP(A400,Rankings!C:E,3,FALSE)</f>
        <v>f</v>
      </c>
    </row>
    <row r="401" spans="1:2" x14ac:dyDescent="0.2">
      <c r="A401" s="356" t="str">
        <f>INDEX(Rankings!C$2:'Rankings'!C$1000,MATCH(SMALL(Rankings!I$2:'Rankings'!I$1000,ROW()),Rankings!I$2:'Rankings'!I$1000,0))</f>
        <v>Ivano Gallo</v>
      </c>
      <c r="B401" s="340" t="str">
        <f>VLOOKUP(A401,Rankings!C:E,3,FALSE)</f>
        <v>m</v>
      </c>
    </row>
    <row r="402" spans="1:2" x14ac:dyDescent="0.2">
      <c r="A402" s="356" t="str">
        <f>INDEX(Rankings!C$2:'Rankings'!C$1000,MATCH(SMALL(Rankings!I$2:'Rankings'!I$1000,ROW()),Rankings!I$2:'Rankings'!I$1000,0))</f>
        <v>Iwan de Moor</v>
      </c>
      <c r="B402" s="340" t="str">
        <f>VLOOKUP(A402,Rankings!C:E,3,FALSE)</f>
        <v>m</v>
      </c>
    </row>
    <row r="403" spans="1:2" x14ac:dyDescent="0.2">
      <c r="A403" s="356" t="str">
        <f>INDEX(Rankings!C$2:'Rankings'!C$1000,MATCH(SMALL(Rankings!I$2:'Rankings'!I$1000,ROW()),Rankings!I$2:'Rankings'!I$1000,0))</f>
        <v>J Kaurt</v>
      </c>
      <c r="B403" s="340" t="str">
        <f>VLOOKUP(A403,Rankings!C:E,3,FALSE)</f>
        <v>m</v>
      </c>
    </row>
    <row r="404" spans="1:2" x14ac:dyDescent="0.2">
      <c r="A404" s="356" t="str">
        <f>INDEX(Rankings!C$2:'Rankings'!C$1000,MATCH(SMALL(Rankings!I$2:'Rankings'!I$1000,ROW()),Rankings!I$2:'Rankings'!I$1000,0))</f>
        <v>Jack Cooksey</v>
      </c>
      <c r="B404" s="340" t="str">
        <f>VLOOKUP(A404,Rankings!C:E,3,FALSE)</f>
        <v>m</v>
      </c>
    </row>
    <row r="405" spans="1:2" x14ac:dyDescent="0.2">
      <c r="A405" s="356" t="str">
        <f>INDEX(Rankings!C$2:'Rankings'!C$1000,MATCH(SMALL(Rankings!I$2:'Rankings'!I$1000,ROW()),Rankings!I$2:'Rankings'!I$1000,0))</f>
        <v>Jack Herrick</v>
      </c>
      <c r="B405" s="340" t="str">
        <f>VLOOKUP(A405,Rankings!C:E,3,FALSE)</f>
        <v>m</v>
      </c>
    </row>
    <row r="406" spans="1:2" x14ac:dyDescent="0.2">
      <c r="A406" s="356" t="str">
        <f>INDEX(Rankings!C$2:'Rankings'!C$1000,MATCH(SMALL(Rankings!I$2:'Rankings'!I$1000,ROW()),Rankings!I$2:'Rankings'!I$1000,0))</f>
        <v>Jack Stanton</v>
      </c>
      <c r="B406" s="340" t="str">
        <f>VLOOKUP(A406,Rankings!C:E,3,FALSE)</f>
        <v>m</v>
      </c>
    </row>
    <row r="407" spans="1:2" x14ac:dyDescent="0.2">
      <c r="A407" s="356" t="str">
        <f>INDEX(Rankings!C$2:'Rankings'!C$1000,MATCH(SMALL(Rankings!I$2:'Rankings'!I$1000,ROW()),Rankings!I$2:'Rankings'!I$1000,0))</f>
        <v>Jacob Cuba</v>
      </c>
      <c r="B407" s="340" t="str">
        <f>VLOOKUP(A407,Rankings!C:E,3,FALSE)</f>
        <v>m</v>
      </c>
    </row>
    <row r="408" spans="1:2" x14ac:dyDescent="0.2">
      <c r="A408" s="356" t="str">
        <f>INDEX(Rankings!C$2:'Rankings'!C$1000,MATCH(SMALL(Rankings!I$2:'Rankings'!I$1000,ROW()),Rankings!I$2:'Rankings'!I$1000,0))</f>
        <v>Jacopo Battaglino</v>
      </c>
      <c r="B408" s="340" t="str">
        <f>VLOOKUP(A408,Rankings!C:E,3,FALSE)</f>
        <v>m</v>
      </c>
    </row>
    <row r="409" spans="1:2" x14ac:dyDescent="0.2">
      <c r="A409" s="356" t="str">
        <f>INDEX(Rankings!C$2:'Rankings'!C$1000,MATCH(SMALL(Rankings!I$2:'Rankings'!I$1000,ROW()),Rankings!I$2:'Rankings'!I$1000,0))</f>
        <v>Jacqueline Hummel</v>
      </c>
      <c r="B409" s="340" t="str">
        <f>VLOOKUP(A409,Rankings!C:E,3,FALSE)</f>
        <v>f</v>
      </c>
    </row>
    <row r="410" spans="1:2" x14ac:dyDescent="0.2">
      <c r="A410" s="356" t="str">
        <f>INDEX(Rankings!C$2:'Rankings'!C$1000,MATCH(SMALL(Rankings!I$2:'Rankings'!I$1000,ROW()),Rankings!I$2:'Rankings'!I$1000,0))</f>
        <v>Jaden Paul</v>
      </c>
      <c r="B410" s="340" t="str">
        <f>VLOOKUP(A410,Rankings!C:E,3,FALSE)</f>
        <v>m</v>
      </c>
    </row>
    <row r="411" spans="1:2" x14ac:dyDescent="0.2">
      <c r="A411" s="356" t="str">
        <f>INDEX(Rankings!C$2:'Rankings'!C$1000,MATCH(SMALL(Rankings!I$2:'Rankings'!I$1000,ROW()),Rankings!I$2:'Rankings'!I$1000,0))</f>
        <v>Jake Coleman</v>
      </c>
      <c r="B411" s="340" t="str">
        <f>VLOOKUP(A411,Rankings!C:E,3,FALSE)</f>
        <v>m</v>
      </c>
    </row>
    <row r="412" spans="1:2" x14ac:dyDescent="0.2">
      <c r="A412" s="356" t="str">
        <f>INDEX(Rankings!C$2:'Rankings'!C$1000,MATCH(SMALL(Rankings!I$2:'Rankings'!I$1000,ROW()),Rankings!I$2:'Rankings'!I$1000,0))</f>
        <v>Jake Gauthier</v>
      </c>
      <c r="B412" s="340" t="str">
        <f>VLOOKUP(A412,Rankings!C:E,3,FALSE)</f>
        <v>m</v>
      </c>
    </row>
    <row r="413" spans="1:2" x14ac:dyDescent="0.2">
      <c r="A413" s="356" t="str">
        <f>INDEX(Rankings!C$2:'Rankings'!C$1000,MATCH(SMALL(Rankings!I$2:'Rankings'!I$1000,ROW()),Rankings!I$2:'Rankings'!I$1000,0))</f>
        <v>Jakub Hosek</v>
      </c>
      <c r="B413" s="340" t="str">
        <f>VLOOKUP(A413,Rankings!C:E,3,FALSE)</f>
        <v>m</v>
      </c>
    </row>
    <row r="414" spans="1:2" x14ac:dyDescent="0.2">
      <c r="A414" s="356" t="str">
        <f>INDEX(Rankings!C$2:'Rankings'!C$1000,MATCH(SMALL(Rankings!I$2:'Rankings'!I$1000,ROW()),Rankings!I$2:'Rankings'!I$1000,0))</f>
        <v>Jakub Kostel</v>
      </c>
      <c r="B414" s="340" t="str">
        <f>VLOOKUP(A414,Rankings!C:E,3,FALSE)</f>
        <v>m</v>
      </c>
    </row>
    <row r="415" spans="1:2" x14ac:dyDescent="0.2">
      <c r="A415" s="356" t="str">
        <f>INDEX(Rankings!C$2:'Rankings'!C$1000,MATCH(SMALL(Rankings!I$2:'Rankings'!I$1000,ROW()),Rankings!I$2:'Rankings'!I$1000,0))</f>
        <v>Jakub Matula</v>
      </c>
      <c r="B415" s="340" t="str">
        <f>VLOOKUP(A415,Rankings!C:E,3,FALSE)</f>
        <v>m</v>
      </c>
    </row>
    <row r="416" spans="1:2" x14ac:dyDescent="0.2">
      <c r="A416" s="356" t="str">
        <f>INDEX(Rankings!C$2:'Rankings'!C$1000,MATCH(SMALL(Rankings!I$2:'Rankings'!I$1000,ROW()),Rankings!I$2:'Rankings'!I$1000,0))</f>
        <v>Jakub Sedlak</v>
      </c>
      <c r="B416" s="340" t="str">
        <f>VLOOKUP(A416,Rankings!C:E,3,FALSE)</f>
        <v>m</v>
      </c>
    </row>
    <row r="417" spans="1:2" x14ac:dyDescent="0.2">
      <c r="A417" s="356" t="str">
        <f>INDEX(Rankings!C$2:'Rankings'!C$1000,MATCH(SMALL(Rankings!I$2:'Rankings'!I$1000,ROW()),Rankings!I$2:'Rankings'!I$1000,0))</f>
        <v>Jakub Zahradnicek</v>
      </c>
      <c r="B417" s="340" t="str">
        <f>VLOOKUP(A417,Rankings!C:E,3,FALSE)</f>
        <v>m</v>
      </c>
    </row>
    <row r="418" spans="1:2" x14ac:dyDescent="0.2">
      <c r="A418" s="356" t="str">
        <f>INDEX(Rankings!C$2:'Rankings'!C$1000,MATCH(SMALL(Rankings!I$2:'Rankings'!I$1000,ROW()),Rankings!I$2:'Rankings'!I$1000,0))</f>
        <v>James Emerson</v>
      </c>
      <c r="B418" s="340" t="str">
        <f>VLOOKUP(A418,Rankings!C:E,3,FALSE)</f>
        <v>m</v>
      </c>
    </row>
    <row r="419" spans="1:2" x14ac:dyDescent="0.2">
      <c r="A419" s="356" t="str">
        <f>INDEX(Rankings!C$2:'Rankings'!C$1000,MATCH(SMALL(Rankings!I$2:'Rankings'!I$1000,ROW()),Rankings!I$2:'Rankings'!I$1000,0))</f>
        <v>James Wiseman</v>
      </c>
      <c r="B419" s="340" t="str">
        <f>VLOOKUP(A419,Rankings!C:E,3,FALSE)</f>
        <v>m</v>
      </c>
    </row>
    <row r="420" spans="1:2" x14ac:dyDescent="0.2">
      <c r="A420" s="356" t="str">
        <f>INDEX(Rankings!C$2:'Rankings'!C$1000,MATCH(SMALL(Rankings!I$2:'Rankings'!I$1000,ROW()),Rankings!I$2:'Rankings'!I$1000,0))</f>
        <v>Jamie Chantiles</v>
      </c>
      <c r="B420" s="340" t="str">
        <f>VLOOKUP(A420,Rankings!C:E,3,FALSE)</f>
        <v>m</v>
      </c>
    </row>
    <row r="421" spans="1:2" x14ac:dyDescent="0.2">
      <c r="A421" s="356" t="str">
        <f>INDEX(Rankings!C$2:'Rankings'!C$1000,MATCH(SMALL(Rankings!I$2:'Rankings'!I$1000,ROW()),Rankings!I$2:'Rankings'!I$1000,0))</f>
        <v>Jammer Mom Kenny</v>
      </c>
      <c r="B421" s="340" t="str">
        <f>VLOOKUP(A421,Rankings!C:E,3,FALSE)</f>
        <v>f</v>
      </c>
    </row>
    <row r="422" spans="1:2" x14ac:dyDescent="0.2">
      <c r="A422" s="356" t="str">
        <f>INDEX(Rankings!C$2:'Rankings'!C$1000,MATCH(SMALL(Rankings!I$2:'Rankings'!I$1000,ROW()),Rankings!I$2:'Rankings'!I$1000,0))</f>
        <v>Jan "Dexter" Struz</v>
      </c>
      <c r="B422" s="340" t="str">
        <f>VLOOKUP(A422,Rankings!C:E,3,FALSE)</f>
        <v>m</v>
      </c>
    </row>
    <row r="423" spans="1:2" x14ac:dyDescent="0.2">
      <c r="A423" s="356" t="str">
        <f>INDEX(Rankings!C$2:'Rankings'!C$1000,MATCH(SMALL(Rankings!I$2:'Rankings'!I$1000,ROW()),Rankings!I$2:'Rankings'!I$1000,0))</f>
        <v>Jan Bäss</v>
      </c>
      <c r="B423" s="340" t="str">
        <f>VLOOKUP(A423,Rankings!C:E,3,FALSE)</f>
        <v>m</v>
      </c>
    </row>
    <row r="424" spans="1:2" x14ac:dyDescent="0.2">
      <c r="A424" s="356" t="str">
        <f>INDEX(Rankings!C$2:'Rankings'!C$1000,MATCH(SMALL(Rankings!I$2:'Rankings'!I$1000,ROW()),Rankings!I$2:'Rankings'!I$1000,0))</f>
        <v>Jan Dufke</v>
      </c>
      <c r="B424" s="340" t="str">
        <f>VLOOKUP(A424,Rankings!C:E,3,FALSE)</f>
        <v>m</v>
      </c>
    </row>
    <row r="425" spans="1:2" x14ac:dyDescent="0.2">
      <c r="A425" s="356" t="str">
        <f>INDEX(Rankings!C$2:'Rankings'!C$1000,MATCH(SMALL(Rankings!I$2:'Rankings'!I$1000,ROW()),Rankings!I$2:'Rankings'!I$1000,0))</f>
        <v>Jan Ekman</v>
      </c>
      <c r="B425" s="340" t="str">
        <f>VLOOKUP(A425,Rankings!C:E,3,FALSE)</f>
        <v>m</v>
      </c>
    </row>
    <row r="426" spans="1:2" x14ac:dyDescent="0.2">
      <c r="A426" s="356" t="str">
        <f>INDEX(Rankings!C$2:'Rankings'!C$1000,MATCH(SMALL(Rankings!I$2:'Rankings'!I$1000,ROW()),Rankings!I$2:'Rankings'!I$1000,0))</f>
        <v>Jan Huybrechts</v>
      </c>
      <c r="B426" s="340" t="str">
        <f>VLOOKUP(A426,Rankings!C:E,3,FALSE)</f>
        <v>m</v>
      </c>
    </row>
    <row r="427" spans="1:2" x14ac:dyDescent="0.2">
      <c r="A427" s="356" t="str">
        <f>INDEX(Rankings!C$2:'Rankings'!C$1000,MATCH(SMALL(Rankings!I$2:'Rankings'!I$1000,ROW()),Rankings!I$2:'Rankings'!I$1000,0))</f>
        <v>Jan Mertens</v>
      </c>
      <c r="B427" s="340" t="str">
        <f>VLOOKUP(A427,Rankings!C:E,3,FALSE)</f>
        <v>m</v>
      </c>
    </row>
    <row r="428" spans="1:2" x14ac:dyDescent="0.2">
      <c r="A428" s="356" t="str">
        <f>INDEX(Rankings!C$2:'Rankings'!C$1000,MATCH(SMALL(Rankings!I$2:'Rankings'!I$1000,ROW()),Rankings!I$2:'Rankings'!I$1000,0))</f>
        <v>Jan Schreck</v>
      </c>
      <c r="B428" s="340" t="str">
        <f>VLOOKUP(A428,Rankings!C:E,3,FALSE)</f>
        <v>m</v>
      </c>
    </row>
    <row r="429" spans="1:2" x14ac:dyDescent="0.2">
      <c r="A429" s="356" t="str">
        <f>INDEX(Rankings!C$2:'Rankings'!C$1000,MATCH(SMALL(Rankings!I$2:'Rankings'!I$1000,ROW()),Rankings!I$2:'Rankings'!I$1000,0))</f>
        <v>Jan Skladanowski</v>
      </c>
      <c r="B429" s="340" t="str">
        <f>VLOOKUP(A429,Rankings!C:E,3,FALSE)</f>
        <v>m</v>
      </c>
    </row>
    <row r="430" spans="1:2" x14ac:dyDescent="0.2">
      <c r="A430" s="356" t="str">
        <f>INDEX(Rankings!C$2:'Rankings'!C$1000,MATCH(SMALL(Rankings!I$2:'Rankings'!I$1000,ROW()),Rankings!I$2:'Rankings'!I$1000,0))</f>
        <v>Jan Soerensen</v>
      </c>
      <c r="B430" s="340" t="str">
        <f>VLOOKUP(A430,Rankings!C:E,3,FALSE)</f>
        <v>m</v>
      </c>
    </row>
    <row r="431" spans="1:2" x14ac:dyDescent="0.2">
      <c r="A431" s="356" t="str">
        <f>INDEX(Rankings!C$2:'Rankings'!C$1000,MATCH(SMALL(Rankings!I$2:'Rankings'!I$1000,ROW()),Rankings!I$2:'Rankings'!I$1000,0))</f>
        <v>Jan Vincent</v>
      </c>
      <c r="B431" s="340" t="str">
        <f>VLOOKUP(A431,Rankings!C:E,3,FALSE)</f>
        <v>m</v>
      </c>
    </row>
    <row r="432" spans="1:2" x14ac:dyDescent="0.2">
      <c r="A432" s="356" t="str">
        <f>INDEX(Rankings!C$2:'Rankings'!C$1000,MATCH(SMALL(Rankings!I$2:'Rankings'!I$1000,ROW()),Rankings!I$2:'Rankings'!I$1000,0))</f>
        <v>Jan Zahradnicek</v>
      </c>
      <c r="B432" s="340" t="str">
        <f>VLOOKUP(A432,Rankings!C:E,3,FALSE)</f>
        <v>m</v>
      </c>
    </row>
    <row r="433" spans="1:2" x14ac:dyDescent="0.2">
      <c r="A433" s="356" t="str">
        <f>INDEX(Rankings!C$2:'Rankings'!C$1000,MATCH(SMALL(Rankings!I$2:'Rankings'!I$1000,ROW()),Rankings!I$2:'Rankings'!I$1000,0))</f>
        <v>Jan Zverina</v>
      </c>
      <c r="B433" s="340" t="str">
        <f>VLOOKUP(A433,Rankings!C:E,3,FALSE)</f>
        <v>m</v>
      </c>
    </row>
    <row r="434" spans="1:2" x14ac:dyDescent="0.2">
      <c r="A434" s="356" t="str">
        <f>INDEX(Rankings!C$2:'Rankings'!C$1000,MATCH(SMALL(Rankings!I$2:'Rankings'!I$1000,ROW()),Rankings!I$2:'Rankings'!I$1000,0))</f>
        <v>Janine ?</v>
      </c>
      <c r="B434" s="340" t="str">
        <f>VLOOKUP(A434,Rankings!C:E,3,FALSE)</f>
        <v>f</v>
      </c>
    </row>
    <row r="435" spans="1:2" x14ac:dyDescent="0.2">
      <c r="A435" s="356" t="str">
        <f>INDEX(Rankings!C$2:'Rankings'!C$1000,MATCH(SMALL(Rankings!I$2:'Rankings'!I$1000,ROW()),Rankings!I$2:'Rankings'!I$1000,0))</f>
        <v>Janis Brunner</v>
      </c>
      <c r="B435" s="340" t="str">
        <f>VLOOKUP(A435,Rankings!C:E,3,FALSE)</f>
        <v>m</v>
      </c>
    </row>
    <row r="436" spans="1:2" x14ac:dyDescent="0.2">
      <c r="A436" s="356" t="str">
        <f>INDEX(Rankings!C$2:'Rankings'!C$1000,MATCH(SMALL(Rankings!I$2:'Rankings'!I$1000,ROW()),Rankings!I$2:'Rankings'!I$1000,0))</f>
        <v>Janis Degenhardt</v>
      </c>
      <c r="B436" s="340" t="str">
        <f>VLOOKUP(A436,Rankings!C:E,3,FALSE)</f>
        <v>m</v>
      </c>
    </row>
    <row r="437" spans="1:2" x14ac:dyDescent="0.2">
      <c r="A437" s="356" t="str">
        <f>INDEX(Rankings!C$2:'Rankings'!C$1000,MATCH(SMALL(Rankings!I$2:'Rankings'!I$1000,ROW()),Rankings!I$2:'Rankings'!I$1000,0))</f>
        <v>Jannis Brünner</v>
      </c>
      <c r="B437" s="340" t="str">
        <f>VLOOKUP(A437,Rankings!C:E,3,FALSE)</f>
        <v>m</v>
      </c>
    </row>
    <row r="438" spans="1:2" x14ac:dyDescent="0.2">
      <c r="A438" s="356" t="str">
        <f>INDEX(Rankings!C$2:'Rankings'!C$1000,MATCH(SMALL(Rankings!I$2:'Rankings'!I$1000,ROW()),Rankings!I$2:'Rankings'!I$1000,0))</f>
        <v>Jason McGlade</v>
      </c>
      <c r="B438" s="340" t="str">
        <f>VLOOKUP(A438,Rankings!C:E,3,FALSE)</f>
        <v>m</v>
      </c>
    </row>
    <row r="439" spans="1:2" x14ac:dyDescent="0.2">
      <c r="A439" s="356" t="str">
        <f>INDEX(Rankings!C$2:'Rankings'!C$1000,MATCH(SMALL(Rankings!I$2:'Rankings'!I$1000,ROW()),Rankings!I$2:'Rankings'!I$1000,0))</f>
        <v>Jason Salkey</v>
      </c>
      <c r="B439" s="340" t="str">
        <f>VLOOKUP(A439,Rankings!C:E,3,FALSE)</f>
        <v>m</v>
      </c>
    </row>
    <row r="440" spans="1:2" x14ac:dyDescent="0.2">
      <c r="A440" s="356" t="str">
        <f>INDEX(Rankings!C$2:'Rankings'!C$1000,MATCH(SMALL(Rankings!I$2:'Rankings'!I$1000,ROW()),Rankings!I$2:'Rankings'!I$1000,0))</f>
        <v>Jason Urroz</v>
      </c>
      <c r="B440" s="340" t="str">
        <f>VLOOKUP(A440,Rankings!C:E,3,FALSE)</f>
        <v>m</v>
      </c>
    </row>
    <row r="441" spans="1:2" x14ac:dyDescent="0.2">
      <c r="A441" s="356" t="str">
        <f>INDEX(Rankings!C$2:'Rankings'!C$1000,MATCH(SMALL(Rankings!I$2:'Rankings'!I$1000,ROW()),Rankings!I$2:'Rankings'!I$1000,0))</f>
        <v>Jason Varvaro</v>
      </c>
      <c r="B441" s="340" t="str">
        <f>VLOOKUP(A441,Rankings!C:E,3,FALSE)</f>
        <v>m</v>
      </c>
    </row>
    <row r="442" spans="1:2" x14ac:dyDescent="0.2">
      <c r="A442" s="356" t="str">
        <f>INDEX(Rankings!C$2:'Rankings'!C$1000,MATCH(SMALL(Rankings!I$2:'Rankings'!I$1000,ROW()),Rankings!I$2:'Rankings'!I$1000,0))</f>
        <v>Jasun Burdic</v>
      </c>
      <c r="B442" s="340" t="str">
        <f>VLOOKUP(A442,Rankings!C:E,3,FALSE)</f>
        <v>m</v>
      </c>
    </row>
    <row r="443" spans="1:2" x14ac:dyDescent="0.2">
      <c r="A443" s="356" t="str">
        <f>INDEX(Rankings!C$2:'Rankings'!C$1000,MATCH(SMALL(Rankings!I$2:'Rankings'!I$1000,ROW()),Rankings!I$2:'Rankings'!I$1000,0))</f>
        <v>Jay Hinkle</v>
      </c>
      <c r="B443" s="340" t="str">
        <f>VLOOKUP(A443,Rankings!C:E,3,FALSE)</f>
        <v>m</v>
      </c>
    </row>
    <row r="444" spans="1:2" x14ac:dyDescent="0.2">
      <c r="A444" s="356" t="str">
        <f>INDEX(Rankings!C$2:'Rankings'!C$1000,MATCH(SMALL(Rankings!I$2:'Rankings'!I$1000,ROW()),Rankings!I$2:'Rankings'!I$1000,0))</f>
        <v>Jay Koonts</v>
      </c>
      <c r="B444" s="340" t="str">
        <f>VLOOKUP(A444,Rankings!C:E,3,FALSE)</f>
        <v>m</v>
      </c>
    </row>
    <row r="445" spans="1:2" x14ac:dyDescent="0.2">
      <c r="A445" s="356" t="str">
        <f>INDEX(Rankings!C$2:'Rankings'!C$1000,MATCH(SMALL(Rankings!I$2:'Rankings'!I$1000,ROW()),Rankings!I$2:'Rankings'!I$1000,0))</f>
        <v>Jay Moldenhauer</v>
      </c>
      <c r="B445" s="340" t="str">
        <f>VLOOKUP(A445,Rankings!C:E,3,FALSE)</f>
        <v>m</v>
      </c>
    </row>
    <row r="446" spans="1:2" x14ac:dyDescent="0.2">
      <c r="A446" s="356" t="str">
        <f>INDEX(Rankings!C$2:'Rankings'!C$1000,MATCH(SMALL(Rankings!I$2:'Rankings'!I$1000,ROW()),Rankings!I$2:'Rankings'!I$1000,0))</f>
        <v>Jean Marie Abel</v>
      </c>
      <c r="B446" s="340" t="str">
        <f>VLOOKUP(A446,Rankings!C:E,3,FALSE)</f>
        <v>m</v>
      </c>
    </row>
    <row r="447" spans="1:2" x14ac:dyDescent="0.2">
      <c r="A447" s="356" t="str">
        <f>INDEX(Rankings!C$2:'Rankings'!C$1000,MATCH(SMALL(Rankings!I$2:'Rankings'!I$1000,ROW()),Rankings!I$2:'Rankings'!I$1000,0))</f>
        <v>Jeannette Ortiz</v>
      </c>
      <c r="B447" s="340" t="str">
        <f>VLOOKUP(A447,Rankings!C:E,3,FALSE)</f>
        <v>f</v>
      </c>
    </row>
    <row r="448" spans="1:2" x14ac:dyDescent="0.2">
      <c r="A448" s="356" t="str">
        <f>INDEX(Rankings!C$2:'Rankings'!C$1000,MATCH(SMALL(Rankings!I$2:'Rankings'!I$1000,ROW()),Rankings!I$2:'Rankings'!I$1000,0))</f>
        <v>Jeff Fiedler</v>
      </c>
      <c r="B448" s="340" t="str">
        <f>VLOOKUP(A448,Rankings!C:E,3,FALSE)</f>
        <v>m</v>
      </c>
    </row>
    <row r="449" spans="1:2" x14ac:dyDescent="0.2">
      <c r="A449" s="356" t="str">
        <f>INDEX(Rankings!C$2:'Rankings'!C$1000,MATCH(SMALL(Rankings!I$2:'Rankings'!I$1000,ROW()),Rankings!I$2:'Rankings'!I$1000,0))</f>
        <v>Jeff Korns</v>
      </c>
      <c r="B449" s="340" t="str">
        <f>VLOOKUP(A449,Rankings!C:E,3,FALSE)</f>
        <v>m</v>
      </c>
    </row>
    <row r="450" spans="1:2" x14ac:dyDescent="0.2">
      <c r="A450" s="356" t="str">
        <f>INDEX(Rankings!C$2:'Rankings'!C$1000,MATCH(SMALL(Rankings!I$2:'Rankings'!I$1000,ROW()),Rankings!I$2:'Rankings'!I$1000,0))</f>
        <v>Jeff Kruger</v>
      </c>
      <c r="B450" s="340" t="str">
        <f>VLOOKUP(A450,Rankings!C:E,3,FALSE)</f>
        <v>m</v>
      </c>
    </row>
    <row r="451" spans="1:2" x14ac:dyDescent="0.2">
      <c r="A451" s="356" t="str">
        <f>INDEX(Rankings!C$2:'Rankings'!C$1000,MATCH(SMALL(Rankings!I$2:'Rankings'!I$1000,ROW()),Rankings!I$2:'Rankings'!I$1000,0))</f>
        <v>Jeff O'Brien</v>
      </c>
      <c r="B451" s="340" t="str">
        <f>VLOOKUP(A451,Rankings!C:E,3,FALSE)</f>
        <v>m</v>
      </c>
    </row>
    <row r="452" spans="1:2" x14ac:dyDescent="0.2">
      <c r="A452" s="356" t="str">
        <f>INDEX(Rankings!C$2:'Rankings'!C$1000,MATCH(SMALL(Rankings!I$2:'Rankings'!I$1000,ROW()),Rankings!I$2:'Rankings'!I$1000,0))</f>
        <v>Jeff Palmieri</v>
      </c>
      <c r="B452" s="340" t="str">
        <f>VLOOKUP(A452,Rankings!C:E,3,FALSE)</f>
        <v>m</v>
      </c>
    </row>
    <row r="453" spans="1:2" x14ac:dyDescent="0.2">
      <c r="A453" s="356" t="str">
        <f>INDEX(Rankings!C$2:'Rankings'!C$1000,MATCH(SMALL(Rankings!I$2:'Rankings'!I$1000,ROW()),Rankings!I$2:'Rankings'!I$1000,0))</f>
        <v>Jeff Shelton</v>
      </c>
      <c r="B453" s="340" t="str">
        <f>VLOOKUP(A453,Rankings!C:E,3,FALSE)</f>
        <v>m</v>
      </c>
    </row>
    <row r="454" spans="1:2" x14ac:dyDescent="0.2">
      <c r="A454" s="356" t="str">
        <f>INDEX(Rankings!C$2:'Rankings'!C$1000,MATCH(SMALL(Rankings!I$2:'Rankings'!I$1000,ROW()),Rankings!I$2:'Rankings'!I$1000,0))</f>
        <v>Jen Griffin</v>
      </c>
      <c r="B454" s="340" t="str">
        <f>VLOOKUP(A454,Rankings!C:E,3,FALSE)</f>
        <v>f</v>
      </c>
    </row>
    <row r="455" spans="1:2" x14ac:dyDescent="0.2">
      <c r="A455" s="356" t="str">
        <f>INDEX(Rankings!C$2:'Rankings'!C$1000,MATCH(SMALL(Rankings!I$2:'Rankings'!I$1000,ROW()),Rankings!I$2:'Rankings'!I$1000,0))</f>
        <v>Jens Friebe</v>
      </c>
      <c r="B455" s="340" t="str">
        <f>VLOOKUP(A455,Rankings!C:E,3,FALSE)</f>
        <v>m</v>
      </c>
    </row>
    <row r="456" spans="1:2" x14ac:dyDescent="0.2">
      <c r="A456" s="356" t="str">
        <f>INDEX(Rankings!C$2:'Rankings'!C$1000,MATCH(SMALL(Rankings!I$2:'Rankings'!I$1000,ROW()),Rankings!I$2:'Rankings'!I$1000,0))</f>
        <v>Jens Velasquez</v>
      </c>
      <c r="B456" s="340" t="str">
        <f>VLOOKUP(A456,Rankings!C:E,3,FALSE)</f>
        <v>m</v>
      </c>
    </row>
    <row r="457" spans="1:2" x14ac:dyDescent="0.2">
      <c r="A457" s="356" t="str">
        <f>INDEX(Rankings!C$2:'Rankings'!C$1000,MATCH(SMALL(Rankings!I$2:'Rankings'!I$1000,ROW()),Rankings!I$2:'Rankings'!I$1000,0))</f>
        <v>Jeraume Fink</v>
      </c>
      <c r="B457" s="340" t="str">
        <f>VLOOKUP(A457,Rankings!C:E,3,FALSE)</f>
        <v>m</v>
      </c>
    </row>
    <row r="458" spans="1:2" x14ac:dyDescent="0.2">
      <c r="A458" s="356" t="str">
        <f>INDEX(Rankings!C$2:'Rankings'!C$1000,MATCH(SMALL(Rankings!I$2:'Rankings'!I$1000,ROW()),Rankings!I$2:'Rankings'!I$1000,0))</f>
        <v>Jesse Hawkins</v>
      </c>
      <c r="B458" s="340" t="str">
        <f>VLOOKUP(A458,Rankings!C:E,3,FALSE)</f>
        <v>m</v>
      </c>
    </row>
    <row r="459" spans="1:2" x14ac:dyDescent="0.2">
      <c r="A459" s="356" t="str">
        <f>INDEX(Rankings!C$2:'Rankings'!C$1000,MATCH(SMALL(Rankings!I$2:'Rankings'!I$1000,ROW()),Rankings!I$2:'Rankings'!I$1000,0))</f>
        <v>Jessica S.</v>
      </c>
      <c r="B459" s="340" t="str">
        <f>VLOOKUP(A459,Rankings!C:E,3,FALSE)</f>
        <v>f</v>
      </c>
    </row>
    <row r="460" spans="1:2" x14ac:dyDescent="0.2">
      <c r="A460" s="356" t="str">
        <f>INDEX(Rankings!C$2:'Rankings'!C$1000,MATCH(SMALL(Rankings!I$2:'Rankings'!I$1000,ROW()),Rankings!I$2:'Rankings'!I$1000,0))</f>
        <v>Jhonatan Vanegas</v>
      </c>
      <c r="B460" s="340" t="str">
        <f>VLOOKUP(A460,Rankings!C:E,3,FALSE)</f>
        <v>m</v>
      </c>
    </row>
    <row r="461" spans="1:2" x14ac:dyDescent="0.2">
      <c r="A461" s="356" t="str">
        <f>INDEX(Rankings!C$2:'Rankings'!C$1000,MATCH(SMALL(Rankings!I$2:'Rankings'!I$1000,ROW()),Rankings!I$2:'Rankings'!I$1000,0))</f>
        <v>Jim Dodelson</v>
      </c>
      <c r="B461" s="340" t="str">
        <f>VLOOKUP(A461,Rankings!C:E,3,FALSE)</f>
        <v>m</v>
      </c>
    </row>
    <row r="462" spans="1:2" x14ac:dyDescent="0.2">
      <c r="A462" s="356" t="str">
        <f>INDEX(Rankings!C$2:'Rankings'!C$1000,MATCH(SMALL(Rankings!I$2:'Rankings'!I$1000,ROW()),Rankings!I$2:'Rankings'!I$1000,0))</f>
        <v>Jim Elsner</v>
      </c>
      <c r="B462" s="340" t="str">
        <f>VLOOKUP(A462,Rankings!C:E,3,FALSE)</f>
        <v>m</v>
      </c>
    </row>
    <row r="463" spans="1:2" x14ac:dyDescent="0.2">
      <c r="A463" s="356" t="str">
        <f>INDEX(Rankings!C$2:'Rankings'!C$1000,MATCH(SMALL(Rankings!I$2:'Rankings'!I$1000,ROW()),Rankings!I$2:'Rankings'!I$1000,0))</f>
        <v>Jim Herrick</v>
      </c>
      <c r="B463" s="340" t="str">
        <f>VLOOKUP(A463,Rankings!C:E,3,FALSE)</f>
        <v>m</v>
      </c>
    </row>
    <row r="464" spans="1:2" x14ac:dyDescent="0.2">
      <c r="A464" s="356" t="str">
        <f>INDEX(Rankings!C$2:'Rankings'!C$1000,MATCH(SMALL(Rankings!I$2:'Rankings'!I$1000,ROW()),Rankings!I$2:'Rankings'!I$1000,0))</f>
        <v>Jim Palmieri</v>
      </c>
      <c r="B464" s="340" t="str">
        <f>VLOOKUP(A464,Rankings!C:E,3,FALSE)</f>
        <v>m</v>
      </c>
    </row>
    <row r="465" spans="1:2" x14ac:dyDescent="0.2">
      <c r="A465" s="356" t="str">
        <f>INDEX(Rankings!C$2:'Rankings'!C$1000,MATCH(SMALL(Rankings!I$2:'Rankings'!I$1000,ROW()),Rankings!I$2:'Rankings'!I$1000,0))</f>
        <v>Jim Spencer</v>
      </c>
      <c r="B465" s="340" t="str">
        <f>VLOOKUP(A465,Rankings!C:E,3,FALSE)</f>
        <v>m</v>
      </c>
    </row>
    <row r="466" spans="1:2" x14ac:dyDescent="0.2">
      <c r="A466" s="356" t="str">
        <f>INDEX(Rankings!C$2:'Rankings'!C$1000,MATCH(SMALL(Rankings!I$2:'Rankings'!I$1000,ROW()),Rankings!I$2:'Rankings'!I$1000,0))</f>
        <v>Jim Van Lanen</v>
      </c>
      <c r="B466" s="340" t="str">
        <f>VLOOKUP(A466,Rankings!C:E,3,FALSE)</f>
        <v>m</v>
      </c>
    </row>
    <row r="467" spans="1:2" x14ac:dyDescent="0.2">
      <c r="A467" s="356" t="str">
        <f>INDEX(Rankings!C$2:'Rankings'!C$1000,MATCH(SMALL(Rankings!I$2:'Rankings'!I$1000,ROW()),Rankings!I$2:'Rankings'!I$1000,0))</f>
        <v>Jiri Sedlácek</v>
      </c>
      <c r="B467" s="340" t="str">
        <f>VLOOKUP(A467,Rankings!C:E,3,FALSE)</f>
        <v>m</v>
      </c>
    </row>
    <row r="468" spans="1:2" x14ac:dyDescent="0.2">
      <c r="A468" s="356" t="str">
        <f>INDEX(Rankings!C$2:'Rankings'!C$1000,MATCH(SMALL(Rankings!I$2:'Rankings'!I$1000,ROW()),Rankings!I$2:'Rankings'!I$1000,0))</f>
        <v>Jiri Weiss</v>
      </c>
      <c r="B468" s="340" t="str">
        <f>VLOOKUP(A468,Rankings!C:E,3,FALSE)</f>
        <v>m</v>
      </c>
    </row>
    <row r="469" spans="1:2" x14ac:dyDescent="0.2">
      <c r="A469" s="356" t="str">
        <f>INDEX(Rankings!C$2:'Rankings'!C$1000,MATCH(SMALL(Rankings!I$2:'Rankings'!I$1000,ROW()),Rankings!I$2:'Rankings'!I$1000,0))</f>
        <v>Joakim Arveskär</v>
      </c>
      <c r="B469" s="340" t="str">
        <f>VLOOKUP(A469,Rankings!C:E,3,FALSE)</f>
        <v>m</v>
      </c>
    </row>
    <row r="470" spans="1:2" x14ac:dyDescent="0.2">
      <c r="A470" s="356" t="str">
        <f>INDEX(Rankings!C$2:'Rankings'!C$1000,MATCH(SMALL(Rankings!I$2:'Rankings'!I$1000,ROW()),Rankings!I$2:'Rankings'!I$1000,0))</f>
        <v>Joao Veiga</v>
      </c>
      <c r="B470" s="340" t="str">
        <f>VLOOKUP(A470,Rankings!C:E,3,FALSE)</f>
        <v>m</v>
      </c>
    </row>
    <row r="471" spans="1:2" x14ac:dyDescent="0.2">
      <c r="A471" s="356" t="str">
        <f>INDEX(Rankings!C$2:'Rankings'!C$1000,MATCH(SMALL(Rankings!I$2:'Rankings'!I$1000,ROW()),Rankings!I$2:'Rankings'!I$1000,0))</f>
        <v>Jochen Schleicher</v>
      </c>
      <c r="B471" s="340" t="str">
        <f>VLOOKUP(A471,Rankings!C:E,3,FALSE)</f>
        <v>m</v>
      </c>
    </row>
    <row r="472" spans="1:2" x14ac:dyDescent="0.2">
      <c r="A472" s="356" t="str">
        <f>INDEX(Rankings!C$2:'Rankings'!C$1000,MATCH(SMALL(Rankings!I$2:'Rankings'!I$1000,ROW()),Rankings!I$2:'Rankings'!I$1000,0))</f>
        <v>Joe Fiedt</v>
      </c>
      <c r="B472" s="340" t="str">
        <f>VLOOKUP(A472,Rankings!C:E,3,FALSE)</f>
        <v>m</v>
      </c>
    </row>
    <row r="473" spans="1:2" x14ac:dyDescent="0.2">
      <c r="A473" s="356" t="str">
        <f>INDEX(Rankings!C$2:'Rankings'!C$1000,MATCH(SMALL(Rankings!I$2:'Rankings'!I$1000,ROW()),Rankings!I$2:'Rankings'!I$1000,0))</f>
        <v>Joe Gamon Kossi</v>
      </c>
      <c r="B473" s="340" t="str">
        <f>VLOOKUP(A473,Rankings!C:E,3,FALSE)</f>
        <v>m</v>
      </c>
    </row>
    <row r="474" spans="1:2" x14ac:dyDescent="0.2">
      <c r="A474" s="356" t="str">
        <f>INDEX(Rankings!C$2:'Rankings'!C$1000,MATCH(SMALL(Rankings!I$2:'Rankings'!I$1000,ROW()),Rankings!I$2:'Rankings'!I$1000,0))</f>
        <v>Joe McCrave</v>
      </c>
      <c r="B474" s="340" t="str">
        <f>VLOOKUP(A474,Rankings!C:E,3,FALSE)</f>
        <v>m</v>
      </c>
    </row>
    <row r="475" spans="1:2" x14ac:dyDescent="0.2">
      <c r="A475" s="356" t="str">
        <f>INDEX(Rankings!C$2:'Rankings'!C$1000,MATCH(SMALL(Rankings!I$2:'Rankings'!I$1000,ROW()),Rankings!I$2:'Rankings'!I$1000,0))</f>
        <v>Joe Teronde</v>
      </c>
      <c r="B475" s="340" t="str">
        <f>VLOOKUP(A475,Rankings!C:E,3,FALSE)</f>
        <v>m</v>
      </c>
    </row>
    <row r="476" spans="1:2" x14ac:dyDescent="0.2">
      <c r="A476" s="356" t="str">
        <f>INDEX(Rankings!C$2:'Rankings'!C$1000,MATCH(SMALL(Rankings!I$2:'Rankings'!I$1000,ROW()),Rankings!I$2:'Rankings'!I$1000,0))</f>
        <v>Joel Charles</v>
      </c>
      <c r="B476" s="340" t="str">
        <f>VLOOKUP(A476,Rankings!C:E,3,FALSE)</f>
        <v>m</v>
      </c>
    </row>
    <row r="477" spans="1:2" x14ac:dyDescent="0.2">
      <c r="A477" s="356" t="str">
        <f>INDEX(Rankings!C$2:'Rankings'!C$1000,MATCH(SMALL(Rankings!I$2:'Rankings'!I$1000,ROW()),Rankings!I$2:'Rankings'!I$1000,0))</f>
        <v>Joel Rogers</v>
      </c>
      <c r="B477" s="340" t="str">
        <f>VLOOKUP(A477,Rankings!C:E,3,FALSE)</f>
        <v>m</v>
      </c>
    </row>
    <row r="478" spans="1:2" x14ac:dyDescent="0.2">
      <c r="A478" s="356" t="str">
        <f>INDEX(Rankings!C$2:'Rankings'!C$1000,MATCH(SMALL(Rankings!I$2:'Rankings'!I$1000,ROW()),Rankings!I$2:'Rankings'!I$1000,0))</f>
        <v>Joey Hudoklin</v>
      </c>
      <c r="B478" s="340" t="str">
        <f>VLOOKUP(A478,Rankings!C:E,3,FALSE)</f>
        <v>m</v>
      </c>
    </row>
    <row r="479" spans="1:2" x14ac:dyDescent="0.2">
      <c r="A479" s="356" t="str">
        <f>INDEX(Rankings!C$2:'Rankings'!C$1000,MATCH(SMALL(Rankings!I$2:'Rankings'!I$1000,ROW()),Rankings!I$2:'Rankings'!I$1000,0))</f>
        <v>Johan Sandell</v>
      </c>
      <c r="B479" s="340" t="str">
        <f>VLOOKUP(A479,Rankings!C:E,3,FALSE)</f>
        <v>m</v>
      </c>
    </row>
    <row r="480" spans="1:2" x14ac:dyDescent="0.2">
      <c r="A480" s="356" t="str">
        <f>INDEX(Rankings!C$2:'Rankings'!C$1000,MATCH(SMALL(Rankings!I$2:'Rankings'!I$1000,ROW()),Rankings!I$2:'Rankings'!I$1000,0))</f>
        <v>Johan Stensmar</v>
      </c>
      <c r="B480" s="340" t="str">
        <f>VLOOKUP(A480,Rankings!C:E,3,FALSE)</f>
        <v>m</v>
      </c>
    </row>
    <row r="481" spans="1:2" x14ac:dyDescent="0.2">
      <c r="A481" s="356" t="str">
        <f>INDEX(Rankings!C$2:'Rankings'!C$1000,MATCH(SMALL(Rankings!I$2:'Rankings'!I$1000,ROW()),Rankings!I$2:'Rankings'!I$1000,0))</f>
        <v>Johanna Matthiä</v>
      </c>
      <c r="B481" s="340" t="str">
        <f>VLOOKUP(A481,Rankings!C:E,3,FALSE)</f>
        <v>f</v>
      </c>
    </row>
    <row r="482" spans="1:2" x14ac:dyDescent="0.2">
      <c r="A482" s="356" t="str">
        <f>INDEX(Rankings!C$2:'Rankings'!C$1000,MATCH(SMALL(Rankings!I$2:'Rankings'!I$1000,ROW()),Rankings!I$2:'Rankings'!I$1000,0))</f>
        <v>Johannes Bachauer</v>
      </c>
      <c r="B482" s="340" t="str">
        <f>VLOOKUP(A482,Rankings!C:E,3,FALSE)</f>
        <v>m</v>
      </c>
    </row>
    <row r="483" spans="1:2" x14ac:dyDescent="0.2">
      <c r="A483" s="356" t="str">
        <f>INDEX(Rankings!C$2:'Rankings'!C$1000,MATCH(SMALL(Rankings!I$2:'Rankings'!I$1000,ROW()),Rankings!I$2:'Rankings'!I$1000,0))</f>
        <v>John Anthony</v>
      </c>
      <c r="B483" s="340" t="str">
        <f>VLOOKUP(A483,Rankings!C:E,3,FALSE)</f>
        <v>m</v>
      </c>
    </row>
    <row r="484" spans="1:2" x14ac:dyDescent="0.2">
      <c r="A484" s="356" t="str">
        <f>INDEX(Rankings!C$2:'Rankings'!C$1000,MATCH(SMALL(Rankings!I$2:'Rankings'!I$1000,ROW()),Rankings!I$2:'Rankings'!I$1000,0))</f>
        <v>John Barsky</v>
      </c>
      <c r="B484" s="340" t="str">
        <f>VLOOKUP(A484,Rankings!C:E,3,FALSE)</f>
        <v>m</v>
      </c>
    </row>
    <row r="485" spans="1:2" x14ac:dyDescent="0.2">
      <c r="A485" s="356" t="str">
        <f>INDEX(Rankings!C$2:'Rankings'!C$1000,MATCH(SMALL(Rankings!I$2:'Rankings'!I$1000,ROW()),Rankings!I$2:'Rankings'!I$1000,0))</f>
        <v>John Collins</v>
      </c>
      <c r="B485" s="340" t="str">
        <f>VLOOKUP(A485,Rankings!C:E,3,FALSE)</f>
        <v>m</v>
      </c>
    </row>
    <row r="486" spans="1:2" x14ac:dyDescent="0.2">
      <c r="A486" s="356" t="str">
        <f>INDEX(Rankings!C$2:'Rankings'!C$1000,MATCH(SMALL(Rankings!I$2:'Rankings'!I$1000,ROW()),Rankings!I$2:'Rankings'!I$1000,0))</f>
        <v>John Coxhead</v>
      </c>
      <c r="B486" s="340" t="str">
        <f>VLOOKUP(A486,Rankings!C:E,3,FALSE)</f>
        <v>m</v>
      </c>
    </row>
    <row r="487" spans="1:2" x14ac:dyDescent="0.2">
      <c r="A487" s="356" t="str">
        <f>INDEX(Rankings!C$2:'Rankings'!C$1000,MATCH(SMALL(Rankings!I$2:'Rankings'!I$1000,ROW()),Rankings!I$2:'Rankings'!I$1000,0))</f>
        <v>John Dunaway</v>
      </c>
      <c r="B487" s="340" t="str">
        <f>VLOOKUP(A487,Rankings!C:E,3,FALSE)</f>
        <v>m</v>
      </c>
    </row>
    <row r="488" spans="1:2" x14ac:dyDescent="0.2">
      <c r="A488" s="356" t="str">
        <f>INDEX(Rankings!C$2:'Rankings'!C$1000,MATCH(SMALL(Rankings!I$2:'Rankings'!I$1000,ROW()),Rankings!I$2:'Rankings'!I$1000,0))</f>
        <v>John Elsner</v>
      </c>
      <c r="B488" s="340" t="str">
        <f>VLOOKUP(A488,Rankings!C:E,3,FALSE)</f>
        <v>m</v>
      </c>
    </row>
    <row r="489" spans="1:2" x14ac:dyDescent="0.2">
      <c r="A489" s="356" t="str">
        <f>INDEX(Rankings!C$2:'Rankings'!C$1000,MATCH(SMALL(Rankings!I$2:'Rankings'!I$1000,ROW()),Rankings!I$2:'Rankings'!I$1000,0))</f>
        <v>John Kirkland</v>
      </c>
      <c r="B489" s="340" t="str">
        <f>VLOOKUP(A489,Rankings!C:E,3,FALSE)</f>
        <v>m</v>
      </c>
    </row>
    <row r="490" spans="1:2" x14ac:dyDescent="0.2">
      <c r="A490" s="356" t="str">
        <f>INDEX(Rankings!C$2:'Rankings'!C$1000,MATCH(SMALL(Rankings!I$2:'Rankings'!I$1000,ROW()),Rankings!I$2:'Rankings'!I$1000,0))</f>
        <v>John Langan</v>
      </c>
      <c r="B490" s="340" t="str">
        <f>VLOOKUP(A490,Rankings!C:E,3,FALSE)</f>
        <v>m</v>
      </c>
    </row>
    <row r="491" spans="1:2" x14ac:dyDescent="0.2">
      <c r="A491" s="356" t="str">
        <f>INDEX(Rankings!C$2:'Rankings'!C$1000,MATCH(SMALL(Rankings!I$2:'Rankings'!I$1000,ROW()),Rankings!I$2:'Rankings'!I$1000,0))</f>
        <v>John O'Malley</v>
      </c>
      <c r="B491" s="340" t="str">
        <f>VLOOKUP(A491,Rankings!C:E,3,FALSE)</f>
        <v>m</v>
      </c>
    </row>
    <row r="492" spans="1:2" x14ac:dyDescent="0.2">
      <c r="A492" s="356" t="str">
        <f>INDEX(Rankings!C$2:'Rankings'!C$1000,MATCH(SMALL(Rankings!I$2:'Rankings'!I$1000,ROW()),Rankings!I$2:'Rankings'!I$1000,0))</f>
        <v>John Schiller</v>
      </c>
      <c r="B492" s="340" t="str">
        <f>VLOOKUP(A492,Rankings!C:E,3,FALSE)</f>
        <v>m</v>
      </c>
    </row>
    <row r="493" spans="1:2" x14ac:dyDescent="0.2">
      <c r="A493" s="356" t="str">
        <f>INDEX(Rankings!C$2:'Rankings'!C$1000,MATCH(SMALL(Rankings!I$2:'Rankings'!I$1000,ROW()),Rankings!I$2:'Rankings'!I$1000,0))</f>
        <v>John Titcomb</v>
      </c>
      <c r="B493" s="340" t="str">
        <f>VLOOKUP(A493,Rankings!C:E,3,FALSE)</f>
        <v>m</v>
      </c>
    </row>
    <row r="494" spans="1:2" x14ac:dyDescent="0.2">
      <c r="A494" s="356" t="str">
        <f>INDEX(Rankings!C$2:'Rankings'!C$1000,MATCH(SMALL(Rankings!I$2:'Rankings'!I$1000,ROW()),Rankings!I$2:'Rankings'!I$1000,0))</f>
        <v>Johnny Trevino</v>
      </c>
      <c r="B494" s="340" t="str">
        <f>VLOOKUP(A494,Rankings!C:E,3,FALSE)</f>
        <v>m</v>
      </c>
    </row>
    <row r="495" spans="1:2" x14ac:dyDescent="0.2">
      <c r="A495" s="356" t="str">
        <f>INDEX(Rankings!C$2:'Rankings'!C$1000,MATCH(SMALL(Rankings!I$2:'Rankings'!I$1000,ROW()),Rankings!I$2:'Rankings'!I$1000,0))</f>
        <v>Jon Freedman</v>
      </c>
      <c r="B495" s="340" t="str">
        <f>VLOOKUP(A495,Rankings!C:E,3,FALSE)</f>
        <v>m</v>
      </c>
    </row>
    <row r="496" spans="1:2" x14ac:dyDescent="0.2">
      <c r="A496" s="356" t="str">
        <f>INDEX(Rankings!C$2:'Rankings'!C$1000,MATCH(SMALL(Rankings!I$2:'Rankings'!I$1000,ROW()),Rankings!I$2:'Rankings'!I$1000,0))</f>
        <v>Jon Salchert</v>
      </c>
      <c r="B496" s="340" t="str">
        <f>VLOOKUP(A496,Rankings!C:E,3,FALSE)</f>
        <v>m</v>
      </c>
    </row>
    <row r="497" spans="1:2" x14ac:dyDescent="0.2">
      <c r="A497" s="356" t="str">
        <f>INDEX(Rankings!C$2:'Rankings'!C$1000,MATCH(SMALL(Rankings!I$2:'Rankings'!I$1000,ROW()),Rankings!I$2:'Rankings'!I$1000,0))</f>
        <v>Jonas Bengtsson</v>
      </c>
      <c r="B497" s="340" t="str">
        <f>VLOOKUP(A497,Rankings!C:E,3,FALSE)</f>
        <v>m</v>
      </c>
    </row>
    <row r="498" spans="1:2" x14ac:dyDescent="0.2">
      <c r="A498" s="356" t="str">
        <f>INDEX(Rankings!C$2:'Rankings'!C$1000,MATCH(SMALL(Rankings!I$2:'Rankings'!I$1000,ROW()),Rankings!I$2:'Rankings'!I$1000,0))</f>
        <v>Jonas Karlsson</v>
      </c>
      <c r="B498" s="340" t="str">
        <f>VLOOKUP(A498,Rankings!C:E,3,FALSE)</f>
        <v>m</v>
      </c>
    </row>
    <row r="499" spans="1:2" x14ac:dyDescent="0.2">
      <c r="A499" s="356" t="str">
        <f>INDEX(Rankings!C$2:'Rankings'!C$1000,MATCH(SMALL(Rankings!I$2:'Rankings'!I$1000,ROW()),Rankings!I$2:'Rankings'!I$1000,0))</f>
        <v>Jonas Schaefers</v>
      </c>
      <c r="B499" s="340" t="str">
        <f>VLOOKUP(A499,Rankings!C:E,3,FALSE)</f>
        <v>m</v>
      </c>
    </row>
    <row r="500" spans="1:2" x14ac:dyDescent="0.2">
      <c r="A500" s="356" t="str">
        <f>INDEX(Rankings!C$2:'Rankings'!C$1000,MATCH(SMALL(Rankings!I$2:'Rankings'!I$1000,ROW()),Rankings!I$2:'Rankings'!I$1000,0))</f>
        <v>Jonathan Brandtberg</v>
      </c>
      <c r="B500" s="340" t="str">
        <f>VLOOKUP(A500,Rankings!C:E,3,FALSE)</f>
        <v>m</v>
      </c>
    </row>
    <row r="501" spans="1:2" x14ac:dyDescent="0.2">
      <c r="A501" s="356" t="str">
        <f>INDEX(Rankings!C$2:'Rankings'!C$1000,MATCH(SMALL(Rankings!I$2:'Rankings'!I$1000,ROW()),Rankings!I$2:'Rankings'!I$1000,0))</f>
        <v>Jonathan Dybbroe</v>
      </c>
      <c r="B501" s="340" t="str">
        <f>VLOOKUP(A501,Rankings!C:E,3,FALSE)</f>
        <v>m</v>
      </c>
    </row>
    <row r="502" spans="1:2" x14ac:dyDescent="0.2">
      <c r="A502" s="356" t="str">
        <f>INDEX(Rankings!C$2:'Rankings'!C$1000,MATCH(SMALL(Rankings!I$2:'Rankings'!I$1000,ROW()),Rankings!I$2:'Rankings'!I$1000,0))</f>
        <v>Jonathan Willett</v>
      </c>
      <c r="B502" s="340" t="str">
        <f>VLOOKUP(A502,Rankings!C:E,3,FALSE)</f>
        <v>m</v>
      </c>
    </row>
    <row r="503" spans="1:2" x14ac:dyDescent="0.2">
      <c r="A503" s="356" t="str">
        <f>INDEX(Rankings!C$2:'Rankings'!C$1000,MATCH(SMALL(Rankings!I$2:'Rankings'!I$1000,ROW()),Rankings!I$2:'Rankings'!I$1000,0))</f>
        <v>Jörg Berkel</v>
      </c>
      <c r="B503" s="340" t="str">
        <f>VLOOKUP(A503,Rankings!C:E,3,FALSE)</f>
        <v>m</v>
      </c>
    </row>
    <row r="504" spans="1:2" x14ac:dyDescent="0.2">
      <c r="A504" s="356" t="str">
        <f>INDEX(Rankings!C$2:'Rankings'!C$1000,MATCH(SMALL(Rankings!I$2:'Rankings'!I$1000,ROW()),Rankings!I$2:'Rankings'!I$1000,0))</f>
        <v>Jörg Wachtler</v>
      </c>
      <c r="B504" s="340" t="str">
        <f>VLOOKUP(A504,Rankings!C:E,3,FALSE)</f>
        <v>m</v>
      </c>
    </row>
    <row r="505" spans="1:2" x14ac:dyDescent="0.2">
      <c r="A505" s="356" t="str">
        <f>INDEX(Rankings!C$2:'Rankings'!C$1000,MATCH(SMALL(Rankings!I$2:'Rankings'!I$1000,ROW()),Rankings!I$2:'Rankings'!I$1000,0))</f>
        <v>Jose Rodriguez</v>
      </c>
      <c r="B505" s="340" t="str">
        <f>VLOOKUP(A505,Rankings!C:E,3,FALSE)</f>
        <v>m</v>
      </c>
    </row>
    <row r="506" spans="1:2" x14ac:dyDescent="0.2">
      <c r="A506" s="356" t="str">
        <f>INDEX(Rankings!C$2:'Rankings'!C$1000,MATCH(SMALL(Rankings!I$2:'Rankings'!I$1000,ROW()),Rankings!I$2:'Rankings'!I$1000,0))</f>
        <v>Josh Emerson</v>
      </c>
      <c r="B506" s="340" t="str">
        <f>VLOOKUP(A506,Rankings!C:E,3,FALSE)</f>
        <v>m</v>
      </c>
    </row>
    <row r="507" spans="1:2" x14ac:dyDescent="0.2">
      <c r="A507" s="356" t="str">
        <f>INDEX(Rankings!C$2:'Rankings'!C$1000,MATCH(SMALL(Rankings!I$2:'Rankings'!I$1000,ROW()),Rankings!I$2:'Rankings'!I$1000,0))</f>
        <v>Jozef Vanco</v>
      </c>
      <c r="B507" s="340" t="str">
        <f>VLOOKUP(A507,Rankings!C:E,3,FALSE)</f>
        <v>m</v>
      </c>
    </row>
    <row r="508" spans="1:2" x14ac:dyDescent="0.2">
      <c r="A508" s="356" t="str">
        <f>INDEX(Rankings!C$2:'Rankings'!C$1000,MATCH(SMALL(Rankings!I$2:'Rankings'!I$1000,ROW()),Rankings!I$2:'Rankings'!I$1000,0))</f>
        <v>Juan D. Ramirez</v>
      </c>
      <c r="B508" s="340" t="str">
        <f>VLOOKUP(A508,Rankings!C:E,3,FALSE)</f>
        <v>m</v>
      </c>
    </row>
    <row r="509" spans="1:2" x14ac:dyDescent="0.2">
      <c r="A509" s="356" t="str">
        <f>INDEX(Rankings!C$2:'Rankings'!C$1000,MATCH(SMALL(Rankings!I$2:'Rankings'!I$1000,ROW()),Rankings!I$2:'Rankings'!I$1000,0))</f>
        <v>Juan Piercing</v>
      </c>
      <c r="B509" s="340" t="str">
        <f>VLOOKUP(A509,Rankings!C:E,3,FALSE)</f>
        <v>m</v>
      </c>
    </row>
    <row r="510" spans="1:2" x14ac:dyDescent="0.2">
      <c r="A510" s="356" t="str">
        <f>INDEX(Rankings!C$2:'Rankings'!C$1000,MATCH(SMALL(Rankings!I$2:'Rankings'!I$1000,ROW()),Rankings!I$2:'Rankings'!I$1000,0))</f>
        <v>Judith Hess</v>
      </c>
      <c r="B510" s="340" t="str">
        <f>VLOOKUP(A510,Rankings!C:E,3,FALSE)</f>
        <v>f</v>
      </c>
    </row>
    <row r="511" spans="1:2" x14ac:dyDescent="0.2">
      <c r="A511" s="356" t="str">
        <f>INDEX(Rankings!C$2:'Rankings'!C$1000,MATCH(SMALL(Rankings!I$2:'Rankings'!I$1000,ROW()),Rankings!I$2:'Rankings'!I$1000,0))</f>
        <v>Judith Jakobsson</v>
      </c>
      <c r="B511" s="340" t="str">
        <f>VLOOKUP(A511,Rankings!C:E,3,FALSE)</f>
        <v>f</v>
      </c>
    </row>
    <row r="512" spans="1:2" x14ac:dyDescent="0.2">
      <c r="A512" s="356" t="str">
        <f>INDEX(Rankings!C$2:'Rankings'!C$1000,MATCH(SMALL(Rankings!I$2:'Rankings'!I$1000,ROW()),Rankings!I$2:'Rankings'!I$1000,0))</f>
        <v>Judy Robbins</v>
      </c>
      <c r="B512" s="340" t="str">
        <f>VLOOKUP(A512,Rankings!C:E,3,FALSE)</f>
        <v>f</v>
      </c>
    </row>
    <row r="513" spans="1:2" x14ac:dyDescent="0.2">
      <c r="A513" s="356" t="str">
        <f>INDEX(Rankings!C$2:'Rankings'!C$1000,MATCH(SMALL(Rankings!I$2:'Rankings'!I$1000,ROW()),Rankings!I$2:'Rankings'!I$1000,0))</f>
        <v>Julia Schuster</v>
      </c>
      <c r="B513" s="340" t="str">
        <f>VLOOKUP(A513,Rankings!C:E,3,FALSE)</f>
        <v>f</v>
      </c>
    </row>
    <row r="514" spans="1:2" x14ac:dyDescent="0.2">
      <c r="A514" s="356" t="str">
        <f>INDEX(Rankings!C$2:'Rankings'!C$1000,MATCH(SMALL(Rankings!I$2:'Rankings'!I$1000,ROW()),Rankings!I$2:'Rankings'!I$1000,0))</f>
        <v>Julian Störk</v>
      </c>
      <c r="B514" s="340" t="str">
        <f>VLOOKUP(A514,Rankings!C:E,3,FALSE)</f>
        <v>m</v>
      </c>
    </row>
    <row r="515" spans="1:2" x14ac:dyDescent="0.2">
      <c r="A515" s="356" t="str">
        <f>INDEX(Rankings!C$2:'Rankings'!C$1000,MATCH(SMALL(Rankings!I$2:'Rankings'!I$1000,ROW()),Rankings!I$2:'Rankings'!I$1000,0))</f>
        <v>Juliana Korver</v>
      </c>
      <c r="B515" s="340" t="str">
        <f>VLOOKUP(A515,Rankings!C:E,3,FALSE)</f>
        <v>f</v>
      </c>
    </row>
    <row r="516" spans="1:2" x14ac:dyDescent="0.2">
      <c r="A516" s="356" t="str">
        <f>INDEX(Rankings!C$2:'Rankings'!C$1000,MATCH(SMALL(Rankings!I$2:'Rankings'!I$1000,ROW()),Rankings!I$2:'Rankings'!I$1000,0))</f>
        <v>Julien Menetrat</v>
      </c>
      <c r="B516" s="340" t="str">
        <f>VLOOKUP(A516,Rankings!C:E,3,FALSE)</f>
        <v>m</v>
      </c>
    </row>
    <row r="517" spans="1:2" x14ac:dyDescent="0.2">
      <c r="A517" s="356" t="str">
        <f>INDEX(Rankings!C$2:'Rankings'!C$1000,MATCH(SMALL(Rankings!I$2:'Rankings'!I$1000,ROW()),Rankings!I$2:'Rankings'!I$1000,0))</f>
        <v>Juro Turan</v>
      </c>
      <c r="B517" s="340" t="str">
        <f>VLOOKUP(A517,Rankings!C:E,3,FALSE)</f>
        <v>m</v>
      </c>
    </row>
    <row r="518" spans="1:2" x14ac:dyDescent="0.2">
      <c r="A518" s="356" t="str">
        <f>INDEX(Rankings!C$2:'Rankings'!C$1000,MATCH(SMALL(Rankings!I$2:'Rankings'!I$1000,ROW()),Rankings!I$2:'Rankings'!I$1000,0))</f>
        <v>Justus Degener</v>
      </c>
      <c r="B518" s="340" t="str">
        <f>VLOOKUP(A518,Rankings!C:E,3,FALSE)</f>
        <v>m</v>
      </c>
    </row>
    <row r="519" spans="1:2" x14ac:dyDescent="0.2">
      <c r="A519" s="356" t="str">
        <f>INDEX(Rankings!C$2:'Rankings'!C$1000,MATCH(SMALL(Rankings!I$2:'Rankings'!I$1000,ROW()),Rankings!I$2:'Rankings'!I$1000,0))</f>
        <v>Kalina Kisiliewska</v>
      </c>
      <c r="B519" s="340" t="str">
        <f>VLOOKUP(A519,Rankings!C:E,3,FALSE)</f>
        <v>f</v>
      </c>
    </row>
    <row r="520" spans="1:2" x14ac:dyDescent="0.2">
      <c r="A520" s="356" t="str">
        <f>INDEX(Rankings!C$2:'Rankings'!C$1000,MATCH(SMALL(Rankings!I$2:'Rankings'!I$1000,ROW()),Rankings!I$2:'Rankings'!I$1000,0))</f>
        <v>Kamil Calinski</v>
      </c>
      <c r="B520" s="340" t="str">
        <f>VLOOKUP(A520,Rankings!C:E,3,FALSE)</f>
        <v>m</v>
      </c>
    </row>
    <row r="521" spans="1:2" x14ac:dyDescent="0.2">
      <c r="A521" s="356" t="str">
        <f>INDEX(Rankings!C$2:'Rankings'!C$1000,MATCH(SMALL(Rankings!I$2:'Rankings'!I$1000,ROW()),Rankings!I$2:'Rankings'!I$1000,0))</f>
        <v>Karin Breitenbücher</v>
      </c>
      <c r="B521" s="340" t="str">
        <f>VLOOKUP(A521,Rankings!C:E,3,FALSE)</f>
        <v>f</v>
      </c>
    </row>
    <row r="522" spans="1:2" x14ac:dyDescent="0.2">
      <c r="A522" s="356" t="str">
        <f>INDEX(Rankings!C$2:'Rankings'!C$1000,MATCH(SMALL(Rankings!I$2:'Rankings'!I$1000,ROW()),Rankings!I$2:'Rankings'!I$1000,0))</f>
        <v>Karolina Hagenbjörk</v>
      </c>
      <c r="B522" s="340" t="str">
        <f>VLOOKUP(A522,Rankings!C:E,3,FALSE)</f>
        <v>f</v>
      </c>
    </row>
    <row r="523" spans="1:2" x14ac:dyDescent="0.2">
      <c r="A523" s="356" t="str">
        <f>INDEX(Rankings!C$2:'Rankings'!C$1000,MATCH(SMALL(Rankings!I$2:'Rankings'!I$1000,ROW()),Rankings!I$2:'Rankings'!I$1000,0))</f>
        <v>Kate Gester</v>
      </c>
      <c r="B523" s="340" t="str">
        <f>VLOOKUP(A523,Rankings!C:E,3,FALSE)</f>
        <v>f</v>
      </c>
    </row>
    <row r="524" spans="1:2" x14ac:dyDescent="0.2">
      <c r="A524" s="356" t="str">
        <f>INDEX(Rankings!C$2:'Rankings'!C$1000,MATCH(SMALL(Rankings!I$2:'Rankings'!I$1000,ROW()),Rankings!I$2:'Rankings'!I$1000,0))</f>
        <v>Katerina Pleskotova</v>
      </c>
      <c r="B524" s="340" t="str">
        <f>VLOOKUP(A524,Rankings!C:E,3,FALSE)</f>
        <v>f</v>
      </c>
    </row>
    <row r="525" spans="1:2" x14ac:dyDescent="0.2">
      <c r="A525" s="356" t="str">
        <f>INDEX(Rankings!C$2:'Rankings'!C$1000,MATCH(SMALL(Rankings!I$2:'Rankings'!I$1000,ROW()),Rankings!I$2:'Rankings'!I$1000,0))</f>
        <v>Katie Smith</v>
      </c>
      <c r="B525" s="340" t="str">
        <f>VLOOKUP(A525,Rankings!C:E,3,FALSE)</f>
        <v>f</v>
      </c>
    </row>
    <row r="526" spans="1:2" x14ac:dyDescent="0.2">
      <c r="A526" s="356" t="str">
        <f>INDEX(Rankings!C$2:'Rankings'!C$1000,MATCH(SMALL(Rankings!I$2:'Rankings'!I$1000,ROW()),Rankings!I$2:'Rankings'!I$1000,0))</f>
        <v>Katie Stauss</v>
      </c>
      <c r="B526" s="340" t="str">
        <f>VLOOKUP(A526,Rankings!C:E,3,FALSE)</f>
        <v>f</v>
      </c>
    </row>
    <row r="527" spans="1:2" x14ac:dyDescent="0.2">
      <c r="A527" s="356" t="str">
        <f>INDEX(Rankings!C$2:'Rankings'!C$1000,MATCH(SMALL(Rankings!I$2:'Rankings'!I$1000,ROW()),Rankings!I$2:'Rankings'!I$1000,0))</f>
        <v>Katrin Schmeisser</v>
      </c>
      <c r="B527" s="340" t="str">
        <f>VLOOKUP(A527,Rankings!C:E,3,FALSE)</f>
        <v>f</v>
      </c>
    </row>
    <row r="528" spans="1:2" x14ac:dyDescent="0.2">
      <c r="A528" s="356" t="str">
        <f>INDEX(Rankings!C$2:'Rankings'!C$1000,MATCH(SMALL(Rankings!I$2:'Rankings'!I$1000,ROW()),Rankings!I$2:'Rankings'!I$1000,0))</f>
        <v>Kazuki Kaji</v>
      </c>
      <c r="B528" s="340" t="str">
        <f>VLOOKUP(A528,Rankings!C:E,3,FALSE)</f>
        <v>m</v>
      </c>
    </row>
    <row r="529" spans="1:2" x14ac:dyDescent="0.2">
      <c r="A529" s="356" t="str">
        <f>INDEX(Rankings!C$2:'Rankings'!C$1000,MATCH(SMALL(Rankings!I$2:'Rankings'!I$1000,ROW()),Rankings!I$2:'Rankings'!I$1000,0))</f>
        <v>Kazunori Kanai</v>
      </c>
      <c r="B529" s="340" t="str">
        <f>VLOOKUP(A529,Rankings!C:E,3,FALSE)</f>
        <v>m</v>
      </c>
    </row>
    <row r="530" spans="1:2" x14ac:dyDescent="0.2">
      <c r="A530" s="356" t="str">
        <f>INDEX(Rankings!C$2:'Rankings'!C$1000,MATCH(SMALL(Rankings!I$2:'Rankings'!I$1000,ROW()),Rankings!I$2:'Rankings'!I$1000,0))</f>
        <v>Kei Kotani</v>
      </c>
      <c r="B530" s="340" t="str">
        <f>VLOOKUP(A530,Rankings!C:E,3,FALSE)</f>
        <v>m</v>
      </c>
    </row>
    <row r="531" spans="1:2" x14ac:dyDescent="0.2">
      <c r="A531" s="356" t="str">
        <f>INDEX(Rankings!C$2:'Rankings'!C$1000,MATCH(SMALL(Rankings!I$2:'Rankings'!I$1000,ROW()),Rankings!I$2:'Rankings'!I$1000,0))</f>
        <v>Keith Armstrong</v>
      </c>
      <c r="B531" s="340" t="str">
        <f>VLOOKUP(A531,Rankings!C:E,3,FALSE)</f>
        <v>m</v>
      </c>
    </row>
    <row r="532" spans="1:2" x14ac:dyDescent="0.2">
      <c r="A532" s="356" t="str">
        <f>INDEX(Rankings!C$2:'Rankings'!C$1000,MATCH(SMALL(Rankings!I$2:'Rankings'!I$1000,ROW()),Rankings!I$2:'Rankings'!I$1000,0))</f>
        <v>Keith Kleiner</v>
      </c>
      <c r="B532" s="340" t="str">
        <f>VLOOKUP(A532,Rankings!C:E,3,FALSE)</f>
        <v>m</v>
      </c>
    </row>
    <row r="533" spans="1:2" x14ac:dyDescent="0.2">
      <c r="A533" s="356" t="str">
        <f>INDEX(Rankings!C$2:'Rankings'!C$1000,MATCH(SMALL(Rankings!I$2:'Rankings'!I$1000,ROW()),Rankings!I$2:'Rankings'!I$1000,0))</f>
        <v>Ken Reynolds</v>
      </c>
      <c r="B533" s="340" t="str">
        <f>VLOOKUP(A533,Rankings!C:E,3,FALSE)</f>
        <v>m</v>
      </c>
    </row>
    <row r="534" spans="1:2" x14ac:dyDescent="0.2">
      <c r="A534" s="356" t="str">
        <f>INDEX(Rankings!C$2:'Rankings'!C$1000,MATCH(SMALL(Rankings!I$2:'Rankings'!I$1000,ROW()),Rankings!I$2:'Rankings'!I$1000,0))</f>
        <v>Kenshin Fujii</v>
      </c>
      <c r="B534" s="340" t="str">
        <f>VLOOKUP(A534,Rankings!C:E,3,FALSE)</f>
        <v>m</v>
      </c>
    </row>
    <row r="535" spans="1:2" x14ac:dyDescent="0.2">
      <c r="A535" s="356" t="str">
        <f>INDEX(Rankings!C$2:'Rankings'!C$1000,MATCH(SMALL(Rankings!I$2:'Rankings'!I$1000,ROW()),Rankings!I$2:'Rankings'!I$1000,0))</f>
        <v>Kerstin Ulrich</v>
      </c>
      <c r="B535" s="340" t="str">
        <f>VLOOKUP(A535,Rankings!C:E,3,FALSE)</f>
        <v>f</v>
      </c>
    </row>
    <row r="536" spans="1:2" x14ac:dyDescent="0.2">
      <c r="A536" s="356" t="str">
        <f>INDEX(Rankings!C$2:'Rankings'!C$1000,MATCH(SMALL(Rankings!I$2:'Rankings'!I$1000,ROW()),Rankings!I$2:'Rankings'!I$1000,0))</f>
        <v>Kevin Konsorr</v>
      </c>
      <c r="B536" s="340" t="str">
        <f>VLOOKUP(A536,Rankings!C:E,3,FALSE)</f>
        <v>m</v>
      </c>
    </row>
    <row r="537" spans="1:2" x14ac:dyDescent="0.2">
      <c r="A537" s="356" t="str">
        <f>INDEX(Rankings!C$2:'Rankings'!C$1000,MATCH(SMALL(Rankings!I$2:'Rankings'!I$1000,ROW()),Rankings!I$2:'Rankings'!I$1000,0))</f>
        <v>Kevin Palmieri</v>
      </c>
      <c r="B537" s="340" t="str">
        <f>VLOOKUP(A537,Rankings!C:E,3,FALSE)</f>
        <v>m</v>
      </c>
    </row>
    <row r="538" spans="1:2" x14ac:dyDescent="0.2">
      <c r="A538" s="356" t="str">
        <f>INDEX(Rankings!C$2:'Rankings'!C$1000,MATCH(SMALL(Rankings!I$2:'Rankings'!I$1000,ROW()),Rankings!I$2:'Rankings'!I$1000,0))</f>
        <v>Kevin Surdyka</v>
      </c>
      <c r="B538" s="340" t="str">
        <f>VLOOKUP(A538,Rankings!C:E,3,FALSE)</f>
        <v>m</v>
      </c>
    </row>
    <row r="539" spans="1:2" x14ac:dyDescent="0.2">
      <c r="A539" s="356" t="str">
        <f>INDEX(Rankings!C$2:'Rankings'!C$1000,MATCH(SMALL(Rankings!I$2:'Rankings'!I$1000,ROW()),Rankings!I$2:'Rankings'!I$1000,0))</f>
        <v>Kevin Traver</v>
      </c>
      <c r="B539" s="340" t="str">
        <f>VLOOKUP(A539,Rankings!C:E,3,FALSE)</f>
        <v>m</v>
      </c>
    </row>
    <row r="540" spans="1:2" x14ac:dyDescent="0.2">
      <c r="A540" s="356" t="str">
        <f>INDEX(Rankings!C$2:'Rankings'!C$1000,MATCH(SMALL(Rankings!I$2:'Rankings'!I$1000,ROW()),Rankings!I$2:'Rankings'!I$1000,0))</f>
        <v>Kim Larkin</v>
      </c>
      <c r="B540" s="340" t="str">
        <f>VLOOKUP(A540,Rankings!C:E,3,FALSE)</f>
        <v>m</v>
      </c>
    </row>
    <row r="541" spans="1:2" x14ac:dyDescent="0.2">
      <c r="A541" s="356" t="str">
        <f>INDEX(Rankings!C$2:'Rankings'!C$1000,MATCH(SMALL(Rankings!I$2:'Rankings'!I$1000,ROW()),Rankings!I$2:'Rankings'!I$1000,0))</f>
        <v>Kimitoshi Murakami</v>
      </c>
      <c r="B541" s="340" t="str">
        <f>VLOOKUP(A541,Rankings!C:E,3,FALSE)</f>
        <v>m</v>
      </c>
    </row>
    <row r="542" spans="1:2" x14ac:dyDescent="0.2">
      <c r="A542" s="356" t="str">
        <f>INDEX(Rankings!C$2:'Rankings'!C$1000,MATCH(SMALL(Rankings!I$2:'Rankings'!I$1000,ROW()),Rankings!I$2:'Rankings'!I$1000,0))</f>
        <v>Kiwi Sallehsari</v>
      </c>
      <c r="B542" s="340" t="str">
        <f>VLOOKUP(A542,Rankings!C:E,3,FALSE)</f>
        <v>m</v>
      </c>
    </row>
    <row r="543" spans="1:2" x14ac:dyDescent="0.2">
      <c r="A543" s="356" t="str">
        <f>INDEX(Rankings!C$2:'Rankings'!C$1000,MATCH(SMALL(Rankings!I$2:'Rankings'!I$1000,ROW()),Rankings!I$2:'Rankings'!I$1000,0))</f>
        <v>Koichi Hirano</v>
      </c>
      <c r="B543" s="340" t="str">
        <f>VLOOKUP(A543,Rankings!C:E,3,FALSE)</f>
        <v>m</v>
      </c>
    </row>
    <row r="544" spans="1:2" x14ac:dyDescent="0.2">
      <c r="A544" s="356" t="str">
        <f>INDEX(Rankings!C$2:'Rankings'!C$1000,MATCH(SMALL(Rankings!I$2:'Rankings'!I$1000,ROW()),Rankings!I$2:'Rankings'!I$1000,0))</f>
        <v>Kolja Hannemann</v>
      </c>
      <c r="B544" s="340" t="str">
        <f>VLOOKUP(A544,Rankings!C:E,3,FALSE)</f>
        <v>m</v>
      </c>
    </row>
    <row r="545" spans="1:2" x14ac:dyDescent="0.2">
      <c r="A545" s="356" t="str">
        <f>INDEX(Rankings!C$2:'Rankings'!C$1000,MATCH(SMALL(Rankings!I$2:'Rankings'!I$1000,ROW()),Rankings!I$2:'Rankings'!I$1000,0))</f>
        <v>Konrad Konda</v>
      </c>
      <c r="B545" s="340" t="str">
        <f>VLOOKUP(A545,Rankings!C:E,3,FALSE)</f>
        <v>m</v>
      </c>
    </row>
    <row r="546" spans="1:2" x14ac:dyDescent="0.2">
      <c r="A546" s="356" t="str">
        <f>INDEX(Rankings!C$2:'Rankings'!C$1000,MATCH(SMALL(Rankings!I$2:'Rankings'!I$1000,ROW()),Rankings!I$2:'Rankings'!I$1000,0))</f>
        <v>Konrad Patris</v>
      </c>
      <c r="B546" s="340" t="str">
        <f>VLOOKUP(A546,Rankings!C:E,3,FALSE)</f>
        <v>m</v>
      </c>
    </row>
    <row r="547" spans="1:2" x14ac:dyDescent="0.2">
      <c r="A547" s="356" t="str">
        <f>INDEX(Rankings!C$2:'Rankings'!C$1000,MATCH(SMALL(Rankings!I$2:'Rankings'!I$1000,ROW()),Rankings!I$2:'Rankings'!I$1000,0))</f>
        <v>Konstantin Patsalides</v>
      </c>
      <c r="B547" s="340" t="str">
        <f>VLOOKUP(A547,Rankings!C:E,3,FALSE)</f>
        <v>m</v>
      </c>
    </row>
    <row r="548" spans="1:2" x14ac:dyDescent="0.2">
      <c r="A548" s="356" t="str">
        <f>INDEX(Rankings!C$2:'Rankings'!C$1000,MATCH(SMALL(Rankings!I$2:'Rankings'!I$1000,ROW()),Rankings!I$2:'Rankings'!I$1000,0))</f>
        <v>Korneliusz Zagórski</v>
      </c>
      <c r="B548" s="340" t="str">
        <f>VLOOKUP(A548,Rankings!C:E,3,FALSE)</f>
        <v>m</v>
      </c>
    </row>
    <row r="549" spans="1:2" x14ac:dyDescent="0.2">
      <c r="A549" s="356" t="str">
        <f>INDEX(Rankings!C$2:'Rankings'!C$1000,MATCH(SMALL(Rankings!I$2:'Rankings'!I$1000,ROW()),Rankings!I$2:'Rankings'!I$1000,0))</f>
        <v>Kouhei Yamaji</v>
      </c>
      <c r="B549" s="340" t="str">
        <f>VLOOKUP(A549,Rankings!C:E,3,FALSE)</f>
        <v>m</v>
      </c>
    </row>
    <row r="550" spans="1:2" x14ac:dyDescent="0.2">
      <c r="A550" s="356" t="str">
        <f>INDEX(Rankings!C$2:'Rankings'!C$1000,MATCH(SMALL(Rankings!I$2:'Rankings'!I$1000,ROW()),Rankings!I$2:'Rankings'!I$1000,0))</f>
        <v>Kouji Negishi</v>
      </c>
      <c r="B550" s="340" t="str">
        <f>VLOOKUP(A550,Rankings!C:E,3,FALSE)</f>
        <v>m</v>
      </c>
    </row>
    <row r="551" spans="1:2" x14ac:dyDescent="0.2">
      <c r="A551" s="356" t="str">
        <f>INDEX(Rankings!C$2:'Rankings'!C$1000,MATCH(SMALL(Rankings!I$2:'Rankings'!I$1000,ROW()),Rankings!I$2:'Rankings'!I$1000,0))</f>
        <v>Koutaro Ikebayashi</v>
      </c>
      <c r="B551" s="340" t="str">
        <f>VLOOKUP(A551,Rankings!C:E,3,FALSE)</f>
        <v>m</v>
      </c>
    </row>
    <row r="552" spans="1:2" x14ac:dyDescent="0.2">
      <c r="A552" s="356" t="str">
        <f>INDEX(Rankings!C$2:'Rankings'!C$1000,MATCH(SMALL(Rankings!I$2:'Rankings'!I$1000,ROW()),Rankings!I$2:'Rankings'!I$1000,0))</f>
        <v>Kristina Cahojova</v>
      </c>
      <c r="B552" s="340" t="str">
        <f>VLOOKUP(A552,Rankings!C:E,3,FALSE)</f>
        <v>f</v>
      </c>
    </row>
    <row r="553" spans="1:2" x14ac:dyDescent="0.2">
      <c r="A553" s="356" t="str">
        <f>INDEX(Rankings!C$2:'Rankings'!C$1000,MATCH(SMALL(Rankings!I$2:'Rankings'!I$1000,ROW()),Rankings!I$2:'Rankings'!I$1000,0))</f>
        <v>Krystian Krysinski</v>
      </c>
      <c r="B553" s="340" t="str">
        <f>VLOOKUP(A553,Rankings!C:E,3,FALSE)</f>
        <v>m</v>
      </c>
    </row>
    <row r="554" spans="1:2" x14ac:dyDescent="0.2">
      <c r="A554" s="356" t="str">
        <f>INDEX(Rankings!C$2:'Rankings'!C$1000,MATCH(SMALL(Rankings!I$2:'Rankings'!I$1000,ROW()),Rankings!I$2:'Rankings'!I$1000,0))</f>
        <v>Kuba Opaluch</v>
      </c>
      <c r="B554" s="340" t="str">
        <f>VLOOKUP(A554,Rankings!C:E,3,FALSE)</f>
        <v>m</v>
      </c>
    </row>
    <row r="555" spans="1:2" x14ac:dyDescent="0.2">
      <c r="A555" s="356" t="str">
        <f>INDEX(Rankings!C$2:'Rankings'!C$1000,MATCH(SMALL(Rankings!I$2:'Rankings'!I$1000,ROW()),Rankings!I$2:'Rankings'!I$1000,0))</f>
        <v>Kuba Radwanski</v>
      </c>
      <c r="B555" s="340" t="str">
        <f>VLOOKUP(A555,Rankings!C:E,3,FALSE)</f>
        <v>m</v>
      </c>
    </row>
    <row r="556" spans="1:2" x14ac:dyDescent="0.2">
      <c r="A556" s="356" t="str">
        <f>INDEX(Rankings!C$2:'Rankings'!C$1000,MATCH(SMALL(Rankings!I$2:'Rankings'!I$1000,ROW()),Rankings!I$2:'Rankings'!I$1000,0))</f>
        <v>Kurt Karlsson</v>
      </c>
      <c r="B556" s="340" t="str">
        <f>VLOOKUP(A556,Rankings!C:E,3,FALSE)</f>
        <v>m</v>
      </c>
    </row>
    <row r="557" spans="1:2" x14ac:dyDescent="0.2">
      <c r="A557" s="356" t="str">
        <f>INDEX(Rankings!C$2:'Rankings'!C$1000,MATCH(SMALL(Rankings!I$2:'Rankings'!I$1000,ROW()),Rankings!I$2:'Rankings'!I$1000,0))</f>
        <v>Larry Hinkle</v>
      </c>
      <c r="B557" s="340" t="str">
        <f>VLOOKUP(A557,Rankings!C:E,3,FALSE)</f>
        <v>m</v>
      </c>
    </row>
    <row r="558" spans="1:2" x14ac:dyDescent="0.2">
      <c r="A558" s="356" t="str">
        <f>INDEX(Rankings!C$2:'Rankings'!C$1000,MATCH(SMALL(Rankings!I$2:'Rankings'!I$1000,ROW()),Rankings!I$2:'Rankings'!I$1000,0))</f>
        <v>Larry Imperiale</v>
      </c>
      <c r="B558" s="340" t="str">
        <f>VLOOKUP(A558,Rankings!C:E,3,FALSE)</f>
        <v>m</v>
      </c>
    </row>
    <row r="559" spans="1:2" x14ac:dyDescent="0.2">
      <c r="A559" s="356" t="str">
        <f>INDEX(Rankings!C$2:'Rankings'!C$1000,MATCH(SMALL(Rankings!I$2:'Rankings'!I$1000,ROW()),Rankings!I$2:'Rankings'!I$1000,0))</f>
        <v>Lars Ake Vinberg</v>
      </c>
      <c r="B559" s="340" t="str">
        <f>VLOOKUP(A559,Rankings!C:E,3,FALSE)</f>
        <v>m</v>
      </c>
    </row>
    <row r="560" spans="1:2" x14ac:dyDescent="0.2">
      <c r="A560" s="356" t="str">
        <f>INDEX(Rankings!C$2:'Rankings'!C$1000,MATCH(SMALL(Rankings!I$2:'Rankings'!I$1000,ROW()),Rankings!I$2:'Rankings'!I$1000,0))</f>
        <v>Lars Neumann</v>
      </c>
      <c r="B560" s="340" t="str">
        <f>VLOOKUP(A560,Rankings!C:E,3,FALSE)</f>
        <v>m</v>
      </c>
    </row>
    <row r="561" spans="1:2" x14ac:dyDescent="0.2">
      <c r="A561" s="356" t="str">
        <f>INDEX(Rankings!C$2:'Rankings'!C$1000,MATCH(SMALL(Rankings!I$2:'Rankings'!I$1000,ROW()),Rankings!I$2:'Rankings'!I$1000,0))</f>
        <v>Lasse Schwarze</v>
      </c>
      <c r="B561" s="340" t="str">
        <f>VLOOKUP(A561,Rankings!C:E,3,FALSE)</f>
        <v>m</v>
      </c>
    </row>
    <row r="562" spans="1:2" x14ac:dyDescent="0.2">
      <c r="A562" s="356" t="str">
        <f>INDEX(Rankings!C$2:'Rankings'!C$1000,MATCH(SMALL(Rankings!I$2:'Rankings'!I$1000,ROW()),Rankings!I$2:'Rankings'!I$1000,0))</f>
        <v>Lauren Braaksma</v>
      </c>
      <c r="B562" s="340" t="str">
        <f>VLOOKUP(A562,Rankings!C:E,3,FALSE)</f>
        <v>f</v>
      </c>
    </row>
    <row r="563" spans="1:2" x14ac:dyDescent="0.2">
      <c r="A563" s="356" t="str">
        <f>INDEX(Rankings!C$2:'Rankings'!C$1000,MATCH(SMALL(Rankings!I$2:'Rankings'!I$1000,ROW()),Rankings!I$2:'Rankings'!I$1000,0))</f>
        <v>Laurent Mess</v>
      </c>
      <c r="B563" s="340" t="str">
        <f>VLOOKUP(A563,Rankings!C:E,3,FALSE)</f>
        <v>m</v>
      </c>
    </row>
    <row r="564" spans="1:2" x14ac:dyDescent="0.2">
      <c r="A564" s="356" t="str">
        <f>INDEX(Rankings!C$2:'Rankings'!C$1000,MATCH(SMALL(Rankings!I$2:'Rankings'!I$1000,ROW()),Rankings!I$2:'Rankings'!I$1000,0))</f>
        <v>Leo Kamiya</v>
      </c>
      <c r="B564" s="340" t="str">
        <f>VLOOKUP(A564,Rankings!C:E,3,FALSE)</f>
        <v>m</v>
      </c>
    </row>
    <row r="565" spans="1:2" x14ac:dyDescent="0.2">
      <c r="A565" s="356" t="str">
        <f>INDEX(Rankings!C$2:'Rankings'!C$1000,MATCH(SMALL(Rankings!I$2:'Rankings'!I$1000,ROW()),Rankings!I$2:'Rankings'!I$1000,0))</f>
        <v>Leonardo Finco</v>
      </c>
      <c r="B565" s="340" t="str">
        <f>VLOOKUP(A565,Rankings!C:E,3,FALSE)</f>
        <v>m</v>
      </c>
    </row>
    <row r="566" spans="1:2" x14ac:dyDescent="0.2">
      <c r="A566" s="356" t="str">
        <f>INDEX(Rankings!C$2:'Rankings'!C$1000,MATCH(SMALL(Rankings!I$2:'Rankings'!I$1000,ROW()),Rankings!I$2:'Rankings'!I$1000,0))</f>
        <v>Les Bryant</v>
      </c>
      <c r="B566" s="340" t="str">
        <f>VLOOKUP(A566,Rankings!C:E,3,FALSE)</f>
        <v>m</v>
      </c>
    </row>
    <row r="567" spans="1:2" x14ac:dyDescent="0.2">
      <c r="A567" s="356" t="str">
        <f>INDEX(Rankings!C$2:'Rankings'!C$1000,MATCH(SMALL(Rankings!I$2:'Rankings'!I$1000,ROW()),Rankings!I$2:'Rankings'!I$1000,0))</f>
        <v>Liliana Cruz</v>
      </c>
      <c r="B567" s="340" t="str">
        <f>VLOOKUP(A567,Rankings!C:E,3,FALSE)</f>
        <v>f</v>
      </c>
    </row>
    <row r="568" spans="1:2" x14ac:dyDescent="0.2">
      <c r="A568" s="356" t="str">
        <f>INDEX(Rankings!C$2:'Rankings'!C$1000,MATCH(SMALL(Rankings!I$2:'Rankings'!I$1000,ROW()),Rankings!I$2:'Rankings'!I$1000,0))</f>
        <v>Lilla Major</v>
      </c>
      <c r="B568" s="340" t="str">
        <f>VLOOKUP(A568,Rankings!C:E,3,FALSE)</f>
        <v>f</v>
      </c>
    </row>
    <row r="569" spans="1:2" x14ac:dyDescent="0.2">
      <c r="A569" s="356" t="str">
        <f>INDEX(Rankings!C$2:'Rankings'!C$1000,MATCH(SMALL(Rankings!I$2:'Rankings'!I$1000,ROW()),Rankings!I$2:'Rankings'!I$1000,0))</f>
        <v>Lina Dittrich</v>
      </c>
      <c r="B569" s="340" t="str">
        <f>VLOOKUP(A569,Rankings!C:E,3,FALSE)</f>
        <v>f</v>
      </c>
    </row>
    <row r="570" spans="1:2" x14ac:dyDescent="0.2">
      <c r="A570" s="356" t="str">
        <f>INDEX(Rankings!C$2:'Rankings'!C$1000,MATCH(SMALL(Rankings!I$2:'Rankings'!I$1000,ROW()),Rankings!I$2:'Rankings'!I$1000,0))</f>
        <v>Linda Torngren</v>
      </c>
      <c r="B570" s="340" t="str">
        <f>VLOOKUP(A570,Rankings!C:E,3,FALSE)</f>
        <v>f</v>
      </c>
    </row>
    <row r="571" spans="1:2" x14ac:dyDescent="0.2">
      <c r="A571" s="356" t="str">
        <f>INDEX(Rankings!C$2:'Rankings'!C$1000,MATCH(SMALL(Rankings!I$2:'Rankings'!I$1000,ROW()),Rankings!I$2:'Rankings'!I$1000,0))</f>
        <v>Lindsay Sweeten</v>
      </c>
      <c r="B571" s="340" t="str">
        <f>VLOOKUP(A571,Rankings!C:E,3,FALSE)</f>
        <v>f</v>
      </c>
    </row>
    <row r="572" spans="1:2" x14ac:dyDescent="0.2">
      <c r="A572" s="356" t="str">
        <f>INDEX(Rankings!C$2:'Rankings'!C$1000,MATCH(SMALL(Rankings!I$2:'Rankings'!I$1000,ROW()),Rankings!I$2:'Rankings'!I$1000,0))</f>
        <v>Lisa Hunrichs</v>
      </c>
      <c r="B572" s="340" t="str">
        <f>VLOOKUP(A572,Rankings!C:E,3,FALSE)</f>
        <v>f</v>
      </c>
    </row>
    <row r="573" spans="1:2" x14ac:dyDescent="0.2">
      <c r="A573" s="356" t="str">
        <f>INDEX(Rankings!C$2:'Rankings'!C$1000,MATCH(SMALL(Rankings!I$2:'Rankings'!I$1000,ROW()),Rankings!I$2:'Rankings'!I$1000,0))</f>
        <v>Lisa Löser</v>
      </c>
      <c r="B573" s="340" t="str">
        <f>VLOOKUP(A573,Rankings!C:E,3,FALSE)</f>
        <v>f</v>
      </c>
    </row>
    <row r="574" spans="1:2" x14ac:dyDescent="0.2">
      <c r="A574" s="356" t="str">
        <f>INDEX(Rankings!C$2:'Rankings'!C$1000,MATCH(SMALL(Rankings!I$2:'Rankings'!I$1000,ROW()),Rankings!I$2:'Rankings'!I$1000,0))</f>
        <v>Lorenzo Apriani</v>
      </c>
      <c r="B574" s="340" t="str">
        <f>VLOOKUP(A574,Rankings!C:E,3,FALSE)</f>
        <v>m</v>
      </c>
    </row>
    <row r="575" spans="1:2" x14ac:dyDescent="0.2">
      <c r="A575" s="356" t="str">
        <f>INDEX(Rankings!C$2:'Rankings'!C$1000,MATCH(SMALL(Rankings!I$2:'Rankings'!I$1000,ROW()),Rankings!I$2:'Rankings'!I$1000,0))</f>
        <v>Lorenzo Modarelli</v>
      </c>
      <c r="B575" s="340" t="str">
        <f>VLOOKUP(A575,Rankings!C:E,3,FALSE)</f>
        <v>m</v>
      </c>
    </row>
    <row r="576" spans="1:2" x14ac:dyDescent="0.2">
      <c r="A576" s="356" t="str">
        <f>INDEX(Rankings!C$2:'Rankings'!C$1000,MATCH(SMALL(Rankings!I$2:'Rankings'!I$1000,ROW()),Rankings!I$2:'Rankings'!I$1000,0))</f>
        <v>Lorenzo Sforza</v>
      </c>
      <c r="B576" s="340" t="str">
        <f>VLOOKUP(A576,Rankings!C:E,3,FALSE)</f>
        <v>m</v>
      </c>
    </row>
    <row r="577" spans="1:2" x14ac:dyDescent="0.2">
      <c r="A577" s="356" t="str">
        <f>INDEX(Rankings!C$2:'Rankings'!C$1000,MATCH(SMALL(Rankings!I$2:'Rankings'!I$1000,ROW()),Rankings!I$2:'Rankings'!I$1000,0))</f>
        <v>Lorenzo Telo</v>
      </c>
      <c r="B577" s="340" t="str">
        <f>VLOOKUP(A577,Rankings!C:E,3,FALSE)</f>
        <v>m</v>
      </c>
    </row>
    <row r="578" spans="1:2" x14ac:dyDescent="0.2">
      <c r="A578" s="356" t="str">
        <f>INDEX(Rankings!C$2:'Rankings'!C$1000,MATCH(SMALL(Rankings!I$2:'Rankings'!I$1000,ROW()),Rankings!I$2:'Rankings'!I$1000,0))</f>
        <v>Lori Daniels</v>
      </c>
      <c r="B578" s="340" t="str">
        <f>VLOOKUP(A578,Rankings!C:E,3,FALSE)</f>
        <v>f</v>
      </c>
    </row>
    <row r="579" spans="1:2" x14ac:dyDescent="0.2">
      <c r="A579" s="356" t="str">
        <f>INDEX(Rankings!C$2:'Rankings'!C$1000,MATCH(SMALL(Rankings!I$2:'Rankings'!I$1000,ROW()),Rankings!I$2:'Rankings'!I$1000,0))</f>
        <v>Lou Sumrall</v>
      </c>
      <c r="B579" s="340" t="str">
        <f>VLOOKUP(A579,Rankings!C:E,3,FALSE)</f>
        <v>m</v>
      </c>
    </row>
    <row r="580" spans="1:2" x14ac:dyDescent="0.2">
      <c r="A580" s="356" t="str">
        <f>INDEX(Rankings!C$2:'Rankings'!C$1000,MATCH(SMALL(Rankings!I$2:'Rankings'!I$1000,ROW()),Rankings!I$2:'Rankings'!I$1000,0))</f>
        <v>Louie Cohn</v>
      </c>
      <c r="B580" s="340" t="str">
        <f>VLOOKUP(A580,Rankings!C:E,3,FALSE)</f>
        <v>f</v>
      </c>
    </row>
    <row r="581" spans="1:2" x14ac:dyDescent="0.2">
      <c r="A581" s="356" t="str">
        <f>INDEX(Rankings!C$2:'Rankings'!C$1000,MATCH(SMALL(Rankings!I$2:'Rankings'!I$1000,ROW()),Rankings!I$2:'Rankings'!I$1000,0))</f>
        <v>Luana Morelli</v>
      </c>
      <c r="B581" s="340" t="str">
        <f>VLOOKUP(A581,Rankings!C:E,3,FALSE)</f>
        <v>f</v>
      </c>
    </row>
    <row r="582" spans="1:2" x14ac:dyDescent="0.2">
      <c r="A582" s="356" t="str">
        <f>INDEX(Rankings!C$2:'Rankings'!C$1000,MATCH(SMALL(Rankings!I$2:'Rankings'!I$1000,ROW()),Rankings!I$2:'Rankings'!I$1000,0))</f>
        <v>Luca Boehler</v>
      </c>
      <c r="B582" s="340" t="str">
        <f>VLOOKUP(A582,Rankings!C:E,3,FALSE)</f>
        <v>m</v>
      </c>
    </row>
    <row r="583" spans="1:2" x14ac:dyDescent="0.2">
      <c r="A583" s="356" t="str">
        <f>INDEX(Rankings!C$2:'Rankings'!C$1000,MATCH(SMALL(Rankings!I$2:'Rankings'!I$1000,ROW()),Rankings!I$2:'Rankings'!I$1000,0))</f>
        <v>Luca Mazzucato</v>
      </c>
      <c r="B583" s="340" t="str">
        <f>VLOOKUP(A583,Rankings!C:E,3,FALSE)</f>
        <v>m</v>
      </c>
    </row>
    <row r="584" spans="1:2" x14ac:dyDescent="0.2">
      <c r="A584" s="356" t="str">
        <f>INDEX(Rankings!C$2:'Rankings'!C$1000,MATCH(SMALL(Rankings!I$2:'Rankings'!I$1000,ROW()),Rankings!I$2:'Rankings'!I$1000,0))</f>
        <v>Luca Medri</v>
      </c>
      <c r="B584" s="340" t="str">
        <f>VLOOKUP(A584,Rankings!C:E,3,FALSE)</f>
        <v>m</v>
      </c>
    </row>
    <row r="585" spans="1:2" x14ac:dyDescent="0.2">
      <c r="A585" s="356" t="str">
        <f>INDEX(Rankings!C$2:'Rankings'!C$1000,MATCH(SMALL(Rankings!I$2:'Rankings'!I$1000,ROW()),Rankings!I$2:'Rankings'!I$1000,0))</f>
        <v>Luca Muntan</v>
      </c>
      <c r="B585" s="340" t="str">
        <f>VLOOKUP(A585,Rankings!C:E,3,FALSE)</f>
        <v>m</v>
      </c>
    </row>
    <row r="586" spans="1:2" x14ac:dyDescent="0.2">
      <c r="A586" s="356" t="str">
        <f>INDEX(Rankings!C$2:'Rankings'!C$1000,MATCH(SMALL(Rankings!I$2:'Rankings'!I$1000,ROW()),Rankings!I$2:'Rankings'!I$1000,0))</f>
        <v>Luca Nogay</v>
      </c>
      <c r="B586" s="340" t="str">
        <f>VLOOKUP(A586,Rankings!C:E,3,FALSE)</f>
        <v>m</v>
      </c>
    </row>
    <row r="587" spans="1:2" x14ac:dyDescent="0.2">
      <c r="A587" s="356" t="str">
        <f>INDEX(Rankings!C$2:'Rankings'!C$1000,MATCH(SMALL(Rankings!I$2:'Rankings'!I$1000,ROW()),Rankings!I$2:'Rankings'!I$1000,0))</f>
        <v>Luca Restaino</v>
      </c>
      <c r="B587" s="340" t="str">
        <f>VLOOKUP(A587,Rankings!C:E,3,FALSE)</f>
        <v>m</v>
      </c>
    </row>
    <row r="588" spans="1:2" x14ac:dyDescent="0.2">
      <c r="A588" s="356" t="str">
        <f>INDEX(Rankings!C$2:'Rankings'!C$1000,MATCH(SMALL(Rankings!I$2:'Rankings'!I$1000,ROW()),Rankings!I$2:'Rankings'!I$1000,0))</f>
        <v>Luca Sanso</v>
      </c>
      <c r="B588" s="340" t="str">
        <f>VLOOKUP(A588,Rankings!C:E,3,FALSE)</f>
        <v>m</v>
      </c>
    </row>
    <row r="589" spans="1:2" x14ac:dyDescent="0.2">
      <c r="A589" s="356" t="str">
        <f>INDEX(Rankings!C$2:'Rankings'!C$1000,MATCH(SMALL(Rankings!I$2:'Rankings'!I$1000,ROW()),Rankings!I$2:'Rankings'!I$1000,0))</f>
        <v>Luca Trotta</v>
      </c>
      <c r="B589" s="340" t="str">
        <f>VLOOKUP(A589,Rankings!C:E,3,FALSE)</f>
        <v>m</v>
      </c>
    </row>
    <row r="590" spans="1:2" x14ac:dyDescent="0.2">
      <c r="A590" s="356" t="str">
        <f>INDEX(Rankings!C$2:'Rankings'!C$1000,MATCH(SMALL(Rankings!I$2:'Rankings'!I$1000,ROW()),Rankings!I$2:'Rankings'!I$1000,0))</f>
        <v>Lucie Plevova</v>
      </c>
      <c r="B590" s="340" t="str">
        <f>VLOOKUP(A590,Rankings!C:E,3,FALSE)</f>
        <v>f</v>
      </c>
    </row>
    <row r="591" spans="1:2" x14ac:dyDescent="0.2">
      <c r="A591" s="356" t="str">
        <f>INDEX(Rankings!C$2:'Rankings'!C$1000,MATCH(SMALL(Rankings!I$2:'Rankings'!I$1000,ROW()),Rankings!I$2:'Rankings'!I$1000,0))</f>
        <v>Lui Tasini</v>
      </c>
      <c r="B591" s="340" t="str">
        <f>VLOOKUP(A591,Rankings!C:E,3,FALSE)</f>
        <v>f</v>
      </c>
    </row>
    <row r="592" spans="1:2" x14ac:dyDescent="0.2">
      <c r="A592" s="356" t="str">
        <f>INDEX(Rankings!C$2:'Rankings'!C$1000,MATCH(SMALL(Rankings!I$2:'Rankings'!I$1000,ROW()),Rankings!I$2:'Rankings'!I$1000,0))</f>
        <v>Lukas Lacina</v>
      </c>
      <c r="B592" s="340" t="str">
        <f>VLOOKUP(A592,Rankings!C:E,3,FALSE)</f>
        <v>m</v>
      </c>
    </row>
    <row r="593" spans="1:2" x14ac:dyDescent="0.2">
      <c r="A593" s="356" t="str">
        <f>INDEX(Rankings!C$2:'Rankings'!C$1000,MATCH(SMALL(Rankings!I$2:'Rankings'!I$1000,ROW()),Rankings!I$2:'Rankings'!I$1000,0))</f>
        <v>Lukas Prokop</v>
      </c>
      <c r="B593" s="340" t="str">
        <f>VLOOKUP(A593,Rankings!C:E,3,FALSE)</f>
        <v>m</v>
      </c>
    </row>
    <row r="594" spans="1:2" x14ac:dyDescent="0.2">
      <c r="A594" s="356" t="str">
        <f>INDEX(Rankings!C$2:'Rankings'!C$1000,MATCH(SMALL(Rankings!I$2:'Rankings'!I$1000,ROW()),Rankings!I$2:'Rankings'!I$1000,0))</f>
        <v>Lukas Zimovcak</v>
      </c>
      <c r="B594" s="340" t="str">
        <f>VLOOKUP(A594,Rankings!C:E,3,FALSE)</f>
        <v>m</v>
      </c>
    </row>
    <row r="595" spans="1:2" x14ac:dyDescent="0.2">
      <c r="A595" s="356" t="str">
        <f>INDEX(Rankings!C$2:'Rankings'!C$1000,MATCH(SMALL(Rankings!I$2:'Rankings'!I$1000,ROW()),Rankings!I$2:'Rankings'!I$1000,0))</f>
        <v>Luke Smalanskas</v>
      </c>
      <c r="B595" s="340" t="str">
        <f>VLOOKUP(A595,Rankings!C:E,3,FALSE)</f>
        <v>m</v>
      </c>
    </row>
    <row r="596" spans="1:2" x14ac:dyDescent="0.2">
      <c r="A596" s="356" t="str">
        <f>INDEX(Rankings!C$2:'Rankings'!C$1000,MATCH(SMALL(Rankings!I$2:'Rankings'!I$1000,ROW()),Rankings!I$2:'Rankings'!I$1000,0))</f>
        <v>Lyle Jensen</v>
      </c>
      <c r="B596" s="340" t="str">
        <f>VLOOKUP(A596,Rankings!C:E,3,FALSE)</f>
        <v>m</v>
      </c>
    </row>
    <row r="597" spans="1:2" x14ac:dyDescent="0.2">
      <c r="A597" s="356" t="str">
        <f>INDEX(Rankings!C$2:'Rankings'!C$1000,MATCH(SMALL(Rankings!I$2:'Rankings'!I$1000,ROW()),Rankings!I$2:'Rankings'!I$1000,0))</f>
        <v>Maciek Grabowski</v>
      </c>
      <c r="B597" s="340" t="str">
        <f>VLOOKUP(A597,Rankings!C:E,3,FALSE)</f>
        <v>m</v>
      </c>
    </row>
    <row r="598" spans="1:2" x14ac:dyDescent="0.2">
      <c r="A598" s="356" t="str">
        <f>INDEX(Rankings!C$2:'Rankings'!C$1000,MATCH(SMALL(Rankings!I$2:'Rankings'!I$1000,ROW()),Rankings!I$2:'Rankings'!I$1000,0))</f>
        <v>Magnus Gjerde Petersen</v>
      </c>
      <c r="B598" s="340" t="str">
        <f>VLOOKUP(A598,Rankings!C:E,3,FALSE)</f>
        <v>m</v>
      </c>
    </row>
    <row r="599" spans="1:2" x14ac:dyDescent="0.2">
      <c r="A599" s="356" t="str">
        <f>INDEX(Rankings!C$2:'Rankings'!C$1000,MATCH(SMALL(Rankings!I$2:'Rankings'!I$1000,ROW()),Rankings!I$2:'Rankings'!I$1000,0))</f>
        <v>Manuel "Cuqui" Viner</v>
      </c>
      <c r="B599" s="340" t="str">
        <f>VLOOKUP(A599,Rankings!C:E,3,FALSE)</f>
        <v>m</v>
      </c>
    </row>
    <row r="600" spans="1:2" x14ac:dyDescent="0.2">
      <c r="A600" s="356" t="str">
        <f>INDEX(Rankings!C$2:'Rankings'!C$1000,MATCH(SMALL(Rankings!I$2:'Rankings'!I$1000,ROW()),Rankings!I$2:'Rankings'!I$1000,0))</f>
        <v>Manuel Cesari</v>
      </c>
      <c r="B600" s="340" t="str">
        <f>VLOOKUP(A600,Rankings!C:E,3,FALSE)</f>
        <v>m</v>
      </c>
    </row>
    <row r="601" spans="1:2" x14ac:dyDescent="0.2">
      <c r="A601" s="356" t="str">
        <f>INDEX(Rankings!C$2:'Rankings'!C$1000,MATCH(SMALL(Rankings!I$2:'Rankings'!I$1000,ROW()),Rankings!I$2:'Rankings'!I$1000,0))</f>
        <v>Manuel Enders</v>
      </c>
      <c r="B601" s="340" t="str">
        <f>VLOOKUP(A601,Rankings!C:E,3,FALSE)</f>
        <v>m</v>
      </c>
    </row>
    <row r="602" spans="1:2" x14ac:dyDescent="0.2">
      <c r="A602" s="356" t="str">
        <f>INDEX(Rankings!C$2:'Rankings'!C$1000,MATCH(SMALL(Rankings!I$2:'Rankings'!I$1000,ROW()),Rankings!I$2:'Rankings'!I$1000,0))</f>
        <v>Manuel Zach</v>
      </c>
      <c r="B602" s="340" t="str">
        <f>VLOOKUP(A602,Rankings!C:E,3,FALSE)</f>
        <v>m</v>
      </c>
    </row>
    <row r="603" spans="1:2" x14ac:dyDescent="0.2">
      <c r="A603" s="356" t="str">
        <f>INDEX(Rankings!C$2:'Rankings'!C$1000,MATCH(SMALL(Rankings!I$2:'Rankings'!I$1000,ROW()),Rankings!I$2:'Rankings'!I$1000,0))</f>
        <v>Marc Pestotnik</v>
      </c>
      <c r="B603" s="340" t="str">
        <f>VLOOKUP(A603,Rankings!C:E,3,FALSE)</f>
        <v>m</v>
      </c>
    </row>
    <row r="604" spans="1:2" x14ac:dyDescent="0.2">
      <c r="A604" s="356" t="str">
        <f>INDEX(Rankings!C$2:'Rankings'!C$1000,MATCH(SMALL(Rankings!I$2:'Rankings'!I$1000,ROW()),Rankings!I$2:'Rankings'!I$1000,0))</f>
        <v>Marc Uhlig</v>
      </c>
      <c r="B604" s="340" t="str">
        <f>VLOOKUP(A604,Rankings!C:E,3,FALSE)</f>
        <v>m</v>
      </c>
    </row>
    <row r="605" spans="1:2" x14ac:dyDescent="0.2">
      <c r="A605" s="356" t="str">
        <f>INDEX(Rankings!C$2:'Rankings'!C$1000,MATCH(SMALL(Rankings!I$2:'Rankings'!I$1000,ROW()),Rankings!I$2:'Rankings'!I$1000,0))</f>
        <v>Marcin Dusowski</v>
      </c>
      <c r="B605" s="340" t="str">
        <f>VLOOKUP(A605,Rankings!C:E,3,FALSE)</f>
        <v>m</v>
      </c>
    </row>
    <row r="606" spans="1:2" x14ac:dyDescent="0.2">
      <c r="A606" s="356" t="str">
        <f>INDEX(Rankings!C$2:'Rankings'!C$1000,MATCH(SMALL(Rankings!I$2:'Rankings'!I$1000,ROW()),Rankings!I$2:'Rankings'!I$1000,0))</f>
        <v>Marco Chessa</v>
      </c>
      <c r="B606" s="340" t="str">
        <f>VLOOKUP(A606,Rankings!C:E,3,FALSE)</f>
        <v>m</v>
      </c>
    </row>
    <row r="607" spans="1:2" x14ac:dyDescent="0.2">
      <c r="A607" s="356" t="str">
        <f>INDEX(Rankings!C$2:'Rankings'!C$1000,MATCH(SMALL(Rankings!I$2:'Rankings'!I$1000,ROW()),Rankings!I$2:'Rankings'!I$1000,0))</f>
        <v>Marco De Lucia</v>
      </c>
      <c r="B607" s="340" t="str">
        <f>VLOOKUP(A607,Rankings!C:E,3,FALSE)</f>
        <v>m</v>
      </c>
    </row>
    <row r="608" spans="1:2" x14ac:dyDescent="0.2">
      <c r="A608" s="356" t="str">
        <f>INDEX(Rankings!C$2:'Rankings'!C$1000,MATCH(SMALL(Rankings!I$2:'Rankings'!I$1000,ROW()),Rankings!I$2:'Rankings'!I$1000,0))</f>
        <v>Marco Fera</v>
      </c>
      <c r="B608" s="340" t="str">
        <f>VLOOKUP(A608,Rankings!C:E,3,FALSE)</f>
        <v>m</v>
      </c>
    </row>
    <row r="609" spans="1:2" x14ac:dyDescent="0.2">
      <c r="A609" s="356" t="str">
        <f>INDEX(Rankings!C$2:'Rankings'!C$1000,MATCH(SMALL(Rankings!I$2:'Rankings'!I$1000,ROW()),Rankings!I$2:'Rankings'!I$1000,0))</f>
        <v>Marco Prati</v>
      </c>
      <c r="B609" s="340" t="str">
        <f>VLOOKUP(A609,Rankings!C:E,3,FALSE)</f>
        <v>m</v>
      </c>
    </row>
    <row r="610" spans="1:2" x14ac:dyDescent="0.2">
      <c r="A610" s="356" t="str">
        <f>INDEX(Rankings!C$2:'Rankings'!C$1000,MATCH(SMALL(Rankings!I$2:'Rankings'!I$1000,ROW()),Rankings!I$2:'Rankings'!I$1000,0))</f>
        <v>Marco Sanna</v>
      </c>
      <c r="B610" s="340" t="str">
        <f>VLOOKUP(A610,Rankings!C:E,3,FALSE)</f>
        <v>m</v>
      </c>
    </row>
    <row r="611" spans="1:2" x14ac:dyDescent="0.2">
      <c r="A611" s="356" t="str">
        <f>INDEX(Rankings!C$2:'Rankings'!C$1000,MATCH(SMALL(Rankings!I$2:'Rankings'!I$1000,ROW()),Rankings!I$2:'Rankings'!I$1000,0))</f>
        <v>Marek Hroch</v>
      </c>
      <c r="B611" s="340" t="str">
        <f>VLOOKUP(A611,Rankings!C:E,3,FALSE)</f>
        <v>m</v>
      </c>
    </row>
    <row r="612" spans="1:2" x14ac:dyDescent="0.2">
      <c r="A612" s="356" t="str">
        <f>INDEX(Rankings!C$2:'Rankings'!C$1000,MATCH(SMALL(Rankings!I$2:'Rankings'!I$1000,ROW()),Rankings!I$2:'Rankings'!I$1000,0))</f>
        <v>Marie Geare</v>
      </c>
      <c r="B612" s="340" t="str">
        <f>VLOOKUP(A612,Rankings!C:E,3,FALSE)</f>
        <v>f</v>
      </c>
    </row>
    <row r="613" spans="1:2" x14ac:dyDescent="0.2">
      <c r="A613" s="356" t="str">
        <f>INDEX(Rankings!C$2:'Rankings'!C$1000,MATCH(SMALL(Rankings!I$2:'Rankings'!I$1000,ROW()),Rankings!I$2:'Rankings'!I$1000,0))</f>
        <v>Marie Murphy</v>
      </c>
      <c r="B613" s="340" t="str">
        <f>VLOOKUP(A613,Rankings!C:E,3,FALSE)</f>
        <v>f</v>
      </c>
    </row>
    <row r="614" spans="1:2" x14ac:dyDescent="0.2">
      <c r="A614" s="356" t="str">
        <f>INDEX(Rankings!C$2:'Rankings'!C$1000,MATCH(SMALL(Rankings!I$2:'Rankings'!I$1000,ROW()),Rankings!I$2:'Rankings'!I$1000,0))</f>
        <v>Mario Mayer</v>
      </c>
      <c r="B614" s="340" t="str">
        <f>VLOOKUP(A614,Rankings!C:E,3,FALSE)</f>
        <v>m</v>
      </c>
    </row>
    <row r="615" spans="1:2" x14ac:dyDescent="0.2">
      <c r="A615" s="356" t="str">
        <f>INDEX(Rankings!C$2:'Rankings'!C$1000,MATCH(SMALL(Rankings!I$2:'Rankings'!I$1000,ROW()),Rankings!I$2:'Rankings'!I$1000,0))</f>
        <v>Mark Farrar</v>
      </c>
      <c r="B615" s="340" t="str">
        <f>VLOOKUP(A615,Rankings!C:E,3,FALSE)</f>
        <v>m</v>
      </c>
    </row>
    <row r="616" spans="1:2" x14ac:dyDescent="0.2">
      <c r="A616" s="356" t="str">
        <f>INDEX(Rankings!C$2:'Rankings'!C$1000,MATCH(SMALL(Rankings!I$2:'Rankings'!I$1000,ROW()),Rankings!I$2:'Rankings'!I$1000,0))</f>
        <v>Mark Horn</v>
      </c>
      <c r="B616" s="340" t="str">
        <f>VLOOKUP(A616,Rankings!C:E,3,FALSE)</f>
        <v>m</v>
      </c>
    </row>
    <row r="617" spans="1:2" x14ac:dyDescent="0.2">
      <c r="A617" s="356" t="str">
        <f>INDEX(Rankings!C$2:'Rankings'!C$1000,MATCH(SMALL(Rankings!I$2:'Rankings'!I$1000,ROW()),Rankings!I$2:'Rankings'!I$1000,0))</f>
        <v>Mark Regalbuti</v>
      </c>
      <c r="B617" s="340" t="str">
        <f>VLOOKUP(A617,Rankings!C:E,3,FALSE)</f>
        <v>m</v>
      </c>
    </row>
    <row r="618" spans="1:2" x14ac:dyDescent="0.2">
      <c r="A618" s="356" t="str">
        <f>INDEX(Rankings!C$2:'Rankings'!C$1000,MATCH(SMALL(Rankings!I$2:'Rankings'!I$1000,ROW()),Rankings!I$2:'Rankings'!I$1000,0))</f>
        <v>Mark Trout</v>
      </c>
      <c r="B618" s="340" t="str">
        <f>VLOOKUP(A618,Rankings!C:E,3,FALSE)</f>
        <v>m</v>
      </c>
    </row>
    <row r="619" spans="1:2" x14ac:dyDescent="0.2">
      <c r="A619" s="356" t="str">
        <f>INDEX(Rankings!C$2:'Rankings'!C$1000,MATCH(SMALL(Rankings!I$2:'Rankings'!I$1000,ROW()),Rankings!I$2:'Rankings'!I$1000,0))</f>
        <v>Markus Fath</v>
      </c>
      <c r="B619" s="340" t="str">
        <f>VLOOKUP(A619,Rankings!C:E,3,FALSE)</f>
        <v>m</v>
      </c>
    </row>
    <row r="620" spans="1:2" x14ac:dyDescent="0.2">
      <c r="A620" s="356" t="str">
        <f>INDEX(Rankings!C$2:'Rankings'!C$1000,MATCH(SMALL(Rankings!I$2:'Rankings'!I$1000,ROW()),Rankings!I$2:'Rankings'!I$1000,0))</f>
        <v>Markus Goetz</v>
      </c>
      <c r="B620" s="340" t="str">
        <f>VLOOKUP(A620,Rankings!C:E,3,FALSE)</f>
        <v>m</v>
      </c>
    </row>
    <row r="621" spans="1:2" x14ac:dyDescent="0.2">
      <c r="A621" s="356" t="str">
        <f>INDEX(Rankings!C$2:'Rankings'!C$1000,MATCH(SMALL(Rankings!I$2:'Rankings'!I$1000,ROW()),Rankings!I$2:'Rankings'!I$1000,0))</f>
        <v>Markus Hein</v>
      </c>
      <c r="B621" s="340" t="str">
        <f>VLOOKUP(A621,Rankings!C:E,3,FALSE)</f>
        <v>m</v>
      </c>
    </row>
    <row r="622" spans="1:2" x14ac:dyDescent="0.2">
      <c r="A622" s="356" t="str">
        <f>INDEX(Rankings!C$2:'Rankings'!C$1000,MATCH(SMALL(Rankings!I$2:'Rankings'!I$1000,ROW()),Rankings!I$2:'Rankings'!I$1000,0))</f>
        <v>Martin Fransson</v>
      </c>
      <c r="B622" s="340" t="str">
        <f>VLOOKUP(A622,Rankings!C:E,3,FALSE)</f>
        <v>m</v>
      </c>
    </row>
    <row r="623" spans="1:2" x14ac:dyDescent="0.2">
      <c r="A623" s="356" t="str">
        <f>INDEX(Rankings!C$2:'Rankings'!C$1000,MATCH(SMALL(Rankings!I$2:'Rankings'!I$1000,ROW()),Rankings!I$2:'Rankings'!I$1000,0))</f>
        <v>Martin Höser</v>
      </c>
      <c r="B623" s="340" t="str">
        <f>VLOOKUP(A623,Rankings!C:E,3,FALSE)</f>
        <v>m</v>
      </c>
    </row>
    <row r="624" spans="1:2" x14ac:dyDescent="0.2">
      <c r="A624" s="356" t="str">
        <f>INDEX(Rankings!C$2:'Rankings'!C$1000,MATCH(SMALL(Rankings!I$2:'Rankings'!I$1000,ROW()),Rankings!I$2:'Rankings'!I$1000,0))</f>
        <v>Martin Klopfer</v>
      </c>
      <c r="B624" s="340" t="str">
        <f>VLOOKUP(A624,Rankings!C:E,3,FALSE)</f>
        <v>m</v>
      </c>
    </row>
    <row r="625" spans="1:2" x14ac:dyDescent="0.2">
      <c r="A625" s="356" t="str">
        <f>INDEX(Rankings!C$2:'Rankings'!C$1000,MATCH(SMALL(Rankings!I$2:'Rankings'!I$1000,ROW()),Rankings!I$2:'Rankings'!I$1000,0))</f>
        <v>Martin Stadler</v>
      </c>
      <c r="B625" s="340" t="str">
        <f>VLOOKUP(A625,Rankings!C:E,3,FALSE)</f>
        <v>m</v>
      </c>
    </row>
    <row r="626" spans="1:2" x14ac:dyDescent="0.2">
      <c r="A626" s="356" t="str">
        <f>INDEX(Rankings!C$2:'Rankings'!C$1000,MATCH(SMALL(Rankings!I$2:'Rankings'!I$1000,ROW()),Rankings!I$2:'Rankings'!I$1000,0))</f>
        <v>Martina Biaglioli</v>
      </c>
      <c r="B626" s="340" t="str">
        <f>VLOOKUP(A626,Rankings!C:E,3,FALSE)</f>
        <v>f</v>
      </c>
    </row>
    <row r="627" spans="1:2" x14ac:dyDescent="0.2">
      <c r="A627" s="356" t="str">
        <f>INDEX(Rankings!C$2:'Rankings'!C$1000,MATCH(SMALL(Rankings!I$2:'Rankings'!I$1000,ROW()),Rankings!I$2:'Rankings'!I$1000,0))</f>
        <v>Martina Frosini</v>
      </c>
      <c r="B627" s="340" t="str">
        <f>VLOOKUP(A627,Rankings!C:E,3,FALSE)</f>
        <v>f</v>
      </c>
    </row>
    <row r="628" spans="1:2" x14ac:dyDescent="0.2">
      <c r="A628" s="356" t="str">
        <f>INDEX(Rankings!C$2:'Rankings'!C$1000,MATCH(SMALL(Rankings!I$2:'Rankings'!I$1000,ROW()),Rankings!I$2:'Rankings'!I$1000,0))</f>
        <v>Martina Solarova</v>
      </c>
      <c r="B628" s="340" t="str">
        <f>VLOOKUP(A628,Rankings!C:E,3,FALSE)</f>
        <v>f</v>
      </c>
    </row>
    <row r="629" spans="1:2" x14ac:dyDescent="0.2">
      <c r="A629" s="356" t="str">
        <f>INDEX(Rankings!C$2:'Rankings'!C$1000,MATCH(SMALL(Rankings!I$2:'Rankings'!I$1000,ROW()),Rankings!I$2:'Rankings'!I$1000,0))</f>
        <v>Marty Hapner</v>
      </c>
      <c r="B629" s="340" t="str">
        <f>VLOOKUP(A629,Rankings!C:E,3,FALSE)</f>
        <v>m</v>
      </c>
    </row>
    <row r="630" spans="1:2" x14ac:dyDescent="0.2">
      <c r="A630" s="356" t="str">
        <f>INDEX(Rankings!C$2:'Rankings'!C$1000,MATCH(SMALL(Rankings!I$2:'Rankings'!I$1000,ROW()),Rankings!I$2:'Rankings'!I$1000,0))</f>
        <v>Mary Lowry</v>
      </c>
      <c r="B630" s="340" t="str">
        <f>VLOOKUP(A630,Rankings!C:E,3,FALSE)</f>
        <v>f</v>
      </c>
    </row>
    <row r="631" spans="1:2" x14ac:dyDescent="0.2">
      <c r="A631" s="356" t="str">
        <f>INDEX(Rankings!C$2:'Rankings'!C$1000,MATCH(SMALL(Rankings!I$2:'Rankings'!I$1000,ROW()),Rankings!I$2:'Rankings'!I$1000,0))</f>
        <v>Marygrace Clark</v>
      </c>
      <c r="B631" s="340" t="str">
        <f>VLOOKUP(A631,Rankings!C:E,3,FALSE)</f>
        <v>f</v>
      </c>
    </row>
    <row r="632" spans="1:2" x14ac:dyDescent="0.2">
      <c r="A632" s="356" t="str">
        <f>INDEX(Rankings!C$2:'Rankings'!C$1000,MATCH(SMALL(Rankings!I$2:'Rankings'!I$1000,ROW()),Rankings!I$2:'Rankings'!I$1000,0))</f>
        <v>Marygrace Sorrentino</v>
      </c>
      <c r="B632" s="340" t="str">
        <f>VLOOKUP(A632,Rankings!C:E,3,FALSE)</f>
        <v>f</v>
      </c>
    </row>
    <row r="633" spans="1:2" x14ac:dyDescent="0.2">
      <c r="A633" s="356" t="str">
        <f>INDEX(Rankings!C$2:'Rankings'!C$1000,MATCH(SMALL(Rankings!I$2:'Rankings'!I$1000,ROW()),Rankings!I$2:'Rankings'!I$1000,0))</f>
        <v>Marzia Abboni</v>
      </c>
      <c r="B633" s="340" t="str">
        <f>VLOOKUP(A633,Rankings!C:E,3,FALSE)</f>
        <v>f</v>
      </c>
    </row>
    <row r="634" spans="1:2" x14ac:dyDescent="0.2">
      <c r="A634" s="356" t="str">
        <f>INDEX(Rankings!C$2:'Rankings'!C$1000,MATCH(SMALL(Rankings!I$2:'Rankings'!I$1000,ROW()),Rankings!I$2:'Rankings'!I$1000,0))</f>
        <v>Masafumi Kanbe</v>
      </c>
      <c r="B634" s="340" t="str">
        <f>VLOOKUP(A634,Rankings!C:E,3,FALSE)</f>
        <v>m</v>
      </c>
    </row>
    <row r="635" spans="1:2" x14ac:dyDescent="0.2">
      <c r="A635" s="356" t="str">
        <f>INDEX(Rankings!C$2:'Rankings'!C$1000,MATCH(SMALL(Rankings!I$2:'Rankings'!I$1000,ROW()),Rankings!I$2:'Rankings'!I$1000,0))</f>
        <v>Masahiro Takayama</v>
      </c>
      <c r="B635" s="340" t="str">
        <f>VLOOKUP(A635,Rankings!C:E,3,FALSE)</f>
        <v>m</v>
      </c>
    </row>
    <row r="636" spans="1:2" x14ac:dyDescent="0.2">
      <c r="A636" s="356" t="str">
        <f>INDEX(Rankings!C$2:'Rankings'!C$1000,MATCH(SMALL(Rankings!I$2:'Rankings'!I$1000,ROW()),Rankings!I$2:'Rankings'!I$1000,0))</f>
        <v>Masaki Hirashima</v>
      </c>
      <c r="B636" s="340" t="str">
        <f>VLOOKUP(A636,Rankings!C:E,3,FALSE)</f>
        <v>m</v>
      </c>
    </row>
    <row r="637" spans="1:2" x14ac:dyDescent="0.2">
      <c r="A637" s="356" t="str">
        <f>INDEX(Rankings!C$2:'Rankings'!C$1000,MATCH(SMALL(Rankings!I$2:'Rankings'!I$1000,ROW()),Rankings!I$2:'Rankings'!I$1000,0))</f>
        <v>Masao Yamaji</v>
      </c>
      <c r="B637" s="340" t="str">
        <f>VLOOKUP(A637,Rankings!C:E,3,FALSE)</f>
        <v>m</v>
      </c>
    </row>
    <row r="638" spans="1:2" x14ac:dyDescent="0.2">
      <c r="A638" s="356" t="str">
        <f>INDEX(Rankings!C$2:'Rankings'!C$1000,MATCH(SMALL(Rankings!I$2:'Rankings'!I$1000,ROW()),Rankings!I$2:'Rankings'!I$1000,0))</f>
        <v>Masatoshi Ishihara</v>
      </c>
      <c r="B638" s="340" t="str">
        <f>VLOOKUP(A638,Rankings!C:E,3,FALSE)</f>
        <v>m</v>
      </c>
    </row>
    <row r="639" spans="1:2" x14ac:dyDescent="0.2">
      <c r="A639" s="356" t="str">
        <f>INDEX(Rankings!C$2:'Rankings'!C$1000,MATCH(SMALL(Rankings!I$2:'Rankings'!I$1000,ROW()),Rankings!I$2:'Rankings'!I$1000,0))</f>
        <v>Massimo Possenti</v>
      </c>
      <c r="B639" s="340" t="str">
        <f>VLOOKUP(A639,Rankings!C:E,3,FALSE)</f>
        <v>m</v>
      </c>
    </row>
    <row r="640" spans="1:2" x14ac:dyDescent="0.2">
      <c r="A640" s="356" t="str">
        <f>INDEX(Rankings!C$2:'Rankings'!C$1000,MATCH(SMALL(Rankings!I$2:'Rankings'!I$1000,ROW()),Rankings!I$2:'Rankings'!I$1000,0))</f>
        <v>Massimo Segale</v>
      </c>
      <c r="B640" s="340" t="str">
        <f>VLOOKUP(A640,Rankings!C:E,3,FALSE)</f>
        <v>m</v>
      </c>
    </row>
    <row r="641" spans="1:2" x14ac:dyDescent="0.2">
      <c r="A641" s="356" t="str">
        <f>INDEX(Rankings!C$2:'Rankings'!C$1000,MATCH(SMALL(Rankings!I$2:'Rankings'!I$1000,ROW()),Rankings!I$2:'Rankings'!I$1000,0))</f>
        <v>Matej Kostel</v>
      </c>
      <c r="B641" s="340" t="str">
        <f>VLOOKUP(A641,Rankings!C:E,3,FALSE)</f>
        <v>m</v>
      </c>
    </row>
    <row r="642" spans="1:2" x14ac:dyDescent="0.2">
      <c r="A642" s="356" t="str">
        <f>INDEX(Rankings!C$2:'Rankings'!C$1000,MATCH(SMALL(Rankings!I$2:'Rankings'!I$1000,ROW()),Rankings!I$2:'Rankings'!I$1000,0))</f>
        <v>Mateusz Gajewski</v>
      </c>
      <c r="B642" s="340" t="str">
        <f>VLOOKUP(A642,Rankings!C:E,3,FALSE)</f>
        <v>m</v>
      </c>
    </row>
    <row r="643" spans="1:2" x14ac:dyDescent="0.2">
      <c r="A643" s="356" t="str">
        <f>INDEX(Rankings!C$2:'Rankings'!C$1000,MATCH(SMALL(Rankings!I$2:'Rankings'!I$1000,ROW()),Rankings!I$2:'Rankings'!I$1000,0))</f>
        <v>Matilda Ringbom</v>
      </c>
      <c r="B643" s="340" t="str">
        <f>VLOOKUP(A643,Rankings!C:E,3,FALSE)</f>
        <v>f</v>
      </c>
    </row>
    <row r="644" spans="1:2" x14ac:dyDescent="0.2">
      <c r="A644" s="356" t="str">
        <f>INDEX(Rankings!C$2:'Rankings'!C$1000,MATCH(SMALL(Rankings!I$2:'Rankings'!I$1000,ROW()),Rankings!I$2:'Rankings'!I$1000,0))</f>
        <v>Mat'o Kalnik</v>
      </c>
      <c r="B644" s="340" t="str">
        <f>VLOOKUP(A644,Rankings!C:E,3,FALSE)</f>
        <v>m</v>
      </c>
    </row>
    <row r="645" spans="1:2" x14ac:dyDescent="0.2">
      <c r="A645" s="356" t="str">
        <f>INDEX(Rankings!C$2:'Rankings'!C$1000,MATCH(SMALL(Rankings!I$2:'Rankings'!I$1000,ROW()),Rankings!I$2:'Rankings'!I$1000,0))</f>
        <v>Matt Brock</v>
      </c>
      <c r="B645" s="340" t="str">
        <f>VLOOKUP(A645,Rankings!C:E,3,FALSE)</f>
        <v>m</v>
      </c>
    </row>
    <row r="646" spans="1:2" x14ac:dyDescent="0.2">
      <c r="A646" s="356" t="str">
        <f>INDEX(Rankings!C$2:'Rankings'!C$1000,MATCH(SMALL(Rankings!I$2:'Rankings'!I$1000,ROW()),Rankings!I$2:'Rankings'!I$1000,0))</f>
        <v>Matt Gauthier</v>
      </c>
      <c r="B646" s="340" t="str">
        <f>VLOOKUP(A646,Rankings!C:E,3,FALSE)</f>
        <v>m</v>
      </c>
    </row>
    <row r="647" spans="1:2" x14ac:dyDescent="0.2">
      <c r="A647" s="356" t="str">
        <f>INDEX(Rankings!C$2:'Rankings'!C$1000,MATCH(SMALL(Rankings!I$2:'Rankings'!I$1000,ROW()),Rankings!I$2:'Rankings'!I$1000,0))</f>
        <v>Matt Hull</v>
      </c>
      <c r="B647" s="340" t="str">
        <f>VLOOKUP(A647,Rankings!C:E,3,FALSE)</f>
        <v>m</v>
      </c>
    </row>
    <row r="648" spans="1:2" x14ac:dyDescent="0.2">
      <c r="A648" s="356" t="str">
        <f>INDEX(Rankings!C$2:'Rankings'!C$1000,MATCH(SMALL(Rankings!I$2:'Rankings'!I$1000,ROW()),Rankings!I$2:'Rankings'!I$1000,0))</f>
        <v>Matteo Ceresa</v>
      </c>
      <c r="B648" s="340" t="str">
        <f>VLOOKUP(A648,Rankings!C:E,3,FALSE)</f>
        <v>m</v>
      </c>
    </row>
    <row r="649" spans="1:2" x14ac:dyDescent="0.2">
      <c r="A649" s="356" t="str">
        <f>INDEX(Rankings!C$2:'Rankings'!C$1000,MATCH(SMALL(Rankings!I$2:'Rankings'!I$1000,ROW()),Rankings!I$2:'Rankings'!I$1000,0))</f>
        <v>Matteo Feller</v>
      </c>
      <c r="B649" s="340" t="str">
        <f>VLOOKUP(A649,Rankings!C:E,3,FALSE)</f>
        <v>m</v>
      </c>
    </row>
    <row r="650" spans="1:2" x14ac:dyDescent="0.2">
      <c r="A650" s="356" t="str">
        <f>INDEX(Rankings!C$2:'Rankings'!C$1000,MATCH(SMALL(Rankings!I$2:'Rankings'!I$1000,ROW()),Rankings!I$2:'Rankings'!I$1000,0))</f>
        <v>Matteo Gaddoni</v>
      </c>
      <c r="B650" s="340" t="str">
        <f>VLOOKUP(A650,Rankings!C:E,3,FALSE)</f>
        <v>m</v>
      </c>
    </row>
    <row r="651" spans="1:2" x14ac:dyDescent="0.2">
      <c r="A651" s="356" t="str">
        <f>INDEX(Rankings!C$2:'Rankings'!C$1000,MATCH(SMALL(Rankings!I$2:'Rankings'!I$1000,ROW()),Rankings!I$2:'Rankings'!I$1000,0))</f>
        <v>Matteo Pinto</v>
      </c>
      <c r="B651" s="340" t="str">
        <f>VLOOKUP(A651,Rankings!C:E,3,FALSE)</f>
        <v>m</v>
      </c>
    </row>
    <row r="652" spans="1:2" x14ac:dyDescent="0.2">
      <c r="A652" s="356" t="str">
        <f>INDEX(Rankings!C$2:'Rankings'!C$1000,MATCH(SMALL(Rankings!I$2:'Rankings'!I$1000,ROW()),Rankings!I$2:'Rankings'!I$1000,0))</f>
        <v>Mattia Colombari</v>
      </c>
      <c r="B652" s="340" t="str">
        <f>VLOOKUP(A652,Rankings!C:E,3,FALSE)</f>
        <v>m</v>
      </c>
    </row>
    <row r="653" spans="1:2" x14ac:dyDescent="0.2">
      <c r="A653" s="356" t="str">
        <f>INDEX(Rankings!C$2:'Rankings'!C$1000,MATCH(SMALL(Rankings!I$2:'Rankings'!I$1000,ROW()),Rankings!I$2:'Rankings'!I$1000,0))</f>
        <v>Mattia Lambertini</v>
      </c>
      <c r="B653" s="340" t="str">
        <f>VLOOKUP(A653,Rankings!C:E,3,FALSE)</f>
        <v>m</v>
      </c>
    </row>
    <row r="654" spans="1:2" x14ac:dyDescent="0.2">
      <c r="A654" s="356" t="str">
        <f>INDEX(Rankings!C$2:'Rankings'!C$1000,MATCH(SMALL(Rankings!I$2:'Rankings'!I$1000,ROW()),Rankings!I$2:'Rankings'!I$1000,0))</f>
        <v>Mattias Hultqvist</v>
      </c>
      <c r="B654" s="340" t="str">
        <f>VLOOKUP(A654,Rankings!C:E,3,FALSE)</f>
        <v>m</v>
      </c>
    </row>
    <row r="655" spans="1:2" x14ac:dyDescent="0.2">
      <c r="A655" s="356" t="str">
        <f>INDEX(Rankings!C$2:'Rankings'!C$1000,MATCH(SMALL(Rankings!I$2:'Rankings'!I$1000,ROW()),Rankings!I$2:'Rankings'!I$1000,0))</f>
        <v>Mattias Nilsson</v>
      </c>
      <c r="B655" s="340" t="str">
        <f>VLOOKUP(A655,Rankings!C:E,3,FALSE)</f>
        <v>m</v>
      </c>
    </row>
    <row r="656" spans="1:2" x14ac:dyDescent="0.2">
      <c r="A656" s="356" t="str">
        <f>INDEX(Rankings!C$2:'Rankings'!C$1000,MATCH(SMALL(Rankings!I$2:'Rankings'!I$1000,ROW()),Rankings!I$2:'Rankings'!I$1000,0))</f>
        <v>Mattias Sandkvist</v>
      </c>
      <c r="B656" s="340" t="str">
        <f>VLOOKUP(A656,Rankings!C:E,3,FALSE)</f>
        <v>m</v>
      </c>
    </row>
    <row r="657" spans="1:2" x14ac:dyDescent="0.2">
      <c r="A657" s="356" t="str">
        <f>INDEX(Rankings!C$2:'Rankings'!C$1000,MATCH(SMALL(Rankings!I$2:'Rankings'!I$1000,ROW()),Rankings!I$2:'Rankings'!I$1000,0))</f>
        <v>Mattie Shelton</v>
      </c>
      <c r="B657" s="340" t="str">
        <f>VLOOKUP(A657,Rankings!C:E,3,FALSE)</f>
        <v>f</v>
      </c>
    </row>
    <row r="658" spans="1:2" x14ac:dyDescent="0.2">
      <c r="A658" s="356" t="str">
        <f>INDEX(Rankings!C$2:'Rankings'!C$1000,MATCH(SMALL(Rankings!I$2:'Rankings'!I$1000,ROW()),Rankings!I$2:'Rankings'!I$1000,0))</f>
        <v>Maurice Eugene</v>
      </c>
      <c r="B658" s="340" t="str">
        <f>VLOOKUP(A658,Rankings!C:E,3,FALSE)</f>
        <v>m</v>
      </c>
    </row>
    <row r="659" spans="1:2" x14ac:dyDescent="0.2">
      <c r="A659" s="356" t="str">
        <f>INDEX(Rankings!C$2:'Rankings'!C$1000,MATCH(SMALL(Rankings!I$2:'Rankings'!I$1000,ROW()),Rankings!I$2:'Rankings'!I$1000,0))</f>
        <v>Mauricio Mesa</v>
      </c>
      <c r="B659" s="340" t="str">
        <f>VLOOKUP(A659,Rankings!C:E,3,FALSE)</f>
        <v>m</v>
      </c>
    </row>
    <row r="660" spans="1:2" x14ac:dyDescent="0.2">
      <c r="A660" s="356" t="str">
        <f>INDEX(Rankings!C$2:'Rankings'!C$1000,MATCH(SMALL(Rankings!I$2:'Rankings'!I$1000,ROW()),Rankings!I$2:'Rankings'!I$1000,0))</f>
        <v>Maurizio Lozio</v>
      </c>
      <c r="B660" s="340" t="str">
        <f>VLOOKUP(A660,Rankings!C:E,3,FALSE)</f>
        <v>m</v>
      </c>
    </row>
    <row r="661" spans="1:2" x14ac:dyDescent="0.2">
      <c r="A661" s="356" t="str">
        <f>INDEX(Rankings!C$2:'Rankings'!C$1000,MATCH(SMALL(Rankings!I$2:'Rankings'!I$1000,ROW()),Rankings!I$2:'Rankings'!I$1000,0))</f>
        <v>Maurizio Ranieri</v>
      </c>
      <c r="B661" s="340" t="str">
        <f>VLOOKUP(A661,Rankings!C:E,3,FALSE)</f>
        <v>m</v>
      </c>
    </row>
    <row r="662" spans="1:2" x14ac:dyDescent="0.2">
      <c r="A662" s="356" t="str">
        <f>INDEX(Rankings!C$2:'Rankings'!C$1000,MATCH(SMALL(Rankings!I$2:'Rankings'!I$1000,ROW()),Rankings!I$2:'Rankings'!I$1000,0))</f>
        <v>Mauro Mercuri</v>
      </c>
      <c r="B662" s="340" t="str">
        <f>VLOOKUP(A662,Rankings!C:E,3,FALSE)</f>
        <v>m</v>
      </c>
    </row>
    <row r="663" spans="1:2" x14ac:dyDescent="0.2">
      <c r="A663" s="356" t="str">
        <f>INDEX(Rankings!C$2:'Rankings'!C$1000,MATCH(SMALL(Rankings!I$2:'Rankings'!I$1000,ROW()),Rankings!I$2:'Rankings'!I$1000,0))</f>
        <v>Max Schmidt</v>
      </c>
      <c r="B663" s="340" t="str">
        <f>VLOOKUP(A663,Rankings!C:E,3,FALSE)</f>
        <v>m</v>
      </c>
    </row>
    <row r="664" spans="1:2" x14ac:dyDescent="0.2">
      <c r="A664" s="356" t="str">
        <f>INDEX(Rankings!C$2:'Rankings'!C$1000,MATCH(SMALL(Rankings!I$2:'Rankings'!I$1000,ROW()),Rankings!I$2:'Rankings'!I$1000,0))</f>
        <v>Mayumi Suzuki</v>
      </c>
      <c r="B664" s="340" t="str">
        <f>VLOOKUP(A664,Rankings!C:E,3,FALSE)</f>
        <v>f</v>
      </c>
    </row>
    <row r="665" spans="1:2" x14ac:dyDescent="0.2">
      <c r="A665" s="356" t="str">
        <f>INDEX(Rankings!C$2:'Rankings'!C$1000,MATCH(SMALL(Rankings!I$2:'Rankings'!I$1000,ROW()),Rankings!I$2:'Rankings'!I$1000,0))</f>
        <v>Megan Grilliot</v>
      </c>
      <c r="B665" s="340" t="str">
        <f>VLOOKUP(A665,Rankings!C:E,3,FALSE)</f>
        <v>f</v>
      </c>
    </row>
    <row r="666" spans="1:2" x14ac:dyDescent="0.2">
      <c r="A666" s="356" t="str">
        <f>INDEX(Rankings!C$2:'Rankings'!C$1000,MATCH(SMALL(Rankings!I$2:'Rankings'!I$1000,ROW()),Rankings!I$2:'Rankings'!I$1000,0))</f>
        <v>Mehrdad Hosseinian</v>
      </c>
      <c r="B666" s="340" t="str">
        <f>VLOOKUP(A666,Rankings!C:E,3,FALSE)</f>
        <v>m</v>
      </c>
    </row>
    <row r="667" spans="1:2" x14ac:dyDescent="0.2">
      <c r="A667" s="356" t="str">
        <f>INDEX(Rankings!C$2:'Rankings'!C$1000,MATCH(SMALL(Rankings!I$2:'Rankings'!I$1000,ROW()),Rankings!I$2:'Rankings'!I$1000,0))</f>
        <v>Melanie Kranz</v>
      </c>
      <c r="B667" s="340" t="str">
        <f>VLOOKUP(A667,Rankings!C:E,3,FALSE)</f>
        <v>f</v>
      </c>
    </row>
    <row r="668" spans="1:2" x14ac:dyDescent="0.2">
      <c r="A668" s="356" t="str">
        <f>INDEX(Rankings!C$2:'Rankings'!C$1000,MATCH(SMALL(Rankings!I$2:'Rankings'!I$1000,ROW()),Rankings!I$2:'Rankings'!I$1000,0))</f>
        <v>Melissa Trail</v>
      </c>
      <c r="B668" s="340" t="str">
        <f>VLOOKUP(A668,Rankings!C:E,3,FALSE)</f>
        <v>f</v>
      </c>
    </row>
    <row r="669" spans="1:2" x14ac:dyDescent="0.2">
      <c r="A669" s="356" t="str">
        <f>INDEX(Rankings!C$2:'Rankings'!C$1000,MATCH(SMALL(Rankings!I$2:'Rankings'!I$1000,ROW()),Rankings!I$2:'Rankings'!I$1000,0))</f>
        <v>Merrill Detwiler</v>
      </c>
      <c r="B669" s="340" t="str">
        <f>VLOOKUP(A669,Rankings!C:E,3,FALSE)</f>
        <v>m</v>
      </c>
    </row>
    <row r="670" spans="1:2" x14ac:dyDescent="0.2">
      <c r="A670" s="356" t="str">
        <f>INDEX(Rankings!C$2:'Rankings'!C$1000,MATCH(SMALL(Rankings!I$2:'Rankings'!I$1000,ROW()),Rankings!I$2:'Rankings'!I$1000,0))</f>
        <v>Mes Ardagna</v>
      </c>
      <c r="B670" s="340" t="str">
        <f>VLOOKUP(A670,Rankings!C:E,3,FALSE)</f>
        <v>m</v>
      </c>
    </row>
    <row r="671" spans="1:2" x14ac:dyDescent="0.2">
      <c r="A671" s="356" t="str">
        <f>INDEX(Rankings!C$2:'Rankings'!C$1000,MATCH(SMALL(Rankings!I$2:'Rankings'!I$1000,ROW()),Rankings!I$2:'Rankings'!I$1000,0))</f>
        <v>Micah Kiehl</v>
      </c>
      <c r="B671" s="340" t="str">
        <f>VLOOKUP(A671,Rankings!C:E,3,FALSE)</f>
        <v>m</v>
      </c>
    </row>
    <row r="672" spans="1:2" x14ac:dyDescent="0.2">
      <c r="A672" s="356" t="str">
        <f>INDEX(Rankings!C$2:'Rankings'!C$1000,MATCH(SMALL(Rankings!I$2:'Rankings'!I$1000,ROW()),Rankings!I$2:'Rankings'!I$1000,0))</f>
        <v>Michael Clarke</v>
      </c>
      <c r="B672" s="340" t="str">
        <f>VLOOKUP(A672,Rankings!C:E,3,FALSE)</f>
        <v>m</v>
      </c>
    </row>
    <row r="673" spans="1:2" x14ac:dyDescent="0.2">
      <c r="A673" s="356" t="str">
        <f>INDEX(Rankings!C$2:'Rankings'!C$1000,MATCH(SMALL(Rankings!I$2:'Rankings'!I$1000,ROW()),Rankings!I$2:'Rankings'!I$1000,0))</f>
        <v>Michael Conger</v>
      </c>
      <c r="B673" s="340" t="str">
        <f>VLOOKUP(A673,Rankings!C:E,3,FALSE)</f>
        <v>m</v>
      </c>
    </row>
    <row r="674" spans="1:2" x14ac:dyDescent="0.2">
      <c r="A674" s="356" t="str">
        <f>INDEX(Rankings!C$2:'Rankings'!C$1000,MATCH(SMALL(Rankings!I$2:'Rankings'!I$1000,ROW()),Rankings!I$2:'Rankings'!I$1000,0))</f>
        <v>Michael Hu</v>
      </c>
      <c r="B674" s="340" t="str">
        <f>VLOOKUP(A674,Rankings!C:E,3,FALSE)</f>
        <v>m</v>
      </c>
    </row>
    <row r="675" spans="1:2" x14ac:dyDescent="0.2">
      <c r="A675" s="356" t="str">
        <f>INDEX(Rankings!C$2:'Rankings'!C$1000,MATCH(SMALL(Rankings!I$2:'Rankings'!I$1000,ROW()),Rankings!I$2:'Rankings'!I$1000,0))</f>
        <v>Michael Shperling</v>
      </c>
      <c r="B675" s="340" t="str">
        <f>VLOOKUP(A675,Rankings!C:E,3,FALSE)</f>
        <v>m</v>
      </c>
    </row>
    <row r="676" spans="1:2" x14ac:dyDescent="0.2">
      <c r="A676" s="356" t="str">
        <f>INDEX(Rankings!C$2:'Rankings'!C$1000,MATCH(SMALL(Rankings!I$2:'Rankings'!I$1000,ROW()),Rankings!I$2:'Rankings'!I$1000,0))</f>
        <v>Michaela Galloupe</v>
      </c>
      <c r="B676" s="340" t="str">
        <f>VLOOKUP(A676,Rankings!C:E,3,FALSE)</f>
        <v>f</v>
      </c>
    </row>
    <row r="677" spans="1:2" x14ac:dyDescent="0.2">
      <c r="A677" s="356" t="str">
        <f>INDEX(Rankings!C$2:'Rankings'!C$1000,MATCH(SMALL(Rankings!I$2:'Rankings'!I$1000,ROW()),Rankings!I$2:'Rankings'!I$1000,0))</f>
        <v>Michal Maciolek</v>
      </c>
      <c r="B677" s="340" t="str">
        <f>VLOOKUP(A677,Rankings!C:E,3,FALSE)</f>
        <v>m</v>
      </c>
    </row>
    <row r="678" spans="1:2" x14ac:dyDescent="0.2">
      <c r="A678" s="356" t="str">
        <f>INDEX(Rankings!C$2:'Rankings'!C$1000,MATCH(SMALL(Rankings!I$2:'Rankings'!I$1000,ROW()),Rankings!I$2:'Rankings'!I$1000,0))</f>
        <v>Michal Piekarski</v>
      </c>
      <c r="B678" s="340" t="str">
        <f>VLOOKUP(A678,Rankings!C:E,3,FALSE)</f>
        <v>m</v>
      </c>
    </row>
    <row r="679" spans="1:2" x14ac:dyDescent="0.2">
      <c r="A679" s="356" t="str">
        <f>INDEX(Rankings!C$2:'Rankings'!C$1000,MATCH(SMALL(Rankings!I$2:'Rankings'!I$1000,ROW()),Rankings!I$2:'Rankings'!I$1000,0))</f>
        <v>Michal Roginski</v>
      </c>
      <c r="B679" s="340" t="str">
        <f>VLOOKUP(A679,Rankings!C:E,3,FALSE)</f>
        <v>m</v>
      </c>
    </row>
    <row r="680" spans="1:2" x14ac:dyDescent="0.2">
      <c r="A680" s="356" t="str">
        <f>INDEX(Rankings!C$2:'Rankings'!C$1000,MATCH(SMALL(Rankings!I$2:'Rankings'!I$1000,ROW()),Rankings!I$2:'Rankings'!I$1000,0))</f>
        <v>Michel Otte</v>
      </c>
      <c r="B680" s="340" t="str">
        <f>VLOOKUP(A680,Rankings!C:E,3,FALSE)</f>
        <v>m</v>
      </c>
    </row>
    <row r="681" spans="1:2" x14ac:dyDescent="0.2">
      <c r="A681" s="356" t="str">
        <f>INDEX(Rankings!C$2:'Rankings'!C$1000,MATCH(SMALL(Rankings!I$2:'Rankings'!I$1000,ROW()),Rankings!I$2:'Rankings'!I$1000,0))</f>
        <v>Michele Casadei</v>
      </c>
      <c r="B681" s="340" t="str">
        <f>VLOOKUP(A681,Rankings!C:E,3,FALSE)</f>
        <v>m</v>
      </c>
    </row>
    <row r="682" spans="1:2" x14ac:dyDescent="0.2">
      <c r="A682" s="356" t="str">
        <f>INDEX(Rankings!C$2:'Rankings'!C$1000,MATCH(SMALL(Rankings!I$2:'Rankings'!I$1000,ROW()),Rankings!I$2:'Rankings'!I$1000,0))</f>
        <v>Mikael Zewgren</v>
      </c>
      <c r="B682" s="340" t="str">
        <f>VLOOKUP(A682,Rankings!C:E,3,FALSE)</f>
        <v>m</v>
      </c>
    </row>
    <row r="683" spans="1:2" x14ac:dyDescent="0.2">
      <c r="A683" s="356" t="str">
        <f>INDEX(Rankings!C$2:'Rankings'!C$1000,MATCH(SMALL(Rankings!I$2:'Rankings'!I$1000,ROW()),Rankings!I$2:'Rankings'!I$1000,0))</f>
        <v>Mike Beckman</v>
      </c>
      <c r="B683" s="340" t="str">
        <f>VLOOKUP(A683,Rankings!C:E,3,FALSE)</f>
        <v>m</v>
      </c>
    </row>
    <row r="684" spans="1:2" x14ac:dyDescent="0.2">
      <c r="A684" s="356" t="str">
        <f>INDEX(Rankings!C$2:'Rankings'!C$1000,MATCH(SMALL(Rankings!I$2:'Rankings'!I$1000,ROW()),Rankings!I$2:'Rankings'!I$1000,0))</f>
        <v>Mike Esterbrook</v>
      </c>
      <c r="B684" s="340" t="str">
        <f>VLOOKUP(A684,Rankings!C:E,3,FALSE)</f>
        <v>m</v>
      </c>
    </row>
    <row r="685" spans="1:2" x14ac:dyDescent="0.2">
      <c r="A685" s="356" t="str">
        <f>INDEX(Rankings!C$2:'Rankings'!C$1000,MATCH(SMALL(Rankings!I$2:'Rankings'!I$1000,ROW()),Rankings!I$2:'Rankings'!I$1000,0))</f>
        <v>Mike Galloupe</v>
      </c>
      <c r="B685" s="340" t="str">
        <f>VLOOKUP(A685,Rankings!C:E,3,FALSE)</f>
        <v>m</v>
      </c>
    </row>
    <row r="686" spans="1:2" x14ac:dyDescent="0.2">
      <c r="A686" s="356" t="str">
        <f>INDEX(Rankings!C$2:'Rankings'!C$1000,MATCH(SMALL(Rankings!I$2:'Rankings'!I$1000,ROW()),Rankings!I$2:'Rankings'!I$1000,0))</f>
        <v>Mike Hettich</v>
      </c>
      <c r="B686" s="340" t="str">
        <f>VLOOKUP(A686,Rankings!C:E,3,FALSE)</f>
        <v>m</v>
      </c>
    </row>
    <row r="687" spans="1:2" x14ac:dyDescent="0.2">
      <c r="A687" s="356" t="str">
        <f>INDEX(Rankings!C$2:'Rankings'!C$1000,MATCH(SMALL(Rankings!I$2:'Rankings'!I$1000,ROW()),Rankings!I$2:'Rankings'!I$1000,0))</f>
        <v>Mike Hughes</v>
      </c>
      <c r="B687" s="340" t="str">
        <f>VLOOKUP(A687,Rankings!C:E,3,FALSE)</f>
        <v>m</v>
      </c>
    </row>
    <row r="688" spans="1:2" x14ac:dyDescent="0.2">
      <c r="A688" s="356" t="str">
        <f>INDEX(Rankings!C$2:'Rankings'!C$1000,MATCH(SMALL(Rankings!I$2:'Rankings'!I$1000,ROW()),Rankings!I$2:'Rankings'!I$1000,0))</f>
        <v>Mike Prost</v>
      </c>
      <c r="B688" s="340" t="str">
        <f>VLOOKUP(A688,Rankings!C:E,3,FALSE)</f>
        <v>m</v>
      </c>
    </row>
    <row r="689" spans="1:2" x14ac:dyDescent="0.2">
      <c r="A689" s="356" t="str">
        <f>INDEX(Rankings!C$2:'Rankings'!C$1000,MATCH(SMALL(Rankings!I$2:'Rankings'!I$1000,ROW()),Rankings!I$2:'Rankings'!I$1000,0))</f>
        <v>Mike Ruzicka</v>
      </c>
      <c r="B689" s="340" t="str">
        <f>VLOOKUP(A689,Rankings!C:E,3,FALSE)</f>
        <v>m</v>
      </c>
    </row>
    <row r="690" spans="1:2" x14ac:dyDescent="0.2">
      <c r="A690" s="356" t="str">
        <f>INDEX(Rankings!C$2:'Rankings'!C$1000,MATCH(SMALL(Rankings!I$2:'Rankings'!I$1000,ROW()),Rankings!I$2:'Rankings'!I$1000,0))</f>
        <v>Mike Slaska</v>
      </c>
      <c r="B690" s="340" t="str">
        <f>VLOOKUP(A690,Rankings!C:E,3,FALSE)</f>
        <v>m</v>
      </c>
    </row>
    <row r="691" spans="1:2" x14ac:dyDescent="0.2">
      <c r="A691" s="356" t="str">
        <f>INDEX(Rankings!C$2:'Rankings'!C$1000,MATCH(SMALL(Rankings!I$2:'Rankings'!I$1000,ROW()),Rankings!I$2:'Rankings'!I$1000,0))</f>
        <v>Mike Stoneking</v>
      </c>
      <c r="B691" s="340" t="str">
        <f>VLOOKUP(A691,Rankings!C:E,3,FALSE)</f>
        <v>m</v>
      </c>
    </row>
    <row r="692" spans="1:2" x14ac:dyDescent="0.2">
      <c r="A692" s="356" t="str">
        <f>INDEX(Rankings!C$2:'Rankings'!C$1000,MATCH(SMALL(Rankings!I$2:'Rankings'!I$1000,ROW()),Rankings!I$2:'Rankings'!I$1000,0))</f>
        <v>Mikey Callaghan</v>
      </c>
      <c r="B692" s="340" t="str">
        <f>VLOOKUP(A692,Rankings!C:E,3,FALSE)</f>
        <v>m</v>
      </c>
    </row>
    <row r="693" spans="1:2" x14ac:dyDescent="0.2">
      <c r="A693" s="356" t="str">
        <f>INDEX(Rankings!C$2:'Rankings'!C$1000,MATCH(SMALL(Rankings!I$2:'Rankings'!I$1000,ROW()),Rankings!I$2:'Rankings'!I$1000,0))</f>
        <v>Mikey Reid</v>
      </c>
      <c r="B693" s="340" t="str">
        <f>VLOOKUP(A693,Rankings!C:E,3,FALSE)</f>
        <v>m</v>
      </c>
    </row>
    <row r="694" spans="1:2" x14ac:dyDescent="0.2">
      <c r="A694" s="356" t="str">
        <f>INDEX(Rankings!C$2:'Rankings'!C$1000,MATCH(SMALL(Rankings!I$2:'Rankings'!I$1000,ROW()),Rankings!I$2:'Rankings'!I$1000,0))</f>
        <v>MIlan Durkovic</v>
      </c>
      <c r="B694" s="340" t="str">
        <f>VLOOKUP(A694,Rankings!C:E,3,FALSE)</f>
        <v>m</v>
      </c>
    </row>
    <row r="695" spans="1:2" x14ac:dyDescent="0.2">
      <c r="A695" s="356" t="str">
        <f>INDEX(Rankings!C$2:'Rankings'!C$1000,MATCH(SMALL(Rankings!I$2:'Rankings'!I$1000,ROW()),Rankings!I$2:'Rankings'!I$1000,0))</f>
        <v>Mindy Ahler</v>
      </c>
      <c r="B695" s="340" t="str">
        <f>VLOOKUP(A695,Rankings!C:E,3,FALSE)</f>
        <v>f</v>
      </c>
    </row>
    <row r="696" spans="1:2" x14ac:dyDescent="0.2">
      <c r="A696" s="356" t="str">
        <f>INDEX(Rankings!C$2:'Rankings'!C$1000,MATCH(SMALL(Rankings!I$2:'Rankings'!I$1000,ROW()),Rankings!I$2:'Rankings'!I$1000,0))</f>
        <v>Mirco Zanchetta</v>
      </c>
      <c r="B696" s="340" t="str">
        <f>VLOOKUP(A696,Rankings!C:E,3,FALSE)</f>
        <v>m</v>
      </c>
    </row>
    <row r="697" spans="1:2" x14ac:dyDescent="0.2">
      <c r="A697" s="356" t="str">
        <f>INDEX(Rankings!C$2:'Rankings'!C$1000,MATCH(SMALL(Rankings!I$2:'Rankings'!I$1000,ROW()),Rankings!I$2:'Rankings'!I$1000,0))</f>
        <v>Mirko Vosen</v>
      </c>
      <c r="B697" s="340" t="str">
        <f>VLOOKUP(A697,Rankings!C:E,3,FALSE)</f>
        <v>m</v>
      </c>
    </row>
    <row r="698" spans="1:2" x14ac:dyDescent="0.2">
      <c r="A698" s="356" t="str">
        <f>INDEX(Rankings!C$2:'Rankings'!C$1000,MATCH(SMALL(Rankings!I$2:'Rankings'!I$1000,ROW()),Rankings!I$2:'Rankings'!I$1000,0))</f>
        <v>Mitsuru Udagawa</v>
      </c>
      <c r="B698" s="340" t="str">
        <f>VLOOKUP(A698,Rankings!C:E,3,FALSE)</f>
        <v>m</v>
      </c>
    </row>
    <row r="699" spans="1:2" x14ac:dyDescent="0.2">
      <c r="A699" s="356" t="str">
        <f>INDEX(Rankings!C$2:'Rankings'!C$1000,MATCH(SMALL(Rankings!I$2:'Rankings'!I$1000,ROW()),Rankings!I$2:'Rankings'!I$1000,0))</f>
        <v>Monika Selecka</v>
      </c>
      <c r="B699" s="340" t="str">
        <f>VLOOKUP(A699,Rankings!C:E,3,FALSE)</f>
        <v>f</v>
      </c>
    </row>
    <row r="700" spans="1:2" x14ac:dyDescent="0.2">
      <c r="A700" s="356" t="str">
        <f>INDEX(Rankings!C$2:'Rankings'!C$1000,MATCH(SMALL(Rankings!I$2:'Rankings'!I$1000,ROW()),Rankings!I$2:'Rankings'!I$1000,0))</f>
        <v>Monika Vogt</v>
      </c>
      <c r="B700" s="340" t="str">
        <f>VLOOKUP(A700,Rankings!C:E,3,FALSE)</f>
        <v>f</v>
      </c>
    </row>
    <row r="701" spans="1:2" x14ac:dyDescent="0.2">
      <c r="A701" s="356" t="str">
        <f>INDEX(Rankings!C$2:'Rankings'!C$1000,MATCH(SMALL(Rankings!I$2:'Rankings'!I$1000,ROW()),Rankings!I$2:'Rankings'!I$1000,0))</f>
        <v>Morris Starling</v>
      </c>
      <c r="B701" s="340" t="str">
        <f>VLOOKUP(A701,Rankings!C:E,3,FALSE)</f>
        <v>m</v>
      </c>
    </row>
    <row r="702" spans="1:2" x14ac:dyDescent="0.2">
      <c r="A702" s="356" t="str">
        <f>INDEX(Rankings!C$2:'Rankings'!C$1000,MATCH(SMALL(Rankings!I$2:'Rankings'!I$1000,ROW()),Rankings!I$2:'Rankings'!I$1000,0))</f>
        <v>Motohiro Hirabayashi</v>
      </c>
      <c r="B702" s="340" t="str">
        <f>VLOOKUP(A702,Rankings!C:E,3,FALSE)</f>
        <v>m</v>
      </c>
    </row>
    <row r="703" spans="1:2" x14ac:dyDescent="0.2">
      <c r="A703" s="356" t="str">
        <f>INDEX(Rankings!C$2:'Rankings'!C$1000,MATCH(SMALL(Rankings!I$2:'Rankings'!I$1000,ROW()),Rankings!I$2:'Rankings'!I$1000,0))</f>
        <v>Nadav Zandani</v>
      </c>
      <c r="B703" s="340" t="str">
        <f>VLOOKUP(A703,Rankings!C:E,3,FALSE)</f>
        <v>m</v>
      </c>
    </row>
    <row r="704" spans="1:2" x14ac:dyDescent="0.2">
      <c r="A704" s="356" t="str">
        <f>INDEX(Rankings!C$2:'Rankings'!C$1000,MATCH(SMALL(Rankings!I$2:'Rankings'!I$1000,ROW()),Rankings!I$2:'Rankings'!I$1000,0))</f>
        <v>Nadine Klos</v>
      </c>
      <c r="B704" s="340" t="str">
        <f>VLOOKUP(A704,Rankings!C:E,3,FALSE)</f>
        <v>f</v>
      </c>
    </row>
    <row r="705" spans="1:2" x14ac:dyDescent="0.2">
      <c r="A705" s="356" t="str">
        <f>INDEX(Rankings!C$2:'Rankings'!C$1000,MATCH(SMALL(Rankings!I$2:'Rankings'!I$1000,ROW()),Rankings!I$2:'Rankings'!I$1000,0))</f>
        <v>Naim Megassabi</v>
      </c>
      <c r="B705" s="340" t="str">
        <f>VLOOKUP(A705,Rankings!C:E,3,FALSE)</f>
        <v>m</v>
      </c>
    </row>
    <row r="706" spans="1:2" x14ac:dyDescent="0.2">
      <c r="A706" s="356" t="str">
        <f>INDEX(Rankings!C$2:'Rankings'!C$1000,MATCH(SMALL(Rankings!I$2:'Rankings'!I$1000,ROW()),Rankings!I$2:'Rankings'!I$1000,0))</f>
        <v>Naoki Maeda</v>
      </c>
      <c r="B706" s="340" t="str">
        <f>VLOOKUP(A706,Rankings!C:E,3,FALSE)</f>
        <v>m</v>
      </c>
    </row>
    <row r="707" spans="1:2" x14ac:dyDescent="0.2">
      <c r="A707" s="356" t="str">
        <f>INDEX(Rankings!C$2:'Rankings'!C$1000,MATCH(SMALL(Rankings!I$2:'Rankings'!I$1000,ROW()),Rankings!I$2:'Rankings'!I$1000,0))</f>
        <v>Nate Doss</v>
      </c>
      <c r="B707" s="340" t="str">
        <f>VLOOKUP(A707,Rankings!C:E,3,FALSE)</f>
        <v>m</v>
      </c>
    </row>
    <row r="708" spans="1:2" x14ac:dyDescent="0.2">
      <c r="A708" s="356" t="str">
        <f>INDEX(Rankings!C$2:'Rankings'!C$1000,MATCH(SMALL(Rankings!I$2:'Rankings'!I$1000,ROW()),Rankings!I$2:'Rankings'!I$1000,0))</f>
        <v>Neil Toland</v>
      </c>
      <c r="B708" s="340" t="str">
        <f>VLOOKUP(A708,Rankings!C:E,3,FALSE)</f>
        <v>m</v>
      </c>
    </row>
    <row r="709" spans="1:2" x14ac:dyDescent="0.2">
      <c r="A709" s="356" t="str">
        <f>INDEX(Rankings!C$2:'Rankings'!C$1000,MATCH(SMALL(Rankings!I$2:'Rankings'!I$1000,ROW()),Rankings!I$2:'Rankings'!I$1000,0))</f>
        <v>Nico Bernold</v>
      </c>
      <c r="B709" s="340" t="str">
        <f>VLOOKUP(A709,Rankings!C:E,3,FALSE)</f>
        <v>m</v>
      </c>
    </row>
    <row r="710" spans="1:2" x14ac:dyDescent="0.2">
      <c r="A710" s="356" t="str">
        <f>INDEX(Rankings!C$2:'Rankings'!C$1000,MATCH(SMALL(Rankings!I$2:'Rankings'!I$1000,ROW()),Rankings!I$2:'Rankings'!I$1000,0))</f>
        <v>Nico Schwarz</v>
      </c>
      <c r="B710" s="340" t="str">
        <f>VLOOKUP(A710,Rankings!C:E,3,FALSE)</f>
        <v>m</v>
      </c>
    </row>
    <row r="711" spans="1:2" x14ac:dyDescent="0.2">
      <c r="A711" s="356" t="str">
        <f>INDEX(Rankings!C$2:'Rankings'!C$1000,MATCH(SMALL(Rankings!I$2:'Rankings'!I$1000,ROW()),Rankings!I$2:'Rankings'!I$1000,0))</f>
        <v>Nicoló D'Ardia</v>
      </c>
      <c r="B711" s="340" t="str">
        <f>VLOOKUP(A711,Rankings!C:E,3,FALSE)</f>
        <v>m</v>
      </c>
    </row>
    <row r="712" spans="1:2" x14ac:dyDescent="0.2">
      <c r="A712" s="356" t="str">
        <f>INDEX(Rankings!C$2:'Rankings'!C$1000,MATCH(SMALL(Rankings!I$2:'Rankings'!I$1000,ROW()),Rankings!I$2:'Rankings'!I$1000,0))</f>
        <v>Niki Thoma</v>
      </c>
      <c r="B712" s="340" t="str">
        <f>VLOOKUP(A712,Rankings!C:E,3,FALSE)</f>
        <v>m</v>
      </c>
    </row>
    <row r="713" spans="1:2" x14ac:dyDescent="0.2">
      <c r="A713" s="356" t="str">
        <f>INDEX(Rankings!C$2:'Rankings'!C$1000,MATCH(SMALL(Rankings!I$2:'Rankings'!I$1000,ROW()),Rankings!I$2:'Rankings'!I$1000,0))</f>
        <v>Niklas Bergehamn</v>
      </c>
      <c r="B713" s="340" t="str">
        <f>VLOOKUP(A713,Rankings!C:E,3,FALSE)</f>
        <v>m</v>
      </c>
    </row>
    <row r="714" spans="1:2" x14ac:dyDescent="0.2">
      <c r="A714" s="356" t="str">
        <f>INDEX(Rankings!C$2:'Rankings'!C$1000,MATCH(SMALL(Rankings!I$2:'Rankings'!I$1000,ROW()),Rankings!I$2:'Rankings'!I$1000,0))</f>
        <v>Noah Reckhard</v>
      </c>
      <c r="B714" s="340" t="str">
        <f>VLOOKUP(A714,Rankings!C:E,3,FALSE)</f>
        <v>m</v>
      </c>
    </row>
    <row r="715" spans="1:2" x14ac:dyDescent="0.2">
      <c r="A715" s="356" t="str">
        <f>INDEX(Rankings!C$2:'Rankings'!C$1000,MATCH(SMALL(Rankings!I$2:'Rankings'!I$1000,ROW()),Rankings!I$2:'Rankings'!I$1000,0))</f>
        <v>Obaid Mirzayi</v>
      </c>
      <c r="B715" s="340" t="str">
        <f>VLOOKUP(A715,Rankings!C:E,3,FALSE)</f>
        <v>m</v>
      </c>
    </row>
    <row r="716" spans="1:2" x14ac:dyDescent="0.2">
      <c r="A716" s="356" t="str">
        <f>INDEX(Rankings!C$2:'Rankings'!C$1000,MATCH(SMALL(Rankings!I$2:'Rankings'!I$1000,ROW()),Rankings!I$2:'Rankings'!I$1000,0))</f>
        <v>Ofek Agmon</v>
      </c>
      <c r="B716" s="340" t="str">
        <f>VLOOKUP(A716,Rankings!C:E,3,FALSE)</f>
        <v>m</v>
      </c>
    </row>
    <row r="717" spans="1:2" x14ac:dyDescent="0.2">
      <c r="A717" s="356" t="str">
        <f>INDEX(Rankings!C$2:'Rankings'!C$1000,MATCH(SMALL(Rankings!I$2:'Rankings'!I$1000,ROW()),Rankings!I$2:'Rankings'!I$1000,0))</f>
        <v>Ofir Almog</v>
      </c>
      <c r="B717" s="340" t="str">
        <f>VLOOKUP(A717,Rankings!C:E,3,FALSE)</f>
        <v>m</v>
      </c>
    </row>
    <row r="718" spans="1:2" x14ac:dyDescent="0.2">
      <c r="A718" s="356" t="str">
        <f>INDEX(Rankings!C$2:'Rankings'!C$1000,MATCH(SMALL(Rankings!I$2:'Rankings'!I$1000,ROW()),Rankings!I$2:'Rankings'!I$1000,0))</f>
        <v>Oliver Baczko</v>
      </c>
      <c r="B718" s="340" t="str">
        <f>VLOOKUP(A718,Rankings!C:E,3,FALSE)</f>
        <v>m</v>
      </c>
    </row>
    <row r="719" spans="1:2" x14ac:dyDescent="0.2">
      <c r="A719" s="356" t="str">
        <f>INDEX(Rankings!C$2:'Rankings'!C$1000,MATCH(SMALL(Rankings!I$2:'Rankings'!I$1000,ROW()),Rankings!I$2:'Rankings'!I$1000,0))</f>
        <v>Oliver Hocker</v>
      </c>
      <c r="B719" s="340" t="str">
        <f>VLOOKUP(A719,Rankings!C:E,3,FALSE)</f>
        <v>m</v>
      </c>
    </row>
    <row r="720" spans="1:2" x14ac:dyDescent="0.2">
      <c r="A720" s="356" t="str">
        <f>INDEX(Rankings!C$2:'Rankings'!C$1000,MATCH(SMALL(Rankings!I$2:'Rankings'!I$1000,ROW()),Rankings!I$2:'Rankings'!I$1000,0))</f>
        <v>Oliver Peters</v>
      </c>
      <c r="B720" s="340" t="str">
        <f>VLOOKUP(A720,Rankings!C:E,3,FALSE)</f>
        <v>m</v>
      </c>
    </row>
    <row r="721" spans="1:2" x14ac:dyDescent="0.2">
      <c r="A721" s="356" t="str">
        <f>INDEX(Rankings!C$2:'Rankings'!C$1000,MATCH(SMALL(Rankings!I$2:'Rankings'!I$1000,ROW()),Rankings!I$2:'Rankings'!I$1000,0))</f>
        <v>Olmo Camarda</v>
      </c>
      <c r="B721" s="340" t="str">
        <f>VLOOKUP(A721,Rankings!C:E,3,FALSE)</f>
        <v>m</v>
      </c>
    </row>
    <row r="722" spans="1:2" x14ac:dyDescent="0.2">
      <c r="A722" s="356" t="str">
        <f>INDEX(Rankings!C$2:'Rankings'!C$1000,MATCH(SMALL(Rankings!I$2:'Rankings'!I$1000,ROW()),Rankings!I$2:'Rankings'!I$1000,0))</f>
        <v>Omer Rosenbaum</v>
      </c>
      <c r="B722" s="340" t="str">
        <f>VLOOKUP(A722,Rankings!C:E,3,FALSE)</f>
        <v>m</v>
      </c>
    </row>
    <row r="723" spans="1:2" x14ac:dyDescent="0.2">
      <c r="A723" s="356" t="str">
        <f>INDEX(Rankings!C$2:'Rankings'!C$1000,MATCH(SMALL(Rankings!I$2:'Rankings'!I$1000,ROW()),Rankings!I$2:'Rankings'!I$1000,0))</f>
        <v>Ondrej Kolega</v>
      </c>
      <c r="B723" s="340" t="str">
        <f>VLOOKUP(A723,Rankings!C:E,3,FALSE)</f>
        <v>m</v>
      </c>
    </row>
    <row r="724" spans="1:2" x14ac:dyDescent="0.2">
      <c r="A724" s="356" t="str">
        <f>INDEX(Rankings!C$2:'Rankings'!C$1000,MATCH(SMALL(Rankings!I$2:'Rankings'!I$1000,ROW()),Rankings!I$2:'Rankings'!I$1000,0))</f>
        <v>Oren Meron</v>
      </c>
      <c r="B724" s="340" t="str">
        <f>VLOOKUP(A724,Rankings!C:E,3,FALSE)</f>
        <v>m</v>
      </c>
    </row>
    <row r="725" spans="1:2" x14ac:dyDescent="0.2">
      <c r="A725" s="356" t="str">
        <f>INDEX(Rankings!C$2:'Rankings'!C$1000,MATCH(SMALL(Rankings!I$2:'Rankings'!I$1000,ROW()),Rankings!I$2:'Rankings'!I$1000,0))</f>
        <v>Oscar Grundström</v>
      </c>
      <c r="B725" s="340" t="str">
        <f>VLOOKUP(A725,Rankings!C:E,3,FALSE)</f>
        <v>m</v>
      </c>
    </row>
    <row r="726" spans="1:2" x14ac:dyDescent="0.2">
      <c r="A726" s="356" t="str">
        <f>INDEX(Rankings!C$2:'Rankings'!C$1000,MATCH(SMALL(Rankings!I$2:'Rankings'!I$1000,ROW()),Rankings!I$2:'Rankings'!I$1000,0))</f>
        <v>Ot Loetlam</v>
      </c>
      <c r="B726" s="340" t="str">
        <f>VLOOKUP(A726,Rankings!C:E,3,FALSE)</f>
        <v>m</v>
      </c>
    </row>
    <row r="727" spans="1:2" x14ac:dyDescent="0.2">
      <c r="A727" s="356" t="str">
        <f>INDEX(Rankings!C$2:'Rankings'!C$1000,MATCH(SMALL(Rankings!I$2:'Rankings'!I$1000,ROW()),Rankings!I$2:'Rankings'!I$1000,0))</f>
        <v>Otto Oehring</v>
      </c>
      <c r="B727" s="340" t="str">
        <f>VLOOKUP(A727,Rankings!C:E,3,FALSE)</f>
        <v>m</v>
      </c>
    </row>
    <row r="728" spans="1:2" x14ac:dyDescent="0.2">
      <c r="A728" s="356" t="str">
        <f>INDEX(Rankings!C$2:'Rankings'!C$1000,MATCH(SMALL(Rankings!I$2:'Rankings'!I$1000,ROW()),Rankings!I$2:'Rankings'!I$1000,0))</f>
        <v>Oz Friere</v>
      </c>
      <c r="B728" s="340" t="str">
        <f>VLOOKUP(A728,Rankings!C:E,3,FALSE)</f>
        <v>m</v>
      </c>
    </row>
    <row r="729" spans="1:2" x14ac:dyDescent="0.2">
      <c r="A729" s="356" t="str">
        <f>INDEX(Rankings!C$2:'Rankings'!C$1000,MATCH(SMALL(Rankings!I$2:'Rankings'!I$1000,ROW()),Rankings!I$2:'Rankings'!I$1000,0))</f>
        <v>Pablo Andres Mosquer</v>
      </c>
      <c r="B729" s="340" t="str">
        <f>VLOOKUP(A729,Rankings!C:E,3,FALSE)</f>
        <v>m</v>
      </c>
    </row>
    <row r="730" spans="1:2" x14ac:dyDescent="0.2">
      <c r="A730" s="356" t="str">
        <f>INDEX(Rankings!C$2:'Rankings'!C$1000,MATCH(SMALL(Rankings!I$2:'Rankings'!I$1000,ROW()),Rankings!I$2:'Rankings'!I$1000,0))</f>
        <v>Pablo Azul</v>
      </c>
      <c r="B730" s="340" t="str">
        <f>VLOOKUP(A730,Rankings!C:E,3,FALSE)</f>
        <v>m</v>
      </c>
    </row>
    <row r="731" spans="1:2" x14ac:dyDescent="0.2">
      <c r="A731" s="356" t="str">
        <f>INDEX(Rankings!C$2:'Rankings'!C$1000,MATCH(SMALL(Rankings!I$2:'Rankings'!I$1000,ROW()),Rankings!I$2:'Rankings'!I$1000,0))</f>
        <v>Pablo Rada</v>
      </c>
      <c r="B731" s="340" t="str">
        <f>VLOOKUP(A731,Rankings!C:E,3,FALSE)</f>
        <v>m</v>
      </c>
    </row>
    <row r="732" spans="1:2" x14ac:dyDescent="0.2">
      <c r="A732" s="356" t="str">
        <f>INDEX(Rankings!C$2:'Rankings'!C$1000,MATCH(SMALL(Rankings!I$2:'Rankings'!I$1000,ROW()),Rankings!I$2:'Rankings'!I$1000,0))</f>
        <v>Paolo Braico</v>
      </c>
      <c r="B732" s="340" t="str">
        <f>VLOOKUP(A732,Rankings!C:E,3,FALSE)</f>
        <v>m</v>
      </c>
    </row>
    <row r="733" spans="1:2" x14ac:dyDescent="0.2">
      <c r="A733" s="356" t="str">
        <f>INDEX(Rankings!C$2:'Rankings'!C$1000,MATCH(SMALL(Rankings!I$2:'Rankings'!I$1000,ROW()),Rankings!I$2:'Rankings'!I$1000,0))</f>
        <v>Paolo Cipolloni</v>
      </c>
      <c r="B733" s="340" t="str">
        <f>VLOOKUP(A733,Rankings!C:E,3,FALSE)</f>
        <v>m</v>
      </c>
    </row>
    <row r="734" spans="1:2" x14ac:dyDescent="0.2">
      <c r="A734" s="356" t="str">
        <f>INDEX(Rankings!C$2:'Rankings'!C$1000,MATCH(SMALL(Rankings!I$2:'Rankings'!I$1000,ROW()),Rankings!I$2:'Rankings'!I$1000,0))</f>
        <v>Paolo Magni</v>
      </c>
      <c r="B734" s="340" t="str">
        <f>VLOOKUP(A734,Rankings!C:E,3,FALSE)</f>
        <v>m</v>
      </c>
    </row>
    <row r="735" spans="1:2" x14ac:dyDescent="0.2">
      <c r="A735" s="356" t="str">
        <f>INDEX(Rankings!C$2:'Rankings'!C$1000,MATCH(SMALL(Rankings!I$2:'Rankings'!I$1000,ROW()),Rankings!I$2:'Rankings'!I$1000,0))</f>
        <v>Paolo Mirabelli</v>
      </c>
      <c r="B735" s="340" t="str">
        <f>VLOOKUP(A735,Rankings!C:E,3,FALSE)</f>
        <v>m</v>
      </c>
    </row>
    <row r="736" spans="1:2" x14ac:dyDescent="0.2">
      <c r="A736" s="356" t="str">
        <f>INDEX(Rankings!C$2:'Rankings'!C$1000,MATCH(SMALL(Rankings!I$2:'Rankings'!I$1000,ROW()),Rankings!I$2:'Rankings'!I$1000,0))</f>
        <v>Paolo Papini</v>
      </c>
      <c r="B736" s="340" t="str">
        <f>VLOOKUP(A736,Rankings!C:E,3,FALSE)</f>
        <v>m</v>
      </c>
    </row>
    <row r="737" spans="1:2" x14ac:dyDescent="0.2">
      <c r="A737" s="356" t="str">
        <f>INDEX(Rankings!C$2:'Rankings'!C$1000,MATCH(SMALL(Rankings!I$2:'Rankings'!I$1000,ROW()),Rankings!I$2:'Rankings'!I$1000,0))</f>
        <v>Pat Marron</v>
      </c>
      <c r="B737" s="340" t="str">
        <f>VLOOKUP(A737,Rankings!C:E,3,FALSE)</f>
        <v>m</v>
      </c>
    </row>
    <row r="738" spans="1:2" x14ac:dyDescent="0.2">
      <c r="A738" s="356" t="str">
        <f>INDEX(Rankings!C$2:'Rankings'!C$1000,MATCH(SMALL(Rankings!I$2:'Rankings'!I$1000,ROW()),Rankings!I$2:'Rankings'!I$1000,0))</f>
        <v>Pat Rabdau</v>
      </c>
      <c r="B738" s="340" t="str">
        <f>VLOOKUP(A738,Rankings!C:E,3,FALSE)</f>
        <v>m</v>
      </c>
    </row>
    <row r="739" spans="1:2" x14ac:dyDescent="0.2">
      <c r="A739" s="356" t="str">
        <f>INDEX(Rankings!C$2:'Rankings'!C$1000,MATCH(SMALL(Rankings!I$2:'Rankings'!I$1000,ROW()),Rankings!I$2:'Rankings'!I$1000,0))</f>
        <v>Patrick Chartrand</v>
      </c>
      <c r="B739" s="340" t="str">
        <f>VLOOKUP(A739,Rankings!C:E,3,FALSE)</f>
        <v>m</v>
      </c>
    </row>
    <row r="740" spans="1:2" x14ac:dyDescent="0.2">
      <c r="A740" s="356" t="str">
        <f>INDEX(Rankings!C$2:'Rankings'!C$1000,MATCH(SMALL(Rankings!I$2:'Rankings'!I$1000,ROW()),Rankings!I$2:'Rankings'!I$1000,0))</f>
        <v>Paul Brenner</v>
      </c>
      <c r="B740" s="340" t="str">
        <f>VLOOKUP(A740,Rankings!C:E,3,FALSE)</f>
        <v>m</v>
      </c>
    </row>
    <row r="741" spans="1:2" x14ac:dyDescent="0.2">
      <c r="A741" s="356" t="str">
        <f>INDEX(Rankings!C$2:'Rankings'!C$1000,MATCH(SMALL(Rankings!I$2:'Rankings'!I$1000,ROW()),Rankings!I$2:'Rankings'!I$1000,0))</f>
        <v>Paul Kenny</v>
      </c>
      <c r="B741" s="340" t="str">
        <f>VLOOKUP(A741,Rankings!C:E,3,FALSE)</f>
        <v>m</v>
      </c>
    </row>
    <row r="742" spans="1:2" x14ac:dyDescent="0.2">
      <c r="A742" s="356" t="str">
        <f>INDEX(Rankings!C$2:'Rankings'!C$1000,MATCH(SMALL(Rankings!I$2:'Rankings'!I$1000,ROW()),Rankings!I$2:'Rankings'!I$1000,0))</f>
        <v>Paul Klimek</v>
      </c>
      <c r="B742" s="340" t="str">
        <f>VLOOKUP(A742,Rankings!C:E,3,FALSE)</f>
        <v>m</v>
      </c>
    </row>
    <row r="743" spans="1:2" x14ac:dyDescent="0.2">
      <c r="A743" s="356" t="str">
        <f>INDEX(Rankings!C$2:'Rankings'!C$1000,MATCH(SMALL(Rankings!I$2:'Rankings'!I$1000,ROW()),Rankings!I$2:'Rankings'!I$1000,0))</f>
        <v>Paul Kuffel</v>
      </c>
      <c r="B743" s="340" t="str">
        <f>VLOOKUP(A743,Rankings!C:E,3,FALSE)</f>
        <v>m</v>
      </c>
    </row>
    <row r="744" spans="1:2" x14ac:dyDescent="0.2">
      <c r="A744" s="356" t="str">
        <f>INDEX(Rankings!C$2:'Rankings'!C$1000,MATCH(SMALL(Rankings!I$2:'Rankings'!I$1000,ROW()),Rankings!I$2:'Rankings'!I$1000,0))</f>
        <v>Paul Mondesire</v>
      </c>
      <c r="B744" s="340" t="str">
        <f>VLOOKUP(A744,Rankings!C:E,3,FALSE)</f>
        <v>m</v>
      </c>
    </row>
    <row r="745" spans="1:2" x14ac:dyDescent="0.2">
      <c r="A745" s="356" t="str">
        <f>INDEX(Rankings!C$2:'Rankings'!C$1000,MATCH(SMALL(Rankings!I$2:'Rankings'!I$1000,ROW()),Rankings!I$2:'Rankings'!I$1000,0))</f>
        <v>Paul Siefert</v>
      </c>
      <c r="B745" s="340" t="str">
        <f>VLOOKUP(A745,Rankings!C:E,3,FALSE)</f>
        <v>m</v>
      </c>
    </row>
    <row r="746" spans="1:2" x14ac:dyDescent="0.2">
      <c r="A746" s="356" t="str">
        <f>INDEX(Rankings!C$2:'Rankings'!C$1000,MATCH(SMALL(Rankings!I$2:'Rankings'!I$1000,ROW()),Rankings!I$2:'Rankings'!I$1000,0))</f>
        <v>Paul Smith</v>
      </c>
      <c r="B746" s="340" t="str">
        <f>VLOOKUP(A746,Rankings!C:E,3,FALSE)</f>
        <v>m</v>
      </c>
    </row>
    <row r="747" spans="1:2" x14ac:dyDescent="0.2">
      <c r="A747" s="356" t="str">
        <f>INDEX(Rankings!C$2:'Rankings'!C$1000,MATCH(SMALL(Rankings!I$2:'Rankings'!I$1000,ROW()),Rankings!I$2:'Rankings'!I$1000,0))</f>
        <v>Paul Thompson</v>
      </c>
      <c r="B747" s="340" t="str">
        <f>VLOOKUP(A747,Rankings!C:E,3,FALSE)</f>
        <v>m</v>
      </c>
    </row>
    <row r="748" spans="1:2" x14ac:dyDescent="0.2">
      <c r="A748" s="356" t="str">
        <f>INDEX(Rankings!C$2:'Rankings'!C$1000,MATCH(SMALL(Rankings!I$2:'Rankings'!I$1000,ROW()),Rankings!I$2:'Rankings'!I$1000,0))</f>
        <v>Paula Willin</v>
      </c>
      <c r="B748" s="340" t="str">
        <f>VLOOKUP(A748,Rankings!C:E,3,FALSE)</f>
        <v>f</v>
      </c>
    </row>
    <row r="749" spans="1:2" x14ac:dyDescent="0.2">
      <c r="A749" s="356" t="str">
        <f>INDEX(Rankings!C$2:'Rankings'!C$1000,MATCH(SMALL(Rankings!I$2:'Rankings'!I$1000,ROW()),Rankings!I$2:'Rankings'!I$1000,0))</f>
        <v>Pavel Baranyk</v>
      </c>
      <c r="B749" s="340" t="str">
        <f>VLOOKUP(A749,Rankings!C:E,3,FALSE)</f>
        <v>m</v>
      </c>
    </row>
    <row r="750" spans="1:2" x14ac:dyDescent="0.2">
      <c r="A750" s="356" t="str">
        <f>INDEX(Rankings!C$2:'Rankings'!C$1000,MATCH(SMALL(Rankings!I$2:'Rankings'!I$1000,ROW()),Rankings!I$2:'Rankings'!I$1000,0))</f>
        <v>Pavel Hanka</v>
      </c>
      <c r="B750" s="340" t="str">
        <f>VLOOKUP(A750,Rankings!C:E,3,FALSE)</f>
        <v>m</v>
      </c>
    </row>
    <row r="751" spans="1:2" x14ac:dyDescent="0.2">
      <c r="A751" s="356" t="str">
        <f>INDEX(Rankings!C$2:'Rankings'!C$1000,MATCH(SMALL(Rankings!I$2:'Rankings'!I$1000,ROW()),Rankings!I$2:'Rankings'!I$1000,0))</f>
        <v>Pavel Safar</v>
      </c>
      <c r="B751" s="340" t="str">
        <f>VLOOKUP(A751,Rankings!C:E,3,FALSE)</f>
        <v>m</v>
      </c>
    </row>
    <row r="752" spans="1:2" x14ac:dyDescent="0.2">
      <c r="A752" s="356" t="str">
        <f>INDEX(Rankings!C$2:'Rankings'!C$1000,MATCH(SMALL(Rankings!I$2:'Rankings'!I$1000,ROW()),Rankings!I$2:'Rankings'!I$1000,0))</f>
        <v>Pepyn Tavernier</v>
      </c>
      <c r="B752" s="340" t="str">
        <f>VLOOKUP(A752,Rankings!C:E,3,FALSE)</f>
        <v>m</v>
      </c>
    </row>
    <row r="753" spans="1:2" x14ac:dyDescent="0.2">
      <c r="A753" s="356" t="str">
        <f>INDEX(Rankings!C$2:'Rankings'!C$1000,MATCH(SMALL(Rankings!I$2:'Rankings'!I$1000,ROW()),Rankings!I$2:'Rankings'!I$1000,0))</f>
        <v>Per Persson</v>
      </c>
      <c r="B753" s="340" t="str">
        <f>VLOOKUP(A753,Rankings!C:E,3,FALSE)</f>
        <v>m</v>
      </c>
    </row>
    <row r="754" spans="1:2" x14ac:dyDescent="0.2">
      <c r="A754" s="356" t="str">
        <f>INDEX(Rankings!C$2:'Rankings'!C$1000,MATCH(SMALL(Rankings!I$2:'Rankings'!I$1000,ROW()),Rankings!I$2:'Rankings'!I$1000,0))</f>
        <v>Pete Sontag</v>
      </c>
      <c r="B754" s="340" t="str">
        <f>VLOOKUP(A754,Rankings!C:E,3,FALSE)</f>
        <v>m</v>
      </c>
    </row>
    <row r="755" spans="1:2" x14ac:dyDescent="0.2">
      <c r="A755" s="356" t="str">
        <f>INDEX(Rankings!C$2:'Rankings'!C$1000,MATCH(SMALL(Rankings!I$2:'Rankings'!I$1000,ROW()),Rankings!I$2:'Rankings'!I$1000,0))</f>
        <v>Peter Henriksson</v>
      </c>
      <c r="B755" s="340" t="str">
        <f>VLOOKUP(A755,Rankings!C:E,3,FALSE)</f>
        <v>m</v>
      </c>
    </row>
    <row r="756" spans="1:2" x14ac:dyDescent="0.2">
      <c r="A756" s="356" t="str">
        <f>INDEX(Rankings!C$2:'Rankings'!C$1000,MATCH(SMALL(Rankings!I$2:'Rankings'!I$1000,ROW()),Rankings!I$2:'Rankings'!I$1000,0))</f>
        <v>Peter Honzik</v>
      </c>
      <c r="B756" s="340" t="str">
        <f>VLOOKUP(A756,Rankings!C:E,3,FALSE)</f>
        <v>m</v>
      </c>
    </row>
    <row r="757" spans="1:2" x14ac:dyDescent="0.2">
      <c r="A757" s="356" t="str">
        <f>INDEX(Rankings!C$2:'Rankings'!C$1000,MATCH(SMALL(Rankings!I$2:'Rankings'!I$1000,ROW()),Rankings!I$2:'Rankings'!I$1000,0))</f>
        <v>Peter Karlsson</v>
      </c>
      <c r="B757" s="340" t="str">
        <f>VLOOKUP(A757,Rankings!C:E,3,FALSE)</f>
        <v>m</v>
      </c>
    </row>
    <row r="758" spans="1:2" x14ac:dyDescent="0.2">
      <c r="A758" s="356" t="str">
        <f>INDEX(Rankings!C$2:'Rankings'!C$1000,MATCH(SMALL(Rankings!I$2:'Rankings'!I$1000,ROW()),Rankings!I$2:'Rankings'!I$1000,0))</f>
        <v>Peter Laubert</v>
      </c>
      <c r="B758" s="340" t="str">
        <f>VLOOKUP(A758,Rankings!C:E,3,FALSE)</f>
        <v>m</v>
      </c>
    </row>
    <row r="759" spans="1:2" x14ac:dyDescent="0.2">
      <c r="A759" s="356" t="str">
        <f>INDEX(Rankings!C$2:'Rankings'!C$1000,MATCH(SMALL(Rankings!I$2:'Rankings'!I$1000,ROW()),Rankings!I$2:'Rankings'!I$1000,0))</f>
        <v>Peter Rujan</v>
      </c>
      <c r="B759" s="340" t="str">
        <f>VLOOKUP(A759,Rankings!C:E,3,FALSE)</f>
        <v>m</v>
      </c>
    </row>
    <row r="760" spans="1:2" x14ac:dyDescent="0.2">
      <c r="A760" s="356" t="str">
        <f>INDEX(Rankings!C$2:'Rankings'!C$1000,MATCH(SMALL(Rankings!I$2:'Rankings'!I$1000,ROW()),Rankings!I$2:'Rankings'!I$1000,0))</f>
        <v>Peter Ryan</v>
      </c>
      <c r="B760" s="340" t="str">
        <f>VLOOKUP(A760,Rankings!C:E,3,FALSE)</f>
        <v>m</v>
      </c>
    </row>
    <row r="761" spans="1:2" x14ac:dyDescent="0.2">
      <c r="A761" s="356" t="str">
        <f>INDEX(Rankings!C$2:'Rankings'!C$1000,MATCH(SMALL(Rankings!I$2:'Rankings'!I$1000,ROW()),Rankings!I$2:'Rankings'!I$1000,0))</f>
        <v>Peter Van Gool</v>
      </c>
      <c r="B761" s="340" t="str">
        <f>VLOOKUP(A761,Rankings!C:E,3,FALSE)</f>
        <v>m</v>
      </c>
    </row>
    <row r="762" spans="1:2" x14ac:dyDescent="0.2">
      <c r="A762" s="356" t="str">
        <f>INDEX(Rankings!C$2:'Rankings'!C$1000,MATCH(SMALL(Rankings!I$2:'Rankings'!I$1000,ROW()),Rankings!I$2:'Rankings'!I$1000,0))</f>
        <v>Petri Isola</v>
      </c>
      <c r="B762" s="340" t="str">
        <f>VLOOKUP(A762,Rankings!C:E,3,FALSE)</f>
        <v>m</v>
      </c>
    </row>
    <row r="763" spans="1:2" x14ac:dyDescent="0.2">
      <c r="A763" s="356" t="str">
        <f>INDEX(Rankings!C$2:'Rankings'!C$1000,MATCH(SMALL(Rankings!I$2:'Rankings'!I$1000,ROW()),Rankings!I$2:'Rankings'!I$1000,0))</f>
        <v>Phil Cappa</v>
      </c>
      <c r="B763" s="340" t="str">
        <f>VLOOKUP(A763,Rankings!C:E,3,FALSE)</f>
        <v>m</v>
      </c>
    </row>
    <row r="764" spans="1:2" x14ac:dyDescent="0.2">
      <c r="A764" s="356" t="str">
        <f>INDEX(Rankings!C$2:'Rankings'!C$1000,MATCH(SMALL(Rankings!I$2:'Rankings'!I$1000,ROW()),Rankings!I$2:'Rankings'!I$1000,0))</f>
        <v>Philipp Kleis</v>
      </c>
      <c r="B764" s="340" t="str">
        <f>VLOOKUP(A764,Rankings!C:E,3,FALSE)</f>
        <v>m</v>
      </c>
    </row>
    <row r="765" spans="1:2" x14ac:dyDescent="0.2">
      <c r="A765" s="356" t="str">
        <f>INDEX(Rankings!C$2:'Rankings'!C$1000,MATCH(SMALL(Rankings!I$2:'Rankings'!I$1000,ROW()),Rankings!I$2:'Rankings'!I$1000,0))</f>
        <v>Philipp Krüger</v>
      </c>
      <c r="B765" s="340" t="str">
        <f>VLOOKUP(A765,Rankings!C:E,3,FALSE)</f>
        <v>m</v>
      </c>
    </row>
    <row r="766" spans="1:2" x14ac:dyDescent="0.2">
      <c r="A766" s="356" t="str">
        <f>INDEX(Rankings!C$2:'Rankings'!C$1000,MATCH(SMALL(Rankings!I$2:'Rankings'!I$1000,ROW()),Rankings!I$2:'Rankings'!I$1000,0))</f>
        <v>Philipp Ludwig</v>
      </c>
      <c r="B766" s="340" t="str">
        <f>VLOOKUP(A766,Rankings!C:E,3,FALSE)</f>
        <v>m</v>
      </c>
    </row>
    <row r="767" spans="1:2" x14ac:dyDescent="0.2">
      <c r="A767" s="356" t="str">
        <f>INDEX(Rankings!C$2:'Rankings'!C$1000,MATCH(SMALL(Rankings!I$2:'Rankings'!I$1000,ROW()),Rankings!I$2:'Rankings'!I$1000,0))</f>
        <v>Philipp Luniak</v>
      </c>
      <c r="B767" s="340" t="str">
        <f>VLOOKUP(A767,Rankings!C:E,3,FALSE)</f>
        <v>m</v>
      </c>
    </row>
    <row r="768" spans="1:2" x14ac:dyDescent="0.2">
      <c r="A768" s="356" t="str">
        <f>INDEX(Rankings!C$2:'Rankings'!C$1000,MATCH(SMALL(Rankings!I$2:'Rankings'!I$1000,ROW()),Rankings!I$2:'Rankings'!I$1000,0))</f>
        <v>Philipp Maubach</v>
      </c>
      <c r="B768" s="340" t="str">
        <f>VLOOKUP(A768,Rankings!C:E,3,FALSE)</f>
        <v>m</v>
      </c>
    </row>
    <row r="769" spans="1:2" x14ac:dyDescent="0.2">
      <c r="A769" s="356" t="str">
        <f>INDEX(Rankings!C$2:'Rankings'!C$1000,MATCH(SMALL(Rankings!I$2:'Rankings'!I$1000,ROW()),Rankings!I$2:'Rankings'!I$1000,0))</f>
        <v>Philipp Schellworth</v>
      </c>
      <c r="B769" s="340" t="str">
        <f>VLOOKUP(A769,Rankings!C:E,3,FALSE)</f>
        <v>m</v>
      </c>
    </row>
    <row r="770" spans="1:2" x14ac:dyDescent="0.2">
      <c r="A770" s="356" t="str">
        <f>INDEX(Rankings!C$2:'Rankings'!C$1000,MATCH(SMALL(Rankings!I$2:'Rankings'!I$1000,ROW()),Rankings!I$2:'Rankings'!I$1000,0))</f>
        <v>Philipp Stahl</v>
      </c>
      <c r="B770" s="340" t="str">
        <f>VLOOKUP(A770,Rankings!C:E,3,FALSE)</f>
        <v>m</v>
      </c>
    </row>
    <row r="771" spans="1:2" x14ac:dyDescent="0.2">
      <c r="A771" s="356" t="str">
        <f>INDEX(Rankings!C$2:'Rankings'!C$1000,MATCH(SMALL(Rankings!I$2:'Rankings'!I$1000,ROW()),Rankings!I$2:'Rankings'!I$1000,0))</f>
        <v>Phillip Jahnke</v>
      </c>
      <c r="B771" s="340" t="str">
        <f>VLOOKUP(A771,Rankings!C:E,3,FALSE)</f>
        <v>m</v>
      </c>
    </row>
    <row r="772" spans="1:2" x14ac:dyDescent="0.2">
      <c r="A772" s="356" t="str">
        <f>INDEX(Rankings!C$2:'Rankings'!C$1000,MATCH(SMALL(Rankings!I$2:'Rankings'!I$1000,ROW()),Rankings!I$2:'Rankings'!I$1000,0))</f>
        <v>Phoebe Lett</v>
      </c>
      <c r="B772" s="340" t="str">
        <f>VLOOKUP(A772,Rankings!C:E,3,FALSE)</f>
        <v>f</v>
      </c>
    </row>
    <row r="773" spans="1:2" x14ac:dyDescent="0.2">
      <c r="A773" s="356" t="str">
        <f>INDEX(Rankings!C$2:'Rankings'!C$1000,MATCH(SMALL(Rankings!I$2:'Rankings'!I$1000,ROW()),Rankings!I$2:'Rankings'!I$1000,0))</f>
        <v>Piotr Rasajewski</v>
      </c>
      <c r="B773" s="340" t="str">
        <f>VLOOKUP(A773,Rankings!C:E,3,FALSE)</f>
        <v>m</v>
      </c>
    </row>
    <row r="774" spans="1:2" x14ac:dyDescent="0.2">
      <c r="A774" s="356" t="str">
        <f>INDEX(Rankings!C$2:'Rankings'!C$1000,MATCH(SMALL(Rankings!I$2:'Rankings'!I$1000,ROW()),Rankings!I$2:'Rankings'!I$1000,0))</f>
        <v>Pipo Lopez</v>
      </c>
      <c r="B774" s="340" t="str">
        <f>VLOOKUP(A774,Rankings!C:E,3,FALSE)</f>
        <v>m</v>
      </c>
    </row>
    <row r="775" spans="1:2" x14ac:dyDescent="0.2">
      <c r="A775" s="356" t="str">
        <f>INDEX(Rankings!C$2:'Rankings'!C$1000,MATCH(SMALL(Rankings!I$2:'Rankings'!I$1000,ROW()),Rankings!I$2:'Rankings'!I$1000,0))</f>
        <v>Rabah Sbitani</v>
      </c>
      <c r="B775" s="340" t="str">
        <f>VLOOKUP(A775,Rankings!C:E,3,FALSE)</f>
        <v>m</v>
      </c>
    </row>
    <row r="776" spans="1:2" x14ac:dyDescent="0.2">
      <c r="A776" s="356" t="str">
        <f>INDEX(Rankings!C$2:'Rankings'!C$1000,MATCH(SMALL(Rankings!I$2:'Rankings'!I$1000,ROW()),Rankings!I$2:'Rankings'!I$1000,0))</f>
        <v>Radek Lenczewski</v>
      </c>
      <c r="B776" s="340" t="str">
        <f>VLOOKUP(A776,Rankings!C:E,3,FALSE)</f>
        <v>m</v>
      </c>
    </row>
    <row r="777" spans="1:2" x14ac:dyDescent="0.2">
      <c r="A777" s="356" t="str">
        <f>INDEX(Rankings!C$2:'Rankings'!C$1000,MATCH(SMALL(Rankings!I$2:'Rankings'!I$1000,ROW()),Rankings!I$2:'Rankings'!I$1000,0))</f>
        <v>Rafael von der Grün</v>
      </c>
      <c r="B777" s="340" t="str">
        <f>VLOOKUP(A777,Rankings!C:E,3,FALSE)</f>
        <v>m</v>
      </c>
    </row>
    <row r="778" spans="1:2" x14ac:dyDescent="0.2">
      <c r="A778" s="356" t="str">
        <f>INDEX(Rankings!C$2:'Rankings'!C$1000,MATCH(SMALL(Rankings!I$2:'Rankings'!I$1000,ROW()),Rankings!I$2:'Rankings'!I$1000,0))</f>
        <v>Raffaele Pilla</v>
      </c>
      <c r="B778" s="340" t="str">
        <f>VLOOKUP(A778,Rankings!C:E,3,FALSE)</f>
        <v>m</v>
      </c>
    </row>
    <row r="779" spans="1:2" x14ac:dyDescent="0.2">
      <c r="A779" s="356" t="str">
        <f>INDEX(Rankings!C$2:'Rankings'!C$1000,MATCH(SMALL(Rankings!I$2:'Rankings'!I$1000,ROW()),Rankings!I$2:'Rankings'!I$1000,0))</f>
        <v>Rainer Doerr</v>
      </c>
      <c r="B779" s="340" t="str">
        <f>VLOOKUP(A779,Rankings!C:E,3,FALSE)</f>
        <v>m</v>
      </c>
    </row>
    <row r="780" spans="1:2" x14ac:dyDescent="0.2">
      <c r="A780" s="356" t="str">
        <f>INDEX(Rankings!C$2:'Rankings'!C$1000,MATCH(SMALL(Rankings!I$2:'Rankings'!I$1000,ROW()),Rankings!I$2:'Rankings'!I$1000,0))</f>
        <v>Raj Mistry</v>
      </c>
      <c r="B780" s="340" t="str">
        <f>VLOOKUP(A780,Rankings!C:E,3,FALSE)</f>
        <v>m</v>
      </c>
    </row>
    <row r="781" spans="1:2" x14ac:dyDescent="0.2">
      <c r="A781" s="356" t="str">
        <f>INDEX(Rankings!C$2:'Rankings'!C$1000,MATCH(SMALL(Rankings!I$2:'Rankings'!I$1000,ROW()),Rankings!I$2:'Rankings'!I$1000,0))</f>
        <v>Ramon Galliani</v>
      </c>
      <c r="B781" s="340" t="str">
        <f>VLOOKUP(A781,Rankings!C:E,3,FALSE)</f>
        <v>m</v>
      </c>
    </row>
    <row r="782" spans="1:2" x14ac:dyDescent="0.2">
      <c r="A782" s="356" t="str">
        <f>INDEX(Rankings!C$2:'Rankings'!C$1000,MATCH(SMALL(Rankings!I$2:'Rankings'!I$1000,ROW()),Rankings!I$2:'Rankings'!I$1000,0))</f>
        <v>Ran Klein</v>
      </c>
      <c r="B782" s="340" t="str">
        <f>VLOOKUP(A782,Rankings!C:E,3,FALSE)</f>
        <v>m</v>
      </c>
    </row>
    <row r="783" spans="1:2" x14ac:dyDescent="0.2">
      <c r="A783" s="356" t="str">
        <f>INDEX(Rankings!C$2:'Rankings'!C$1000,MATCH(SMALL(Rankings!I$2:'Rankings'!I$1000,ROW()),Rankings!I$2:'Rankings'!I$1000,0))</f>
        <v>Randy Aiu</v>
      </c>
      <c r="B783" s="340" t="str">
        <f>VLOOKUP(A783,Rankings!C:E,3,FALSE)</f>
        <v>m</v>
      </c>
    </row>
    <row r="784" spans="1:2" x14ac:dyDescent="0.2">
      <c r="A784" s="356" t="str">
        <f>INDEX(Rankings!C$2:'Rankings'!C$1000,MATCH(SMALL(Rankings!I$2:'Rankings'!I$1000,ROW()),Rankings!I$2:'Rankings'!I$1000,0))</f>
        <v>Randy Lahm</v>
      </c>
      <c r="B784" s="340" t="str">
        <f>VLOOKUP(A784,Rankings!C:E,3,FALSE)</f>
        <v>m</v>
      </c>
    </row>
    <row r="785" spans="1:2" x14ac:dyDescent="0.2">
      <c r="A785" s="356" t="str">
        <f>INDEX(Rankings!C$2:'Rankings'!C$1000,MATCH(SMALL(Rankings!I$2:'Rankings'!I$1000,ROW()),Rankings!I$2:'Rankings'!I$1000,0))</f>
        <v>Randy Lahm jr.</v>
      </c>
      <c r="B785" s="340" t="str">
        <f>VLOOKUP(A785,Rankings!C:E,3,FALSE)</f>
        <v>m</v>
      </c>
    </row>
    <row r="786" spans="1:2" x14ac:dyDescent="0.2">
      <c r="A786" s="356" t="str">
        <f>INDEX(Rankings!C$2:'Rankings'!C$1000,MATCH(SMALL(Rankings!I$2:'Rankings'!I$1000,ROW()),Rankings!I$2:'Rankings'!I$1000,0))</f>
        <v>Randy Silvey</v>
      </c>
      <c r="B786" s="340" t="str">
        <f>VLOOKUP(A786,Rankings!C:E,3,FALSE)</f>
        <v>m</v>
      </c>
    </row>
    <row r="787" spans="1:2" x14ac:dyDescent="0.2">
      <c r="A787" s="356" t="str">
        <f>INDEX(Rankings!C$2:'Rankings'!C$1000,MATCH(SMALL(Rankings!I$2:'Rankings'!I$1000,ROW()),Rankings!I$2:'Rankings'!I$1000,0))</f>
        <v>Raphael Legrand</v>
      </c>
      <c r="B787" s="340" t="str">
        <f>VLOOKUP(A787,Rankings!C:E,3,FALSE)</f>
        <v>m</v>
      </c>
    </row>
    <row r="788" spans="1:2" x14ac:dyDescent="0.2">
      <c r="A788" s="356" t="str">
        <f>INDEX(Rankings!C$2:'Rankings'!C$1000,MATCH(SMALL(Rankings!I$2:'Rankings'!I$1000,ROW()),Rankings!I$2:'Rankings'!I$1000,0))</f>
        <v>Raz Avrahami</v>
      </c>
      <c r="B788" s="340" t="str">
        <f>VLOOKUP(A788,Rankings!C:E,3,FALSE)</f>
        <v>m</v>
      </c>
    </row>
    <row r="789" spans="1:2" x14ac:dyDescent="0.2">
      <c r="A789" s="356" t="str">
        <f>INDEX(Rankings!C$2:'Rankings'!C$1000,MATCH(SMALL(Rankings!I$2:'Rankings'!I$1000,ROW()),Rankings!I$2:'Rankings'!I$1000,0))</f>
        <v>Regina Olnils</v>
      </c>
      <c r="B789" s="340" t="str">
        <f>VLOOKUP(A789,Rankings!C:E,3,FALSE)</f>
        <v>f</v>
      </c>
    </row>
    <row r="790" spans="1:2" x14ac:dyDescent="0.2">
      <c r="A790" s="356" t="str">
        <f>INDEX(Rankings!C$2:'Rankings'!C$1000,MATCH(SMALL(Rankings!I$2:'Rankings'!I$1000,ROW()),Rankings!I$2:'Rankings'!I$1000,0))</f>
        <v>Renae Donaldson</v>
      </c>
      <c r="B790" s="340" t="str">
        <f>VLOOKUP(A790,Rankings!C:E,3,FALSE)</f>
        <v>f</v>
      </c>
    </row>
    <row r="791" spans="1:2" x14ac:dyDescent="0.2">
      <c r="A791" s="356" t="str">
        <f>INDEX(Rankings!C$2:'Rankings'!C$1000,MATCH(SMALL(Rankings!I$2:'Rankings'!I$1000,ROW()),Rankings!I$2:'Rankings'!I$1000,0))</f>
        <v>Renee Pardo</v>
      </c>
      <c r="B791" s="340" t="str">
        <f>VLOOKUP(A791,Rankings!C:E,3,FALSE)</f>
        <v>f</v>
      </c>
    </row>
    <row r="792" spans="1:2" x14ac:dyDescent="0.2">
      <c r="A792" s="356" t="str">
        <f>INDEX(Rankings!C$2:'Rankings'!C$1000,MATCH(SMALL(Rankings!I$2:'Rankings'!I$1000,ROW()),Rankings!I$2:'Rankings'!I$1000,0))</f>
        <v>Ricardo Guzman</v>
      </c>
      <c r="B792" s="340" t="str">
        <f>VLOOKUP(A792,Rankings!C:E,3,FALSE)</f>
        <v>m</v>
      </c>
    </row>
    <row r="793" spans="1:2" x14ac:dyDescent="0.2">
      <c r="A793" s="356" t="str">
        <f>INDEX(Rankings!C$2:'Rankings'!C$1000,MATCH(SMALL(Rankings!I$2:'Rankings'!I$1000,ROW()),Rankings!I$2:'Rankings'!I$1000,0))</f>
        <v>Ricardo Macari</v>
      </c>
      <c r="B793" s="340" t="str">
        <f>VLOOKUP(A793,Rankings!C:E,3,FALSE)</f>
        <v>m</v>
      </c>
    </row>
    <row r="794" spans="1:2" x14ac:dyDescent="0.2">
      <c r="A794" s="356" t="str">
        <f>INDEX(Rankings!C$2:'Rankings'!C$1000,MATCH(SMALL(Rankings!I$2:'Rankings'!I$1000,ROW()),Rankings!I$2:'Rankings'!I$1000,0))</f>
        <v>Riccardo Anversa</v>
      </c>
      <c r="B794" s="340" t="str">
        <f>VLOOKUP(A794,Rankings!C:E,3,FALSE)</f>
        <v>m</v>
      </c>
    </row>
    <row r="795" spans="1:2" x14ac:dyDescent="0.2">
      <c r="A795" s="356" t="str">
        <f>INDEX(Rankings!C$2:'Rankings'!C$1000,MATCH(SMALL(Rankings!I$2:'Rankings'!I$1000,ROW()),Rankings!I$2:'Rankings'!I$1000,0))</f>
        <v>Riccardo Bovicelli</v>
      </c>
      <c r="B795" s="340" t="str">
        <f>VLOOKUP(A795,Rankings!C:E,3,FALSE)</f>
        <v>m</v>
      </c>
    </row>
    <row r="796" spans="1:2" x14ac:dyDescent="0.2">
      <c r="A796" s="356" t="str">
        <f>INDEX(Rankings!C$2:'Rankings'!C$1000,MATCH(SMALL(Rankings!I$2:'Rankings'!I$1000,ROW()),Rankings!I$2:'Rankings'!I$1000,0))</f>
        <v>Riccardo Morelli</v>
      </c>
      <c r="B796" s="340" t="str">
        <f>VLOOKUP(A796,Rankings!C:E,3,FALSE)</f>
        <v>m</v>
      </c>
    </row>
    <row r="797" spans="1:2" x14ac:dyDescent="0.2">
      <c r="A797" s="356" t="str">
        <f>INDEX(Rankings!C$2:'Rankings'!C$1000,MATCH(SMALL(Rankings!I$2:'Rankings'!I$1000,ROW()),Rankings!I$2:'Rankings'!I$1000,0))</f>
        <v>Riccardo Sanna</v>
      </c>
      <c r="B797" s="340" t="str">
        <f>VLOOKUP(A797,Rankings!C:E,3,FALSE)</f>
        <v>m</v>
      </c>
    </row>
    <row r="798" spans="1:2" x14ac:dyDescent="0.2">
      <c r="A798" s="356" t="str">
        <f>INDEX(Rankings!C$2:'Rankings'!C$1000,MATCH(SMALL(Rankings!I$2:'Rankings'!I$1000,ROW()),Rankings!I$2:'Rankings'!I$1000,0))</f>
        <v>Rick Lebeau</v>
      </c>
      <c r="B798" s="340" t="str">
        <f>VLOOKUP(A798,Rankings!C:E,3,FALSE)</f>
        <v>m</v>
      </c>
    </row>
    <row r="799" spans="1:2" x14ac:dyDescent="0.2">
      <c r="A799" s="356" t="str">
        <f>INDEX(Rankings!C$2:'Rankings'!C$1000,MATCH(SMALL(Rankings!I$2:'Rankings'!I$1000,ROW()),Rankings!I$2:'Rankings'!I$1000,0))</f>
        <v>Rick Moody</v>
      </c>
      <c r="B799" s="340" t="str">
        <f>VLOOKUP(A799,Rankings!C:E,3,FALSE)</f>
        <v>m</v>
      </c>
    </row>
    <row r="800" spans="1:2" x14ac:dyDescent="0.2">
      <c r="A800" s="356" t="str">
        <f>INDEX(Rankings!C$2:'Rankings'!C$1000,MATCH(SMALL(Rankings!I$2:'Rankings'!I$1000,ROW()),Rankings!I$2:'Rankings'!I$1000,0))</f>
        <v>Rick Sader</v>
      </c>
      <c r="B800" s="340" t="str">
        <f>VLOOKUP(A800,Rankings!C:E,3,FALSE)</f>
        <v>m</v>
      </c>
    </row>
    <row r="801" spans="1:2" x14ac:dyDescent="0.2">
      <c r="A801" s="356" t="str">
        <f>INDEX(Rankings!C$2:'Rankings'!C$1000,MATCH(SMALL(Rankings!I$2:'Rankings'!I$1000,ROW()),Rankings!I$2:'Rankings'!I$1000,0))</f>
        <v>Rick Williams</v>
      </c>
      <c r="B801" s="340" t="str">
        <f>VLOOKUP(A801,Rankings!C:E,3,FALSE)</f>
        <v>m</v>
      </c>
    </row>
    <row r="802" spans="1:2" x14ac:dyDescent="0.2">
      <c r="A802" s="356" t="str">
        <f>INDEX(Rankings!C$2:'Rankings'!C$1000,MATCH(SMALL(Rankings!I$2:'Rankings'!I$1000,ROW()),Rankings!I$2:'Rankings'!I$1000,0))</f>
        <v>Rico Schneider</v>
      </c>
      <c r="B802" s="340" t="str">
        <f>VLOOKUP(A802,Rankings!C:E,3,FALSE)</f>
        <v>m</v>
      </c>
    </row>
    <row r="803" spans="1:2" x14ac:dyDescent="0.2">
      <c r="A803" s="356" t="str">
        <f>INDEX(Rankings!C$2:'Rankings'!C$1000,MATCH(SMALL(Rankings!I$2:'Rankings'!I$1000,ROW()),Rankings!I$2:'Rankings'!I$1000,0))</f>
        <v>Rik Downs</v>
      </c>
      <c r="B803" s="340" t="str">
        <f>VLOOKUP(A803,Rankings!C:E,3,FALSE)</f>
        <v>m</v>
      </c>
    </row>
    <row r="804" spans="1:2" x14ac:dyDescent="0.2">
      <c r="A804" s="356" t="str">
        <f>INDEX(Rankings!C$2:'Rankings'!C$1000,MATCH(SMALL(Rankings!I$2:'Rankings'!I$1000,ROW()),Rankings!I$2:'Rankings'!I$1000,0))</f>
        <v>Riley O'Neill</v>
      </c>
      <c r="B804" s="340" t="str">
        <f>VLOOKUP(A804,Rankings!C:E,3,FALSE)</f>
        <v>m</v>
      </c>
    </row>
    <row r="805" spans="1:2" x14ac:dyDescent="0.2">
      <c r="A805" s="356" t="str">
        <f>INDEX(Rankings!C$2:'Rankings'!C$1000,MATCH(SMALL(Rankings!I$2:'Rankings'!I$1000,ROW()),Rankings!I$2:'Rankings'!I$1000,0))</f>
        <v>Rob Bochenek</v>
      </c>
      <c r="B805" s="340" t="str">
        <f>VLOOKUP(A805,Rankings!C:E,3,FALSE)</f>
        <v>m</v>
      </c>
    </row>
    <row r="806" spans="1:2" x14ac:dyDescent="0.2">
      <c r="A806" s="356" t="str">
        <f>INDEX(Rankings!C$2:'Rankings'!C$1000,MATCH(SMALL(Rankings!I$2:'Rankings'!I$1000,ROW()),Rankings!I$2:'Rankings'!I$1000,0))</f>
        <v>Rob Fried</v>
      </c>
      <c r="B806" s="340" t="str">
        <f>VLOOKUP(A806,Rankings!C:E,3,FALSE)</f>
        <v>m</v>
      </c>
    </row>
    <row r="807" spans="1:2" x14ac:dyDescent="0.2">
      <c r="A807" s="356" t="str">
        <f>INDEX(Rankings!C$2:'Rankings'!C$1000,MATCH(SMALL(Rankings!I$2:'Rankings'!I$1000,ROW()),Rankings!I$2:'Rankings'!I$1000,0))</f>
        <v>Rob Knapik</v>
      </c>
      <c r="B807" s="340" t="str">
        <f>VLOOKUP(A807,Rankings!C:E,3,FALSE)</f>
        <v>m</v>
      </c>
    </row>
    <row r="808" spans="1:2" x14ac:dyDescent="0.2">
      <c r="A808" s="356" t="str">
        <f>INDEX(Rankings!C$2:'Rankings'!C$1000,MATCH(SMALL(Rankings!I$2:'Rankings'!I$1000,ROW()),Rankings!I$2:'Rankings'!I$1000,0))</f>
        <v>Robbin Flößen</v>
      </c>
      <c r="B808" s="340" t="str">
        <f>VLOOKUP(A808,Rankings!C:E,3,FALSE)</f>
        <v>m</v>
      </c>
    </row>
    <row r="809" spans="1:2" x14ac:dyDescent="0.2">
      <c r="A809" s="356" t="str">
        <f>INDEX(Rankings!C$2:'Rankings'!C$1000,MATCH(SMALL(Rankings!I$2:'Rankings'!I$1000,ROW()),Rankings!I$2:'Rankings'!I$1000,0))</f>
        <v>Robert Bross</v>
      </c>
      <c r="B809" s="340" t="str">
        <f>VLOOKUP(A809,Rankings!C:E,3,FALSE)</f>
        <v>m</v>
      </c>
    </row>
    <row r="810" spans="1:2" x14ac:dyDescent="0.2">
      <c r="A810" s="356" t="str">
        <f>INDEX(Rankings!C$2:'Rankings'!C$1000,MATCH(SMALL(Rankings!I$2:'Rankings'!I$1000,ROW()),Rankings!I$2:'Rankings'!I$1000,0))</f>
        <v>Robert Dittrich</v>
      </c>
      <c r="B810" s="340" t="str">
        <f>VLOOKUP(A810,Rankings!C:E,3,FALSE)</f>
        <v>m</v>
      </c>
    </row>
    <row r="811" spans="1:2" x14ac:dyDescent="0.2">
      <c r="A811" s="356" t="str">
        <f>INDEX(Rankings!C$2:'Rankings'!C$1000,MATCH(SMALL(Rankings!I$2:'Rankings'!I$1000,ROW()),Rankings!I$2:'Rankings'!I$1000,0))</f>
        <v>Robert McLeod</v>
      </c>
      <c r="B811" s="340" t="str">
        <f>VLOOKUP(A811,Rankings!C:E,3,FALSE)</f>
        <v>m</v>
      </c>
    </row>
    <row r="812" spans="1:2" x14ac:dyDescent="0.2">
      <c r="A812" s="356" t="str">
        <f>INDEX(Rankings!C$2:'Rankings'!C$1000,MATCH(SMALL(Rankings!I$2:'Rankings'!I$1000,ROW()),Rankings!I$2:'Rankings'!I$1000,0))</f>
        <v>Roberto Borghesi</v>
      </c>
      <c r="B812" s="340" t="str">
        <f>VLOOKUP(A812,Rankings!C:E,3,FALSE)</f>
        <v>m</v>
      </c>
    </row>
    <row r="813" spans="1:2" x14ac:dyDescent="0.2">
      <c r="A813" s="356" t="str">
        <f>INDEX(Rankings!C$2:'Rankings'!C$1000,MATCH(SMALL(Rankings!I$2:'Rankings'!I$1000,ROW()),Rankings!I$2:'Rankings'!I$1000,0))</f>
        <v>Roberto Pizzi</v>
      </c>
      <c r="B813" s="340" t="str">
        <f>VLOOKUP(A813,Rankings!C:E,3,FALSE)</f>
        <v>m</v>
      </c>
    </row>
    <row r="814" spans="1:2" x14ac:dyDescent="0.2">
      <c r="A814" s="356" t="str">
        <f>INDEX(Rankings!C$2:'Rankings'!C$1000,MATCH(SMALL(Rankings!I$2:'Rankings'!I$1000,ROW()),Rankings!I$2:'Rankings'!I$1000,0))</f>
        <v>Roberto Suffanti</v>
      </c>
      <c r="B814" s="340" t="str">
        <f>VLOOKUP(A814,Rankings!C:E,3,FALSE)</f>
        <v>m</v>
      </c>
    </row>
    <row r="815" spans="1:2" x14ac:dyDescent="0.2">
      <c r="A815" s="356" t="str">
        <f>INDEX(Rankings!C$2:'Rankings'!C$1000,MATCH(SMALL(Rankings!I$2:'Rankings'!I$1000,ROW()),Rankings!I$2:'Rankings'!I$1000,0))</f>
        <v>Rodney Sanchez</v>
      </c>
      <c r="B815" s="340" t="str">
        <f>VLOOKUP(A815,Rankings!C:E,3,FALSE)</f>
        <v>m</v>
      </c>
    </row>
    <row r="816" spans="1:2" x14ac:dyDescent="0.2">
      <c r="A816" s="356" t="str">
        <f>INDEX(Rankings!C$2:'Rankings'!C$1000,MATCH(SMALL(Rankings!I$2:'Rankings'!I$1000,ROW()),Rankings!I$2:'Rankings'!I$1000,0))</f>
        <v>Roger Cole</v>
      </c>
      <c r="B816" s="340" t="str">
        <f>VLOOKUP(A816,Rankings!C:E,3,FALSE)</f>
        <v>m</v>
      </c>
    </row>
    <row r="817" spans="1:2" x14ac:dyDescent="0.2">
      <c r="A817" s="356" t="str">
        <f>INDEX(Rankings!C$2:'Rankings'!C$1000,MATCH(SMALL(Rankings!I$2:'Rankings'!I$1000,ROW()),Rankings!I$2:'Rankings'!I$1000,0))</f>
        <v>Roger Meier</v>
      </c>
      <c r="B817" s="340" t="str">
        <f>VLOOKUP(A817,Rankings!C:E,3,FALSE)</f>
        <v>m</v>
      </c>
    </row>
    <row r="818" spans="1:2" x14ac:dyDescent="0.2">
      <c r="A818" s="356" t="str">
        <f>INDEX(Rankings!C$2:'Rankings'!C$1000,MATCH(SMALL(Rankings!I$2:'Rankings'!I$1000,ROW()),Rankings!I$2:'Rankings'!I$1000,0))</f>
        <v>Rohre Titcomb</v>
      </c>
      <c r="B818" s="340" t="str">
        <f>VLOOKUP(A818,Rankings!C:E,3,FALSE)</f>
        <v>f</v>
      </c>
    </row>
    <row r="819" spans="1:2" x14ac:dyDescent="0.2">
      <c r="A819" s="356" t="str">
        <f>INDEX(Rankings!C$2:'Rankings'!C$1000,MATCH(SMALL(Rankings!I$2:'Rankings'!I$1000,ROW()),Rankings!I$2:'Rankings'!I$1000,0))</f>
        <v>Roland Karlsson</v>
      </c>
      <c r="B819" s="340" t="str">
        <f>VLOOKUP(A819,Rankings!C:E,3,FALSE)</f>
        <v>m</v>
      </c>
    </row>
    <row r="820" spans="1:2" x14ac:dyDescent="0.2">
      <c r="A820" s="356" t="str">
        <f>INDEX(Rankings!C$2:'Rankings'!C$1000,MATCH(SMALL(Rankings!I$2:'Rankings'!I$1000,ROW()),Rankings!I$2:'Rankings'!I$1000,0))</f>
        <v>Roman Dubovsky</v>
      </c>
      <c r="B820" s="340" t="str">
        <f>VLOOKUP(A820,Rankings!C:E,3,FALSE)</f>
        <v>m</v>
      </c>
    </row>
    <row r="821" spans="1:2" x14ac:dyDescent="0.2">
      <c r="A821" s="356" t="str">
        <f>INDEX(Rankings!C$2:'Rankings'!C$1000,MATCH(SMALL(Rankings!I$2:'Rankings'!I$1000,ROW()),Rankings!I$2:'Rankings'!I$1000,0))</f>
        <v>Romeo Antonino</v>
      </c>
      <c r="B821" s="340" t="str">
        <f>VLOOKUP(A821,Rankings!C:E,3,FALSE)</f>
        <v>m</v>
      </c>
    </row>
    <row r="822" spans="1:2" x14ac:dyDescent="0.2">
      <c r="A822" s="356" t="str">
        <f>INDEX(Rankings!C$2:'Rankings'!C$1000,MATCH(SMALL(Rankings!I$2:'Rankings'!I$1000,ROW()),Rankings!I$2:'Rankings'!I$1000,0))</f>
        <v>Ron Huberman</v>
      </c>
      <c r="B822" s="340" t="str">
        <f>VLOOKUP(A822,Rankings!C:E,3,FALSE)</f>
        <v>m</v>
      </c>
    </row>
    <row r="823" spans="1:2" x14ac:dyDescent="0.2">
      <c r="A823" s="356" t="str">
        <f>INDEX(Rankings!C$2:'Rankings'!C$1000,MATCH(SMALL(Rankings!I$2:'Rankings'!I$1000,ROW()),Rankings!I$2:'Rankings'!I$1000,0))</f>
        <v>Ron Vingerelli</v>
      </c>
      <c r="B823" s="340" t="str">
        <f>VLOOKUP(A823,Rankings!C:E,3,FALSE)</f>
        <v>m</v>
      </c>
    </row>
    <row r="824" spans="1:2" x14ac:dyDescent="0.2">
      <c r="A824" s="356" t="str">
        <f>INDEX(Rankings!C$2:'Rankings'!C$1000,MATCH(SMALL(Rankings!I$2:'Rankings'!I$1000,ROW()),Rankings!I$2:'Rankings'!I$1000,0))</f>
        <v>Ronnie Turner</v>
      </c>
      <c r="B824" s="340" t="str">
        <f>VLOOKUP(A824,Rankings!C:E,3,FALSE)</f>
        <v>m</v>
      </c>
    </row>
    <row r="825" spans="1:2" x14ac:dyDescent="0.2">
      <c r="A825" s="356" t="str">
        <f>INDEX(Rankings!C$2:'Rankings'!C$1000,MATCH(SMALL(Rankings!I$2:'Rankings'!I$1000,ROW()),Rankings!I$2:'Rankings'!I$1000,0))</f>
        <v>Ronny Koch</v>
      </c>
      <c r="B825" s="340" t="str">
        <f>VLOOKUP(A825,Rankings!C:E,3,FALSE)</f>
        <v>m</v>
      </c>
    </row>
    <row r="826" spans="1:2" x14ac:dyDescent="0.2">
      <c r="A826" s="356" t="str">
        <f>INDEX(Rankings!C$2:'Rankings'!C$1000,MATCH(SMALL(Rankings!I$2:'Rankings'!I$1000,ROW()),Rankings!I$2:'Rankings'!I$1000,0))</f>
        <v>Rui Pires</v>
      </c>
      <c r="B826" s="340" t="str">
        <f>VLOOKUP(A826,Rankings!C:E,3,FALSE)</f>
        <v>m</v>
      </c>
    </row>
    <row r="827" spans="1:2" x14ac:dyDescent="0.2">
      <c r="A827" s="356" t="str">
        <f>INDEX(Rankings!C$2:'Rankings'!C$1000,MATCH(SMALL(Rankings!I$2:'Rankings'!I$1000,ROW()),Rankings!I$2:'Rankings'!I$1000,0))</f>
        <v>Russell Moore</v>
      </c>
      <c r="B827" s="340" t="str">
        <f>VLOOKUP(A827,Rankings!C:E,3,FALSE)</f>
        <v>m</v>
      </c>
    </row>
    <row r="828" spans="1:2" x14ac:dyDescent="0.2">
      <c r="A828" s="356" t="str">
        <f>INDEX(Rankings!C$2:'Rankings'!C$1000,MATCH(SMALL(Rankings!I$2:'Rankings'!I$1000,ROW()),Rankings!I$2:'Rankings'!I$1000,0))</f>
        <v>Ryan Hornickel</v>
      </c>
      <c r="B828" s="340" t="str">
        <f>VLOOKUP(A828,Rankings!C:E,3,FALSE)</f>
        <v>m</v>
      </c>
    </row>
    <row r="829" spans="1:2" x14ac:dyDescent="0.2">
      <c r="A829" s="356" t="str">
        <f>INDEX(Rankings!C$2:'Rankings'!C$1000,MATCH(SMALL(Rankings!I$2:'Rankings'!I$1000,ROW()),Rankings!I$2:'Rankings'!I$1000,0))</f>
        <v>Ryan Peterson</v>
      </c>
      <c r="B829" s="340" t="str">
        <f>VLOOKUP(A829,Rankings!C:E,3,FALSE)</f>
        <v>m</v>
      </c>
    </row>
    <row r="830" spans="1:2" x14ac:dyDescent="0.2">
      <c r="A830" s="356" t="str">
        <f>INDEX(Rankings!C$2:'Rankings'!C$1000,MATCH(SMALL(Rankings!I$2:'Rankings'!I$1000,ROW()),Rankings!I$2:'Rankings'!I$1000,0))</f>
        <v>Ryan Taygan</v>
      </c>
      <c r="B830" s="340" t="str">
        <f>VLOOKUP(A830,Rankings!C:E,3,FALSE)</f>
        <v>m</v>
      </c>
    </row>
    <row r="831" spans="1:2" x14ac:dyDescent="0.2">
      <c r="A831" s="356" t="str">
        <f>INDEX(Rankings!C$2:'Rankings'!C$1000,MATCH(SMALL(Rankings!I$2:'Rankings'!I$1000,ROW()),Rankings!I$2:'Rankings'!I$1000,0))</f>
        <v>Ryan Vinoski</v>
      </c>
      <c r="B831" s="340" t="str">
        <f>VLOOKUP(A831,Rankings!C:E,3,FALSE)</f>
        <v>m</v>
      </c>
    </row>
    <row r="832" spans="1:2" x14ac:dyDescent="0.2">
      <c r="A832" s="356" t="str">
        <f>INDEX(Rankings!C$2:'Rankings'!C$1000,MATCH(SMALL(Rankings!I$2:'Rankings'!I$1000,ROW()),Rankings!I$2:'Rankings'!I$1000,0))</f>
        <v>Ryan Young</v>
      </c>
      <c r="B832" s="340" t="str">
        <f>VLOOKUP(A832,Rankings!C:E,3,FALSE)</f>
        <v>m</v>
      </c>
    </row>
    <row r="833" spans="1:2" x14ac:dyDescent="0.2">
      <c r="A833" s="356" t="str">
        <f>INDEX(Rankings!C$2:'Rankings'!C$1000,MATCH(SMALL(Rankings!I$2:'Rankings'!I$1000,ROW()),Rankings!I$2:'Rankings'!I$1000,0))</f>
        <v>Ryuichi Suzuki</v>
      </c>
      <c r="B833" s="340" t="str">
        <f>VLOOKUP(A833,Rankings!C:E,3,FALSE)</f>
        <v>m</v>
      </c>
    </row>
    <row r="834" spans="1:2" x14ac:dyDescent="0.2">
      <c r="A834" s="356" t="str">
        <f>INDEX(Rankings!C$2:'Rankings'!C$1000,MATCH(SMALL(Rankings!I$2:'Rankings'!I$1000,ROW()),Rankings!I$2:'Rankings'!I$1000,0))</f>
        <v>Sabine Brehmer</v>
      </c>
      <c r="B834" s="340" t="str">
        <f>VLOOKUP(A834,Rankings!C:E,3,FALSE)</f>
        <v>f</v>
      </c>
    </row>
    <row r="835" spans="1:2" x14ac:dyDescent="0.2">
      <c r="A835" s="356" t="str">
        <f>INDEX(Rankings!C$2:'Rankings'!C$1000,MATCH(SMALL(Rankings!I$2:'Rankings'!I$1000,ROW()),Rankings!I$2:'Rankings'!I$1000,0))</f>
        <v>Sam Kaye</v>
      </c>
      <c r="B835" s="340" t="str">
        <f>VLOOKUP(A835,Rankings!C:E,3,FALSE)</f>
        <v>m</v>
      </c>
    </row>
    <row r="836" spans="1:2" x14ac:dyDescent="0.2">
      <c r="A836" s="356" t="str">
        <f>INDEX(Rankings!C$2:'Rankings'!C$1000,MATCH(SMALL(Rankings!I$2:'Rankings'!I$1000,ROW()),Rankings!I$2:'Rankings'!I$1000,0))</f>
        <v>Sammy Neilson</v>
      </c>
      <c r="B836" s="340" t="str">
        <f>VLOOKUP(A836,Rankings!C:E,3,FALSE)</f>
        <v>m</v>
      </c>
    </row>
    <row r="837" spans="1:2" x14ac:dyDescent="0.2">
      <c r="A837" s="356" t="str">
        <f>INDEX(Rankings!C$2:'Rankings'!C$1000,MATCH(SMALL(Rankings!I$2:'Rankings'!I$1000,ROW()),Rankings!I$2:'Rankings'!I$1000,0))</f>
        <v>Santiago Cano</v>
      </c>
      <c r="B837" s="340" t="str">
        <f>VLOOKUP(A837,Rankings!C:E,3,FALSE)</f>
        <v>m</v>
      </c>
    </row>
    <row r="838" spans="1:2" x14ac:dyDescent="0.2">
      <c r="A838" s="356" t="str">
        <f>INDEX(Rankings!C$2:'Rankings'!C$1000,MATCH(SMALL(Rankings!I$2:'Rankings'!I$1000,ROW()),Rankings!I$2:'Rankings'!I$1000,0))</f>
        <v>Santiago Sepulveda</v>
      </c>
      <c r="B838" s="340" t="str">
        <f>VLOOKUP(A838,Rankings!C:E,3,FALSE)</f>
        <v>m</v>
      </c>
    </row>
    <row r="839" spans="1:2" x14ac:dyDescent="0.2">
      <c r="A839" s="356" t="str">
        <f>INDEX(Rankings!C$2:'Rankings'!C$1000,MATCH(SMALL(Rankings!I$2:'Rankings'!I$1000,ROW()),Rankings!I$2:'Rankings'!I$1000,0))</f>
        <v>Sara Cintura</v>
      </c>
      <c r="B839" s="340" t="str">
        <f>VLOOKUP(A839,Rankings!C:E,3,FALSE)</f>
        <v>f</v>
      </c>
    </row>
    <row r="840" spans="1:2" x14ac:dyDescent="0.2">
      <c r="A840" s="356" t="str">
        <f>INDEX(Rankings!C$2:'Rankings'!C$1000,MATCH(SMALL(Rankings!I$2:'Rankings'!I$1000,ROW()),Rankings!I$2:'Rankings'!I$1000,0))</f>
        <v>Sara Cordero</v>
      </c>
      <c r="B840" s="340" t="str">
        <f>VLOOKUP(A840,Rankings!C:E,3,FALSE)</f>
        <v>f</v>
      </c>
    </row>
    <row r="841" spans="1:2" x14ac:dyDescent="0.2">
      <c r="A841" s="356" t="str">
        <f>INDEX(Rankings!C$2:'Rankings'!C$1000,MATCH(SMALL(Rankings!I$2:'Rankings'!I$1000,ROW()),Rankings!I$2:'Rankings'!I$1000,0))</f>
        <v>Sara Gustafsson</v>
      </c>
      <c r="B841" s="340" t="str">
        <f>VLOOKUP(A841,Rankings!C:E,3,FALSE)</f>
        <v>f</v>
      </c>
    </row>
    <row r="842" spans="1:2" x14ac:dyDescent="0.2">
      <c r="A842" s="356" t="str">
        <f>INDEX(Rankings!C$2:'Rankings'!C$1000,MATCH(SMALL(Rankings!I$2:'Rankings'!I$1000,ROW()),Rankings!I$2:'Rankings'!I$1000,0))</f>
        <v>Sarah Bergman</v>
      </c>
      <c r="B842" s="340" t="str">
        <f>VLOOKUP(A842,Rankings!C:E,3,FALSE)</f>
        <v>f</v>
      </c>
    </row>
    <row r="843" spans="1:2" x14ac:dyDescent="0.2">
      <c r="A843" s="356" t="str">
        <f>INDEX(Rankings!C$2:'Rankings'!C$1000,MATCH(SMALL(Rankings!I$2:'Rankings'!I$1000,ROW()),Rankings!I$2:'Rankings'!I$1000,0))</f>
        <v>Sascha Höhne</v>
      </c>
      <c r="B843" s="340" t="str">
        <f>VLOOKUP(A843,Rankings!C:E,3,FALSE)</f>
        <v>m</v>
      </c>
    </row>
    <row r="844" spans="1:2" x14ac:dyDescent="0.2">
      <c r="A844" s="356" t="str">
        <f>INDEX(Rankings!C$2:'Rankings'!C$1000,MATCH(SMALL(Rankings!I$2:'Rankings'!I$1000,ROW()),Rankings!I$2:'Rankings'!I$1000,0))</f>
        <v>Sascha Scherzinger</v>
      </c>
      <c r="B844" s="340" t="str">
        <f>VLOOKUP(A844,Rankings!C:E,3,FALSE)</f>
        <v>m</v>
      </c>
    </row>
    <row r="845" spans="1:2" x14ac:dyDescent="0.2">
      <c r="A845" s="356" t="str">
        <f>INDEX(Rankings!C$2:'Rankings'!C$1000,MATCH(SMALL(Rankings!I$2:'Rankings'!I$1000,ROW()),Rankings!I$2:'Rankings'!I$1000,0))</f>
        <v>Satoru Kondo</v>
      </c>
      <c r="B845" s="340" t="str">
        <f>VLOOKUP(A845,Rankings!C:E,3,FALSE)</f>
        <v>m</v>
      </c>
    </row>
    <row r="846" spans="1:2" x14ac:dyDescent="0.2">
      <c r="A846" s="356" t="str">
        <f>INDEX(Rankings!C$2:'Rankings'!C$1000,MATCH(SMALL(Rankings!I$2:'Rankings'!I$1000,ROW()),Rankings!I$2:'Rankings'!I$1000,0))</f>
        <v>Scott Burtard</v>
      </c>
      <c r="B846" s="340" t="str">
        <f>VLOOKUP(A846,Rankings!C:E,3,FALSE)</f>
        <v>m</v>
      </c>
    </row>
    <row r="847" spans="1:2" x14ac:dyDescent="0.2">
      <c r="A847" s="356" t="str">
        <f>INDEX(Rankings!C$2:'Rankings'!C$1000,MATCH(SMALL(Rankings!I$2:'Rankings'!I$1000,ROW()),Rankings!I$2:'Rankings'!I$1000,0))</f>
        <v>Scott Riley</v>
      </c>
      <c r="B847" s="340" t="str">
        <f>VLOOKUP(A847,Rankings!C:E,3,FALSE)</f>
        <v>m</v>
      </c>
    </row>
    <row r="848" spans="1:2" x14ac:dyDescent="0.2">
      <c r="A848" s="356" t="str">
        <f>INDEX(Rankings!C$2:'Rankings'!C$1000,MATCH(SMALL(Rankings!I$2:'Rankings'!I$1000,ROW()),Rankings!I$2:'Rankings'!I$1000,0))</f>
        <v>Scott Starr</v>
      </c>
      <c r="B848" s="340" t="str">
        <f>VLOOKUP(A848,Rankings!C:E,3,FALSE)</f>
        <v>m</v>
      </c>
    </row>
    <row r="849" spans="1:2" x14ac:dyDescent="0.2">
      <c r="A849" s="356" t="str">
        <f>INDEX(Rankings!C$2:'Rankings'!C$1000,MATCH(SMALL(Rankings!I$2:'Rankings'!I$1000,ROW()),Rankings!I$2:'Rankings'!I$1000,0))</f>
        <v>Scott Stokley</v>
      </c>
      <c r="B849" s="340" t="str">
        <f>VLOOKUP(A849,Rankings!C:E,3,FALSE)</f>
        <v>m</v>
      </c>
    </row>
    <row r="850" spans="1:2" x14ac:dyDescent="0.2">
      <c r="A850" s="356" t="str">
        <f>INDEX(Rankings!C$2:'Rankings'!C$1000,MATCH(SMALL(Rankings!I$2:'Rankings'!I$1000,ROW()),Rankings!I$2:'Rankings'!I$1000,0))</f>
        <v>Scott Weaver</v>
      </c>
      <c r="B850" s="340" t="str">
        <f>VLOOKUP(A850,Rankings!C:E,3,FALSE)</f>
        <v>m</v>
      </c>
    </row>
    <row r="851" spans="1:2" x14ac:dyDescent="0.2">
      <c r="A851" s="356" t="str">
        <f>INDEX(Rankings!C$2:'Rankings'!C$1000,MATCH(SMALL(Rankings!I$2:'Rankings'!I$1000,ROW()),Rankings!I$2:'Rankings'!I$1000,0))</f>
        <v>Sebastian Brandtberg</v>
      </c>
      <c r="B851" s="340" t="str">
        <f>VLOOKUP(A851,Rankings!C:E,3,FALSE)</f>
        <v>m</v>
      </c>
    </row>
    <row r="852" spans="1:2" x14ac:dyDescent="0.2">
      <c r="A852" s="356" t="str">
        <f>INDEX(Rankings!C$2:'Rankings'!C$1000,MATCH(SMALL(Rankings!I$2:'Rankings'!I$1000,ROW()),Rankings!I$2:'Rankings'!I$1000,0))</f>
        <v>Sebastian Cardenas</v>
      </c>
      <c r="B852" s="340" t="str">
        <f>VLOOKUP(A852,Rankings!C:E,3,FALSE)</f>
        <v>m</v>
      </c>
    </row>
    <row r="853" spans="1:2" x14ac:dyDescent="0.2">
      <c r="A853" s="356" t="str">
        <f>INDEX(Rankings!C$2:'Rankings'!C$1000,MATCH(SMALL(Rankings!I$2:'Rankings'!I$1000,ROW()),Rankings!I$2:'Rankings'!I$1000,0))</f>
        <v>Sebastian Gorczynski</v>
      </c>
      <c r="B853" s="340" t="str">
        <f>VLOOKUP(A853,Rankings!C:E,3,FALSE)</f>
        <v>m</v>
      </c>
    </row>
    <row r="854" spans="1:2" x14ac:dyDescent="0.2">
      <c r="A854" s="356" t="str">
        <f>INDEX(Rankings!C$2:'Rankings'!C$1000,MATCH(SMALL(Rankings!I$2:'Rankings'!I$1000,ROW()),Rankings!I$2:'Rankings'!I$1000,0))</f>
        <v>Seigo Suzuki</v>
      </c>
      <c r="B854" s="340" t="str">
        <f>VLOOKUP(A854,Rankings!C:E,3,FALSE)</f>
        <v>m</v>
      </c>
    </row>
    <row r="855" spans="1:2" x14ac:dyDescent="0.2">
      <c r="A855" s="356" t="str">
        <f>INDEX(Rankings!C$2:'Rankings'!C$1000,MATCH(SMALL(Rankings!I$2:'Rankings'!I$1000,ROW()),Rankings!I$2:'Rankings'!I$1000,0))</f>
        <v>Serge Marconi</v>
      </c>
      <c r="B855" s="340" t="str">
        <f>VLOOKUP(A855,Rankings!C:E,3,FALSE)</f>
        <v>m</v>
      </c>
    </row>
    <row r="856" spans="1:2" x14ac:dyDescent="0.2">
      <c r="A856" s="356" t="str">
        <f>INDEX(Rankings!C$2:'Rankings'!C$1000,MATCH(SMALL(Rankings!I$2:'Rankings'!I$1000,ROW()),Rankings!I$2:'Rankings'!I$1000,0))</f>
        <v>Sergio Arrighi</v>
      </c>
      <c r="B856" s="340" t="str">
        <f>VLOOKUP(A856,Rankings!C:E,3,FALSE)</f>
        <v>m</v>
      </c>
    </row>
    <row r="857" spans="1:2" x14ac:dyDescent="0.2">
      <c r="A857" s="356" t="str">
        <f>INDEX(Rankings!C$2:'Rankings'!C$1000,MATCH(SMALL(Rankings!I$2:'Rankings'!I$1000,ROW()),Rankings!I$2:'Rankings'!I$1000,0))</f>
        <v>Seweryn Janeczka</v>
      </c>
      <c r="B857" s="340" t="str">
        <f>VLOOKUP(A857,Rankings!C:E,3,FALSE)</f>
        <v>m</v>
      </c>
    </row>
    <row r="858" spans="1:2" x14ac:dyDescent="0.2">
      <c r="A858" s="356" t="str">
        <f>INDEX(Rankings!C$2:'Rankings'!C$1000,MATCH(SMALL(Rankings!I$2:'Rankings'!I$1000,ROW()),Rankings!I$2:'Rankings'!I$1000,0))</f>
        <v>Shawn Fallon</v>
      </c>
      <c r="B858" s="340" t="str">
        <f>VLOOKUP(A858,Rankings!C:E,3,FALSE)</f>
        <v>m</v>
      </c>
    </row>
    <row r="859" spans="1:2" x14ac:dyDescent="0.2">
      <c r="A859" s="356" t="str">
        <f>INDEX(Rankings!C$2:'Rankings'!C$1000,MATCH(SMALL(Rankings!I$2:'Rankings'!I$1000,ROW()),Rankings!I$2:'Rankings'!I$1000,0))</f>
        <v>Silvia Caruso</v>
      </c>
      <c r="B859" s="340" t="str">
        <f>VLOOKUP(A859,Rankings!C:E,3,FALSE)</f>
        <v>f</v>
      </c>
    </row>
    <row r="860" spans="1:2" x14ac:dyDescent="0.2">
      <c r="A860" s="356" t="str">
        <f>INDEX(Rankings!C$2:'Rankings'!C$1000,MATCH(SMALL(Rankings!I$2:'Rankings'!I$1000,ROW()),Rankings!I$2:'Rankings'!I$1000,0))</f>
        <v>Silvia Kronmuller</v>
      </c>
      <c r="B860" s="340" t="str">
        <f>VLOOKUP(A860,Rankings!C:E,3,FALSE)</f>
        <v>f</v>
      </c>
    </row>
    <row r="861" spans="1:2" x14ac:dyDescent="0.2">
      <c r="A861" s="356" t="str">
        <f>INDEX(Rankings!C$2:'Rankings'!C$1000,MATCH(SMALL(Rankings!I$2:'Rankings'!I$1000,ROW()),Rankings!I$2:'Rankings'!I$1000,0))</f>
        <v>Silvina Porsch</v>
      </c>
      <c r="B861" s="340" t="str">
        <f>VLOOKUP(A861,Rankings!C:E,3,FALSE)</f>
        <v>f</v>
      </c>
    </row>
    <row r="862" spans="1:2" x14ac:dyDescent="0.2">
      <c r="A862" s="356" t="str">
        <f>INDEX(Rankings!C$2:'Rankings'!C$1000,MATCH(SMALL(Rankings!I$2:'Rankings'!I$1000,ROW()),Rankings!I$2:'Rankings'!I$1000,0))</f>
        <v>Simon Emmerich</v>
      </c>
      <c r="B862" s="340" t="str">
        <f>VLOOKUP(A862,Rankings!C:E,3,FALSE)</f>
        <v>m</v>
      </c>
    </row>
    <row r="863" spans="1:2" x14ac:dyDescent="0.2">
      <c r="A863" s="356" t="str">
        <f>INDEX(Rankings!C$2:'Rankings'!C$1000,MATCH(SMALL(Rankings!I$2:'Rankings'!I$1000,ROW()),Rankings!I$2:'Rankings'!I$1000,0))</f>
        <v>Simon Faber</v>
      </c>
      <c r="B863" s="340" t="str">
        <f>VLOOKUP(A863,Rankings!C:E,3,FALSE)</f>
        <v>m</v>
      </c>
    </row>
    <row r="864" spans="1:2" x14ac:dyDescent="0.2">
      <c r="A864" s="356" t="str">
        <f>INDEX(Rankings!C$2:'Rankings'!C$1000,MATCH(SMALL(Rankings!I$2:'Rankings'!I$1000,ROW()),Rankings!I$2:'Rankings'!I$1000,0))</f>
        <v>Simon Hesselgren</v>
      </c>
      <c r="B864" s="340" t="str">
        <f>VLOOKUP(A864,Rankings!C:E,3,FALSE)</f>
        <v>m</v>
      </c>
    </row>
    <row r="865" spans="1:2" x14ac:dyDescent="0.2">
      <c r="A865" s="356" t="str">
        <f>INDEX(Rankings!C$2:'Rankings'!C$1000,MATCH(SMALL(Rankings!I$2:'Rankings'!I$1000,ROW()),Rankings!I$2:'Rankings'!I$1000,0))</f>
        <v>Simon Lühring</v>
      </c>
      <c r="B865" s="340" t="str">
        <f>VLOOKUP(A865,Rankings!C:E,3,FALSE)</f>
        <v>m</v>
      </c>
    </row>
    <row r="866" spans="1:2" x14ac:dyDescent="0.2">
      <c r="A866" s="356" t="str">
        <f>INDEX(Rankings!C$2:'Rankings'!C$1000,MATCH(SMALL(Rankings!I$2:'Rankings'!I$1000,ROW()),Rankings!I$2:'Rankings'!I$1000,0))</f>
        <v>Simon Wassermann</v>
      </c>
      <c r="B866" s="340" t="str">
        <f>VLOOKUP(A866,Rankings!C:E,3,FALSE)</f>
        <v>m</v>
      </c>
    </row>
    <row r="867" spans="1:2" x14ac:dyDescent="0.2">
      <c r="A867" s="356" t="str">
        <f>INDEX(Rankings!C$2:'Rankings'!C$1000,MATCH(SMALL(Rankings!I$2:'Rankings'!I$1000,ROW()),Rankings!I$2:'Rankings'!I$1000,0))</f>
        <v>Simone Italiano</v>
      </c>
      <c r="B867" s="340" t="str">
        <f>VLOOKUP(A867,Rankings!C:E,3,FALSE)</f>
        <v>m</v>
      </c>
    </row>
    <row r="868" spans="1:2" x14ac:dyDescent="0.2">
      <c r="A868" s="356" t="str">
        <f>INDEX(Rankings!C$2:'Rankings'!C$1000,MATCH(SMALL(Rankings!I$2:'Rankings'!I$1000,ROW()),Rankings!I$2:'Rankings'!I$1000,0))</f>
        <v>Simone Lo Giudice</v>
      </c>
      <c r="B868" s="340" t="str">
        <f>VLOOKUP(A868,Rankings!C:E,3,FALSE)</f>
        <v>m</v>
      </c>
    </row>
    <row r="869" spans="1:2" x14ac:dyDescent="0.2">
      <c r="A869" s="356" t="str">
        <f>INDEX(Rankings!C$2:'Rankings'!C$1000,MATCH(SMALL(Rankings!I$2:'Rankings'!I$1000,ROW()),Rankings!I$2:'Rankings'!I$1000,0))</f>
        <v>Simone Nonnis</v>
      </c>
      <c r="B869" s="340" t="str">
        <f>VLOOKUP(A869,Rankings!C:E,3,FALSE)</f>
        <v>m</v>
      </c>
    </row>
    <row r="870" spans="1:2" x14ac:dyDescent="0.2">
      <c r="A870" s="356" t="str">
        <f>INDEX(Rankings!C$2:'Rankings'!C$1000,MATCH(SMALL(Rankings!I$2:'Rankings'!I$1000,ROW()),Rankings!I$2:'Rankings'!I$1000,0))</f>
        <v>Simone Terramoccia</v>
      </c>
      <c r="B870" s="340" t="str">
        <f>VLOOKUP(A870,Rankings!C:E,3,FALSE)</f>
        <v>m</v>
      </c>
    </row>
    <row r="871" spans="1:2" x14ac:dyDescent="0.2">
      <c r="A871" s="356" t="str">
        <f>INDEX(Rankings!C$2:'Rankings'!C$1000,MATCH(SMALL(Rankings!I$2:'Rankings'!I$1000,ROW()),Rankings!I$2:'Rankings'!I$1000,0))</f>
        <v>Skippy Jammer</v>
      </c>
      <c r="B871" s="340" t="str">
        <f>VLOOKUP(A871,Rankings!C:E,3,FALSE)</f>
        <v>m</v>
      </c>
    </row>
    <row r="872" spans="1:2" x14ac:dyDescent="0.2">
      <c r="A872" s="356" t="str">
        <f>INDEX(Rankings!C$2:'Rankings'!C$1000,MATCH(SMALL(Rankings!I$2:'Rankings'!I$1000,ROW()),Rankings!I$2:'Rankings'!I$1000,0))</f>
        <v>Sophie Rickers</v>
      </c>
      <c r="B872" s="340" t="str">
        <f>VLOOKUP(A872,Rankings!C:E,3,FALSE)</f>
        <v>f</v>
      </c>
    </row>
    <row r="873" spans="1:2" x14ac:dyDescent="0.2">
      <c r="A873" s="356" t="str">
        <f>INDEX(Rankings!C$2:'Rankings'!C$1000,MATCH(SMALL(Rankings!I$2:'Rankings'!I$1000,ROW()),Rankings!I$2:'Rankings'!I$1000,0))</f>
        <v>Sören Dietrich</v>
      </c>
      <c r="B873" s="340" t="str">
        <f>VLOOKUP(A873,Rankings!C:E,3,FALSE)</f>
        <v>m</v>
      </c>
    </row>
    <row r="874" spans="1:2" x14ac:dyDescent="0.2">
      <c r="A874" s="356" t="str">
        <f>INDEX(Rankings!C$2:'Rankings'!C$1000,MATCH(SMALL(Rankings!I$2:'Rankings'!I$1000,ROW()),Rankings!I$2:'Rankings'!I$1000,0))</f>
        <v>Spencer Herrick</v>
      </c>
      <c r="B874" s="340" t="str">
        <f>VLOOKUP(A874,Rankings!C:E,3,FALSE)</f>
        <v>m</v>
      </c>
    </row>
    <row r="875" spans="1:2" x14ac:dyDescent="0.2">
      <c r="A875" s="356" t="str">
        <f>INDEX(Rankings!C$2:'Rankings'!C$1000,MATCH(SMALL(Rankings!I$2:'Rankings'!I$1000,ROW()),Rankings!I$2:'Rankings'!I$1000,0))</f>
        <v>Stefan Dünkel</v>
      </c>
      <c r="B875" s="340" t="str">
        <f>VLOOKUP(A875,Rankings!C:E,3,FALSE)</f>
        <v>m</v>
      </c>
    </row>
    <row r="876" spans="1:2" x14ac:dyDescent="0.2">
      <c r="A876" s="356" t="str">
        <f>INDEX(Rankings!C$2:'Rankings'!C$1000,MATCH(SMALL(Rankings!I$2:'Rankings'!I$1000,ROW()),Rankings!I$2:'Rankings'!I$1000,0))</f>
        <v>Stefan Frehland</v>
      </c>
      <c r="B876" s="340" t="str">
        <f>VLOOKUP(A876,Rankings!C:E,3,FALSE)</f>
        <v>m</v>
      </c>
    </row>
    <row r="877" spans="1:2" x14ac:dyDescent="0.2">
      <c r="A877" s="356" t="str">
        <f>INDEX(Rankings!C$2:'Rankings'!C$1000,MATCH(SMALL(Rankings!I$2:'Rankings'!I$1000,ROW()),Rankings!I$2:'Rankings'!I$1000,0))</f>
        <v>Stefan Karlsson</v>
      </c>
      <c r="B877" s="340" t="str">
        <f>VLOOKUP(A877,Rankings!C:E,3,FALSE)</f>
        <v>m</v>
      </c>
    </row>
    <row r="878" spans="1:2" x14ac:dyDescent="0.2">
      <c r="A878" s="356" t="str">
        <f>INDEX(Rankings!C$2:'Rankings'!C$1000,MATCH(SMALL(Rankings!I$2:'Rankings'!I$1000,ROW()),Rankings!I$2:'Rankings'!I$1000,0))</f>
        <v>Stefan Siegert</v>
      </c>
      <c r="B878" s="340" t="str">
        <f>VLOOKUP(A878,Rankings!C:E,3,FALSE)</f>
        <v>m</v>
      </c>
    </row>
    <row r="879" spans="1:2" x14ac:dyDescent="0.2">
      <c r="A879" s="356" t="str">
        <f>INDEX(Rankings!C$2:'Rankings'!C$1000,MATCH(SMALL(Rankings!I$2:'Rankings'!I$1000,ROW()),Rankings!I$2:'Rankings'!I$1000,0))</f>
        <v>Stefanie Klos</v>
      </c>
      <c r="B879" s="340" t="str">
        <f>VLOOKUP(A879,Rankings!C:E,3,FALSE)</f>
        <v>f</v>
      </c>
    </row>
    <row r="880" spans="1:2" x14ac:dyDescent="0.2">
      <c r="A880" s="356" t="str">
        <f>INDEX(Rankings!C$2:'Rankings'!C$1000,MATCH(SMALL(Rankings!I$2:'Rankings'!I$1000,ROW()),Rankings!I$2:'Rankings'!I$1000,0))</f>
        <v>Stefano Bellucci Sessa</v>
      </c>
      <c r="B880" s="340" t="str">
        <f>VLOOKUP(A880,Rankings!C:E,3,FALSE)</f>
        <v>m</v>
      </c>
    </row>
    <row r="881" spans="1:2" x14ac:dyDescent="0.2">
      <c r="A881" s="356" t="str">
        <f>INDEX(Rankings!C$2:'Rankings'!C$1000,MATCH(SMALL(Rankings!I$2:'Rankings'!I$1000,ROW()),Rankings!I$2:'Rankings'!I$1000,0))</f>
        <v>Stefano Brancaleoni</v>
      </c>
      <c r="B881" s="340" t="str">
        <f>VLOOKUP(A881,Rankings!C:E,3,FALSE)</f>
        <v>m</v>
      </c>
    </row>
    <row r="882" spans="1:2" x14ac:dyDescent="0.2">
      <c r="A882" s="356" t="str">
        <f>INDEX(Rankings!C$2:'Rankings'!C$1000,MATCH(SMALL(Rankings!I$2:'Rankings'!I$1000,ROW()),Rankings!I$2:'Rankings'!I$1000,0))</f>
        <v>Stefano Maroli</v>
      </c>
      <c r="B882" s="340" t="str">
        <f>VLOOKUP(A882,Rankings!C:E,3,FALSE)</f>
        <v>m</v>
      </c>
    </row>
    <row r="883" spans="1:2" x14ac:dyDescent="0.2">
      <c r="A883" s="356" t="str">
        <f>INDEX(Rankings!C$2:'Rankings'!C$1000,MATCH(SMALL(Rankings!I$2:'Rankings'!I$1000,ROW()),Rankings!I$2:'Rankings'!I$1000,0))</f>
        <v>Stefano Pieroni</v>
      </c>
      <c r="B883" s="340" t="str">
        <f>VLOOKUP(A883,Rankings!C:E,3,FALSE)</f>
        <v>m</v>
      </c>
    </row>
    <row r="884" spans="1:2" x14ac:dyDescent="0.2">
      <c r="A884" s="356" t="str">
        <f>INDEX(Rankings!C$2:'Rankings'!C$1000,MATCH(SMALL(Rankings!I$2:'Rankings'!I$1000,ROW()),Rankings!I$2:'Rankings'!I$1000,0))</f>
        <v>Steffen Verstichel</v>
      </c>
      <c r="B884" s="340" t="str">
        <f>VLOOKUP(A884,Rankings!C:E,3,FALSE)</f>
        <v>m</v>
      </c>
    </row>
    <row r="885" spans="1:2" x14ac:dyDescent="0.2">
      <c r="A885" s="356" t="str">
        <f>INDEX(Rankings!C$2:'Rankings'!C$1000,MATCH(SMALL(Rankings!I$2:'Rankings'!I$1000,ROW()),Rankings!I$2:'Rankings'!I$1000,0))</f>
        <v>Sten Sturefeldt</v>
      </c>
      <c r="B885" s="340" t="str">
        <f>VLOOKUP(A885,Rankings!C:E,3,FALSE)</f>
        <v>m</v>
      </c>
    </row>
    <row r="886" spans="1:2" x14ac:dyDescent="0.2">
      <c r="A886" s="356" t="str">
        <f>INDEX(Rankings!C$2:'Rankings'!C$1000,MATCH(SMALL(Rankings!I$2:'Rankings'!I$1000,ROW()),Rankings!I$2:'Rankings'!I$1000,0))</f>
        <v>Stepan Materna</v>
      </c>
      <c r="B886" s="340" t="str">
        <f>VLOOKUP(A886,Rankings!C:E,3,FALSE)</f>
        <v>m</v>
      </c>
    </row>
    <row r="887" spans="1:2" x14ac:dyDescent="0.2">
      <c r="A887" s="356" t="str">
        <f>INDEX(Rankings!C$2:'Rankings'!C$1000,MATCH(SMALL(Rankings!I$2:'Rankings'!I$1000,ROW()),Rankings!I$2:'Rankings'!I$1000,0))</f>
        <v>Stephan Stoll</v>
      </c>
      <c r="B887" s="340" t="str">
        <f>VLOOKUP(A887,Rankings!C:E,3,FALSE)</f>
        <v>m</v>
      </c>
    </row>
    <row r="888" spans="1:2" x14ac:dyDescent="0.2">
      <c r="A888" s="356" t="str">
        <f>INDEX(Rankings!C$2:'Rankings'!C$1000,MATCH(SMALL(Rankings!I$2:'Rankings'!I$1000,ROW()),Rankings!I$2:'Rankings'!I$1000,0))</f>
        <v>Stephanie Chan</v>
      </c>
      <c r="B888" s="340" t="str">
        <f>VLOOKUP(A888,Rankings!C:E,3,FALSE)</f>
        <v>f</v>
      </c>
    </row>
    <row r="889" spans="1:2" x14ac:dyDescent="0.2">
      <c r="A889" s="356" t="str">
        <f>INDEX(Rankings!C$2:'Rankings'!C$1000,MATCH(SMALL(Rankings!I$2:'Rankings'!I$1000,ROW()),Rankings!I$2:'Rankings'!I$1000,0))</f>
        <v>Steve Hanes</v>
      </c>
      <c r="B889" s="340" t="str">
        <f>VLOOKUP(A889,Rankings!C:E,3,FALSE)</f>
        <v>m</v>
      </c>
    </row>
    <row r="890" spans="1:2" x14ac:dyDescent="0.2">
      <c r="A890" s="356" t="str">
        <f>INDEX(Rankings!C$2:'Rankings'!C$1000,MATCH(SMALL(Rankings!I$2:'Rankings'!I$1000,ROW()),Rankings!I$2:'Rankings'!I$1000,0))</f>
        <v>Steve Hays</v>
      </c>
      <c r="B890" s="340" t="str">
        <f>VLOOKUP(A890,Rankings!C:E,3,FALSE)</f>
        <v>m</v>
      </c>
    </row>
    <row r="891" spans="1:2" x14ac:dyDescent="0.2">
      <c r="A891" s="356" t="str">
        <f>INDEX(Rankings!C$2:'Rankings'!C$1000,MATCH(SMALL(Rankings!I$2:'Rankings'!I$1000,ROW()),Rankings!I$2:'Rankings'!I$1000,0))</f>
        <v>Steve Hubbard</v>
      </c>
      <c r="B891" s="340" t="str">
        <f>VLOOKUP(A891,Rankings!C:E,3,FALSE)</f>
        <v>m</v>
      </c>
    </row>
    <row r="892" spans="1:2" x14ac:dyDescent="0.2">
      <c r="A892" s="356" t="str">
        <f>INDEX(Rankings!C$2:'Rankings'!C$1000,MATCH(SMALL(Rankings!I$2:'Rankings'!I$1000,ROW()),Rankings!I$2:'Rankings'!I$1000,0))</f>
        <v>Steve Jennings</v>
      </c>
      <c r="B892" s="340" t="str">
        <f>VLOOKUP(A892,Rankings!C:E,3,FALSE)</f>
        <v>m</v>
      </c>
    </row>
    <row r="893" spans="1:2" x14ac:dyDescent="0.2">
      <c r="A893" s="356" t="str">
        <f>INDEX(Rankings!C$2:'Rankings'!C$1000,MATCH(SMALL(Rankings!I$2:'Rankings'!I$1000,ROW()),Rankings!I$2:'Rankings'!I$1000,0))</f>
        <v>Steve Leak</v>
      </c>
      <c r="B893" s="340" t="str">
        <f>VLOOKUP(A893,Rankings!C:E,3,FALSE)</f>
        <v>m</v>
      </c>
    </row>
    <row r="894" spans="1:2" x14ac:dyDescent="0.2">
      <c r="A894" s="356" t="str">
        <f>INDEX(Rankings!C$2:'Rankings'!C$1000,MATCH(SMALL(Rankings!I$2:'Rankings'!I$1000,ROW()),Rankings!I$2:'Rankings'!I$1000,0))</f>
        <v>Steve Reicke</v>
      </c>
      <c r="B894" s="340" t="str">
        <f>VLOOKUP(A894,Rankings!C:E,3,FALSE)</f>
        <v>m</v>
      </c>
    </row>
    <row r="895" spans="1:2" x14ac:dyDescent="0.2">
      <c r="A895" s="356" t="str">
        <f>INDEX(Rankings!C$2:'Rankings'!C$1000,MATCH(SMALL(Rankings!I$2:'Rankings'!I$1000,ROW()),Rankings!I$2:'Rankings'!I$1000,0))</f>
        <v>Steve Rhodes</v>
      </c>
      <c r="B895" s="340" t="str">
        <f>VLOOKUP(A895,Rankings!C:E,3,FALSE)</f>
        <v>m</v>
      </c>
    </row>
    <row r="896" spans="1:2" x14ac:dyDescent="0.2">
      <c r="A896" s="356" t="str">
        <f>INDEX(Rankings!C$2:'Rankings'!C$1000,MATCH(SMALL(Rankings!I$2:'Rankings'!I$1000,ROW()),Rankings!I$2:'Rankings'!I$1000,0))</f>
        <v>Steve Scannell</v>
      </c>
      <c r="B896" s="340" t="str">
        <f>VLOOKUP(A896,Rankings!C:E,3,FALSE)</f>
        <v>m</v>
      </c>
    </row>
    <row r="897" spans="1:2" x14ac:dyDescent="0.2">
      <c r="A897" s="356" t="str">
        <f>INDEX(Rankings!C$2:'Rankings'!C$1000,MATCH(SMALL(Rankings!I$2:'Rankings'!I$1000,ROW()),Rankings!I$2:'Rankings'!I$1000,0))</f>
        <v>Steve Stotter</v>
      </c>
      <c r="B897" s="340" t="str">
        <f>VLOOKUP(A897,Rankings!C:E,3,FALSE)</f>
        <v>m</v>
      </c>
    </row>
    <row r="898" spans="1:2" x14ac:dyDescent="0.2">
      <c r="A898" s="356" t="str">
        <f>INDEX(Rankings!C$2:'Rankings'!C$1000,MATCH(SMALL(Rankings!I$2:'Rankings'!I$1000,ROW()),Rankings!I$2:'Rankings'!I$1000,0))</f>
        <v>Steve Vinoski</v>
      </c>
      <c r="B898" s="340" t="str">
        <f>VLOOKUP(A898,Rankings!C:E,3,FALSE)</f>
        <v>m</v>
      </c>
    </row>
    <row r="899" spans="1:2" x14ac:dyDescent="0.2">
      <c r="A899" s="356" t="str">
        <f>INDEX(Rankings!C$2:'Rankings'!C$1000,MATCH(SMALL(Rankings!I$2:'Rankings'!I$1000,ROW()),Rankings!I$2:'Rankings'!I$1000,0))</f>
        <v>Stina Persson</v>
      </c>
      <c r="B899" s="340" t="str">
        <f>VLOOKUP(A899,Rankings!C:E,3,FALSE)</f>
        <v>f</v>
      </c>
    </row>
    <row r="900" spans="1:2" x14ac:dyDescent="0.2">
      <c r="A900" s="356" t="str">
        <f>INDEX(Rankings!C$2:'Rankings'!C$1000,MATCH(SMALL(Rankings!I$2:'Rankings'!I$1000,ROW()),Rankings!I$2:'Rankings'!I$1000,0))</f>
        <v>Stuart Landsee</v>
      </c>
      <c r="B900" s="340" t="str">
        <f>VLOOKUP(A900,Rankings!C:E,3,FALSE)</f>
        <v>m</v>
      </c>
    </row>
    <row r="901" spans="1:2" x14ac:dyDescent="0.2">
      <c r="A901" s="356" t="str">
        <f>INDEX(Rankings!C$2:'Rankings'!C$1000,MATCH(SMALL(Rankings!I$2:'Rankings'!I$1000,ROW()),Rankings!I$2:'Rankings'!I$1000,0))</f>
        <v>Sue Strait</v>
      </c>
      <c r="B901" s="340" t="str">
        <f>VLOOKUP(A901,Rankings!C:E,3,FALSE)</f>
        <v>f</v>
      </c>
    </row>
    <row r="902" spans="1:2" x14ac:dyDescent="0.2">
      <c r="A902" s="356" t="str">
        <f>INDEX(Rankings!C$2:'Rankings'!C$1000,MATCH(SMALL(Rankings!I$2:'Rankings'!I$1000,ROW()),Rankings!I$2:'Rankings'!I$1000,0))</f>
        <v>Susie Horn</v>
      </c>
      <c r="B902" s="340" t="str">
        <f>VLOOKUP(A902,Rankings!C:E,3,FALSE)</f>
        <v>f</v>
      </c>
    </row>
    <row r="903" spans="1:2" x14ac:dyDescent="0.2">
      <c r="A903" s="356" t="str">
        <f>INDEX(Rankings!C$2:'Rankings'!C$1000,MATCH(SMALL(Rankings!I$2:'Rankings'!I$1000,ROW()),Rankings!I$2:'Rankings'!I$1000,0))</f>
        <v>Sven Deschle</v>
      </c>
      <c r="B903" s="340" t="str">
        <f>VLOOKUP(A903,Rankings!C:E,3,FALSE)</f>
        <v>m</v>
      </c>
    </row>
    <row r="904" spans="1:2" x14ac:dyDescent="0.2">
      <c r="A904" s="356" t="str">
        <f>INDEX(Rankings!C$2:'Rankings'!C$1000,MATCH(SMALL(Rankings!I$2:'Rankings'!I$1000,ROW()),Rankings!I$2:'Rankings'!I$1000,0))</f>
        <v>Sven Köhn</v>
      </c>
      <c r="B904" s="340" t="str">
        <f>VLOOKUP(A904,Rankings!C:E,3,FALSE)</f>
        <v>m</v>
      </c>
    </row>
    <row r="905" spans="1:2" x14ac:dyDescent="0.2">
      <c r="A905" s="356" t="str">
        <f>INDEX(Rankings!C$2:'Rankings'!C$1000,MATCH(SMALL(Rankings!I$2:'Rankings'!I$1000,ROW()),Rankings!I$2:'Rankings'!I$1000,0))</f>
        <v>Syohei Ono</v>
      </c>
      <c r="B905" s="340" t="str">
        <f>VLOOKUP(A905,Rankings!C:E,3,FALSE)</f>
        <v>m</v>
      </c>
    </row>
    <row r="906" spans="1:2" x14ac:dyDescent="0.2">
      <c r="A906" s="356" t="str">
        <f>INDEX(Rankings!C$2:'Rankings'!C$1000,MATCH(SMALL(Rankings!I$2:'Rankings'!I$1000,ROW()),Rankings!I$2:'Rankings'!I$1000,0))</f>
        <v>Syouki Maeda</v>
      </c>
      <c r="B906" s="340" t="str">
        <f>VLOOKUP(A906,Rankings!C:E,3,FALSE)</f>
        <v>m</v>
      </c>
    </row>
    <row r="907" spans="1:2" x14ac:dyDescent="0.2">
      <c r="A907" s="356" t="str">
        <f>INDEX(Rankings!C$2:'Rankings'!C$1000,MATCH(SMALL(Rankings!I$2:'Rankings'!I$1000,ROW()),Rankings!I$2:'Rankings'!I$1000,0))</f>
        <v>Syouri Oouchi</v>
      </c>
      <c r="B907" s="340" t="str">
        <f>VLOOKUP(A907,Rankings!C:E,3,FALSE)</f>
        <v>m</v>
      </c>
    </row>
    <row r="908" spans="1:2" x14ac:dyDescent="0.2">
      <c r="A908" s="356" t="str">
        <f>INDEX(Rankings!C$2:'Rankings'!C$1000,MATCH(SMALL(Rankings!I$2:'Rankings'!I$1000,ROW()),Rankings!I$2:'Rankings'!I$1000,0))</f>
        <v>Syunnichi Noda</v>
      </c>
      <c r="B908" s="340" t="str">
        <f>VLOOKUP(A908,Rankings!C:E,3,FALSE)</f>
        <v>m</v>
      </c>
    </row>
    <row r="909" spans="1:2" x14ac:dyDescent="0.2">
      <c r="A909" s="356" t="str">
        <f>INDEX(Rankings!C$2:'Rankings'!C$1000,MATCH(SMALL(Rankings!I$2:'Rankings'!I$1000,ROW()),Rankings!I$2:'Rankings'!I$1000,0))</f>
        <v>Takahiko Yamamoto</v>
      </c>
      <c r="B909" s="340" t="str">
        <f>VLOOKUP(A909,Rankings!C:E,3,FALSE)</f>
        <v>m</v>
      </c>
    </row>
    <row r="910" spans="1:2" x14ac:dyDescent="0.2">
      <c r="A910" s="356" t="str">
        <f>INDEX(Rankings!C$2:'Rankings'!C$1000,MATCH(SMALL(Rankings!I$2:'Rankings'!I$1000,ROW()),Rankings!I$2:'Rankings'!I$1000,0))</f>
        <v>Takeru Okamura</v>
      </c>
      <c r="B910" s="340" t="str">
        <f>VLOOKUP(A910,Rankings!C:E,3,FALSE)</f>
        <v>m</v>
      </c>
    </row>
    <row r="911" spans="1:2" x14ac:dyDescent="0.2">
      <c r="A911" s="356" t="str">
        <f>INDEX(Rankings!C$2:'Rankings'!C$1000,MATCH(SMALL(Rankings!I$2:'Rankings'!I$1000,ROW()),Rankings!I$2:'Rankings'!I$1000,0))</f>
        <v>Tami Hamler</v>
      </c>
      <c r="B911" s="340" t="str">
        <f>VLOOKUP(A911,Rankings!C:E,3,FALSE)</f>
        <v>f</v>
      </c>
    </row>
    <row r="912" spans="1:2" x14ac:dyDescent="0.2">
      <c r="A912" s="356" t="str">
        <f>INDEX(Rankings!C$2:'Rankings'!C$1000,MATCH(SMALL(Rankings!I$2:'Rankings'!I$1000,ROW()),Rankings!I$2:'Rankings'!I$1000,0))</f>
        <v>Tanja Ritterhaus</v>
      </c>
      <c r="B912" s="340" t="str">
        <f>VLOOKUP(A912,Rankings!C:E,3,FALSE)</f>
        <v>f</v>
      </c>
    </row>
    <row r="913" spans="1:2" x14ac:dyDescent="0.2">
      <c r="A913" s="356" t="str">
        <f>INDEX(Rankings!C$2:'Rankings'!C$1000,MATCH(SMALL(Rankings!I$2:'Rankings'!I$1000,ROW()),Rankings!I$2:'Rankings'!I$1000,0))</f>
        <v>Tara Brenner</v>
      </c>
      <c r="B913" s="340" t="str">
        <f>VLOOKUP(A913,Rankings!C:E,3,FALSE)</f>
        <v>f</v>
      </c>
    </row>
    <row r="914" spans="1:2" x14ac:dyDescent="0.2">
      <c r="A914" s="356" t="str">
        <f>INDEX(Rankings!C$2:'Rankings'!C$1000,MATCH(SMALL(Rankings!I$2:'Rankings'!I$1000,ROW()),Rankings!I$2:'Rankings'!I$1000,0))</f>
        <v>Ted Oberhaus</v>
      </c>
      <c r="B914" s="340" t="str">
        <f>VLOOKUP(A914,Rankings!C:E,3,FALSE)</f>
        <v>m</v>
      </c>
    </row>
    <row r="915" spans="1:2" x14ac:dyDescent="0.2">
      <c r="A915" s="356" t="str">
        <f>INDEX(Rankings!C$2:'Rankings'!C$1000,MATCH(SMALL(Rankings!I$2:'Rankings'!I$1000,ROW()),Rankings!I$2:'Rankings'!I$1000,0))</f>
        <v>Terry Bogenhagen</v>
      </c>
      <c r="B915" s="340" t="str">
        <f>VLOOKUP(A915,Rankings!C:E,3,FALSE)</f>
        <v>f</v>
      </c>
    </row>
    <row r="916" spans="1:2" x14ac:dyDescent="0.2">
      <c r="A916" s="356" t="str">
        <f>INDEX(Rankings!C$2:'Rankings'!C$1000,MATCH(SMALL(Rankings!I$2:'Rankings'!I$1000,ROW()),Rankings!I$2:'Rankings'!I$1000,0))</f>
        <v>Terry Miller</v>
      </c>
      <c r="B916" s="340" t="str">
        <f>VLOOKUP(A916,Rankings!C:E,3,FALSE)</f>
        <v>m</v>
      </c>
    </row>
    <row r="917" spans="1:2" x14ac:dyDescent="0.2">
      <c r="A917" s="356" t="str">
        <f>INDEX(Rankings!C$2:'Rankings'!C$1000,MATCH(SMALL(Rankings!I$2:'Rankings'!I$1000,ROW()),Rankings!I$2:'Rankings'!I$1000,0))</f>
        <v>Theo Liegle</v>
      </c>
      <c r="B917" s="340" t="str">
        <f>VLOOKUP(A917,Rankings!C:E,3,FALSE)</f>
        <v>m</v>
      </c>
    </row>
    <row r="918" spans="1:2" x14ac:dyDescent="0.2">
      <c r="A918" s="356" t="str">
        <f>INDEX(Rankings!C$2:'Rankings'!C$1000,MATCH(SMALL(Rankings!I$2:'Rankings'!I$1000,ROW()),Rankings!I$2:'Rankings'!I$1000,0))</f>
        <v>Thomas Gereben</v>
      </c>
      <c r="B918" s="340" t="str">
        <f>VLOOKUP(A918,Rankings!C:E,3,FALSE)</f>
        <v>m</v>
      </c>
    </row>
    <row r="919" spans="1:2" x14ac:dyDescent="0.2">
      <c r="A919" s="356" t="str">
        <f>INDEX(Rankings!C$2:'Rankings'!C$1000,MATCH(SMALL(Rankings!I$2:'Rankings'!I$1000,ROW()),Rankings!I$2:'Rankings'!I$1000,0))</f>
        <v>Thomas Jonasson</v>
      </c>
      <c r="B919" s="340" t="str">
        <f>VLOOKUP(A919,Rankings!C:E,3,FALSE)</f>
        <v>m</v>
      </c>
    </row>
    <row r="920" spans="1:2" x14ac:dyDescent="0.2">
      <c r="A920" s="356" t="str">
        <f>INDEX(Rankings!C$2:'Rankings'!C$1000,MATCH(SMALL(Rankings!I$2:'Rankings'!I$1000,ROW()),Rankings!I$2:'Rankings'!I$1000,0))</f>
        <v>Thomas Nötzel</v>
      </c>
      <c r="B920" s="340" t="str">
        <f>VLOOKUP(A920,Rankings!C:E,3,FALSE)</f>
        <v>m</v>
      </c>
    </row>
    <row r="921" spans="1:2" x14ac:dyDescent="0.2">
      <c r="A921" s="356" t="str">
        <f>INDEX(Rankings!C$2:'Rankings'!C$1000,MATCH(SMALL(Rankings!I$2:'Rankings'!I$1000,ROW()),Rankings!I$2:'Rankings'!I$1000,0))</f>
        <v>Thorsten Fleissner</v>
      </c>
      <c r="B921" s="340" t="str">
        <f>VLOOKUP(A921,Rankings!C:E,3,FALSE)</f>
        <v>m</v>
      </c>
    </row>
    <row r="922" spans="1:2" x14ac:dyDescent="0.2">
      <c r="A922" s="356" t="str">
        <f>INDEX(Rankings!C$2:'Rankings'!C$1000,MATCH(SMALL(Rankings!I$2:'Rankings'!I$1000,ROW()),Rankings!I$2:'Rankings'!I$1000,0))</f>
        <v>Tim Cohn</v>
      </c>
      <c r="B922" s="340" t="str">
        <f>VLOOKUP(A922,Rankings!C:E,3,FALSE)</f>
        <v>m</v>
      </c>
    </row>
    <row r="923" spans="1:2" x14ac:dyDescent="0.2">
      <c r="A923" s="356" t="str">
        <f>INDEX(Rankings!C$2:'Rankings'!C$1000,MATCH(SMALL(Rankings!I$2:'Rankings'!I$1000,ROW()),Rankings!I$2:'Rankings'!I$1000,0))</f>
        <v>Tim Mackey</v>
      </c>
      <c r="B923" s="340" t="str">
        <f>VLOOKUP(A923,Rankings!C:E,3,FALSE)</f>
        <v>m</v>
      </c>
    </row>
    <row r="924" spans="1:2" x14ac:dyDescent="0.2">
      <c r="A924" s="356" t="str">
        <f>INDEX(Rankings!C$2:'Rankings'!C$1000,MATCH(SMALL(Rankings!I$2:'Rankings'!I$1000,ROW()),Rankings!I$2:'Rankings'!I$1000,0))</f>
        <v>Tim Pattberg</v>
      </c>
      <c r="B924" s="340" t="str">
        <f>VLOOKUP(A924,Rankings!C:E,3,FALSE)</f>
        <v>m</v>
      </c>
    </row>
    <row r="925" spans="1:2" x14ac:dyDescent="0.2">
      <c r="A925" s="356" t="str">
        <f>INDEX(Rankings!C$2:'Rankings'!C$1000,MATCH(SMALL(Rankings!I$2:'Rankings'!I$1000,ROW()),Rankings!I$2:'Rankings'!I$1000,0))</f>
        <v>Tim Sahlit</v>
      </c>
      <c r="B925" s="340" t="str">
        <f>VLOOKUP(A925,Rankings!C:E,3,FALSE)</f>
        <v>m</v>
      </c>
    </row>
    <row r="926" spans="1:2" x14ac:dyDescent="0.2">
      <c r="A926" s="356" t="str">
        <f>INDEX(Rankings!C$2:'Rankings'!C$1000,MATCH(SMALL(Rankings!I$2:'Rankings'!I$1000,ROW()),Rankings!I$2:'Rankings'!I$1000,0))</f>
        <v>Tita Ugalde</v>
      </c>
      <c r="B926" s="340" t="str">
        <f>VLOOKUP(A926,Rankings!C:E,3,FALSE)</f>
        <v>f</v>
      </c>
    </row>
    <row r="927" spans="1:2" x14ac:dyDescent="0.2">
      <c r="A927" s="356" t="str">
        <f>INDEX(Rankings!C$2:'Rankings'!C$1000,MATCH(SMALL(Rankings!I$2:'Rankings'!I$1000,ROW()),Rankings!I$2:'Rankings'!I$1000,0))</f>
        <v>Tito Andino</v>
      </c>
      <c r="B927" s="340" t="str">
        <f>VLOOKUP(A927,Rankings!C:E,3,FALSE)</f>
        <v>m</v>
      </c>
    </row>
    <row r="928" spans="1:2" x14ac:dyDescent="0.2">
      <c r="A928" s="356" t="str">
        <f>INDEX(Rankings!C$2:'Rankings'!C$1000,MATCH(SMALL(Rankings!I$2:'Rankings'!I$1000,ROW()),Rankings!I$2:'Rankings'!I$1000,0))</f>
        <v>Tobia Valente</v>
      </c>
      <c r="B928" s="340" t="str">
        <f>VLOOKUP(A928,Rankings!C:E,3,FALSE)</f>
        <v>m</v>
      </c>
    </row>
    <row r="929" spans="1:2" x14ac:dyDescent="0.2">
      <c r="A929" s="356" t="str">
        <f>INDEX(Rankings!C$2:'Rankings'!C$1000,MATCH(SMALL(Rankings!I$2:'Rankings'!I$1000,ROW()),Rankings!I$2:'Rankings'!I$1000,0))</f>
        <v>Tobias Burzan</v>
      </c>
      <c r="B929" s="340" t="str">
        <f>VLOOKUP(A929,Rankings!C:E,3,FALSE)</f>
        <v>m</v>
      </c>
    </row>
    <row r="930" spans="1:2" x14ac:dyDescent="0.2">
      <c r="A930" s="356" t="str">
        <f>INDEX(Rankings!C$2:'Rankings'!C$1000,MATCH(SMALL(Rankings!I$2:'Rankings'!I$1000,ROW()),Rankings!I$2:'Rankings'!I$1000,0))</f>
        <v>Tobias Cole</v>
      </c>
      <c r="B930" s="340" t="str">
        <f>VLOOKUP(A930,Rankings!C:E,3,FALSE)</f>
        <v>m</v>
      </c>
    </row>
    <row r="931" spans="1:2" x14ac:dyDescent="0.2">
      <c r="A931" s="356" t="str">
        <f>INDEX(Rankings!C$2:'Rankings'!C$1000,MATCH(SMALL(Rankings!I$2:'Rankings'!I$1000,ROW()),Rankings!I$2:'Rankings'!I$1000,0))</f>
        <v>Tobias Doehner</v>
      </c>
      <c r="B931" s="340" t="str">
        <f>VLOOKUP(A931,Rankings!C:E,3,FALSE)</f>
        <v>m</v>
      </c>
    </row>
    <row r="932" spans="1:2" x14ac:dyDescent="0.2">
      <c r="A932" s="356" t="str">
        <f>INDEX(Rankings!C$2:'Rankings'!C$1000,MATCH(SMALL(Rankings!I$2:'Rankings'!I$1000,ROW()),Rankings!I$2:'Rankings'!I$1000,0))</f>
        <v>Tobias Gebert</v>
      </c>
      <c r="B932" s="340" t="str">
        <f>VLOOKUP(A932,Rankings!C:E,3,FALSE)</f>
        <v>m</v>
      </c>
    </row>
    <row r="933" spans="1:2" x14ac:dyDescent="0.2">
      <c r="A933" s="356" t="str">
        <f>INDEX(Rankings!C$2:'Rankings'!C$1000,MATCH(SMALL(Rankings!I$2:'Rankings'!I$1000,ROW()),Rankings!I$2:'Rankings'!I$1000,0))</f>
        <v>Toby Künzel</v>
      </c>
      <c r="B933" s="340" t="str">
        <f>VLOOKUP(A933,Rankings!C:E,3,FALSE)</f>
        <v>m</v>
      </c>
    </row>
    <row r="934" spans="1:2" x14ac:dyDescent="0.2">
      <c r="A934" s="356" t="str">
        <f>INDEX(Rankings!C$2:'Rankings'!C$1000,MATCH(SMALL(Rankings!I$2:'Rankings'!I$1000,ROW()),Rankings!I$2:'Rankings'!I$1000,0))</f>
        <v>Todd Van Osdol</v>
      </c>
      <c r="B934" s="340" t="str">
        <f>VLOOKUP(A934,Rankings!C:E,3,FALSE)</f>
        <v>m</v>
      </c>
    </row>
    <row r="935" spans="1:2" x14ac:dyDescent="0.2">
      <c r="A935" s="356" t="str">
        <f>INDEX(Rankings!C$2:'Rankings'!C$1000,MATCH(SMALL(Rankings!I$2:'Rankings'!I$1000,ROW()),Rankings!I$2:'Rankings'!I$1000,0))</f>
        <v>Toddy Brodeur</v>
      </c>
      <c r="B935" s="340" t="str">
        <f>VLOOKUP(A935,Rankings!C:E,3,FALSE)</f>
        <v>m</v>
      </c>
    </row>
    <row r="936" spans="1:2" x14ac:dyDescent="0.2">
      <c r="A936" s="356" t="str">
        <f>INDEX(Rankings!C$2:'Rankings'!C$1000,MATCH(SMALL(Rankings!I$2:'Rankings'!I$1000,ROW()),Rankings!I$2:'Rankings'!I$1000,0))</f>
        <v>Tom "Harry" Goltz</v>
      </c>
      <c r="B936" s="340" t="str">
        <f>VLOOKUP(A936,Rankings!C:E,3,FALSE)</f>
        <v>m</v>
      </c>
    </row>
    <row r="937" spans="1:2" x14ac:dyDescent="0.2">
      <c r="A937" s="356" t="str">
        <f>INDEX(Rankings!C$2:'Rankings'!C$1000,MATCH(SMALL(Rankings!I$2:'Rankings'!I$1000,ROW()),Rankings!I$2:'Rankings'!I$1000,0))</f>
        <v>Tom Blockhuys</v>
      </c>
      <c r="B937" s="340" t="str">
        <f>VLOOKUP(A937,Rankings!C:E,3,FALSE)</f>
        <v>m</v>
      </c>
    </row>
    <row r="938" spans="1:2" x14ac:dyDescent="0.2">
      <c r="A938" s="356" t="str">
        <f>INDEX(Rankings!C$2:'Rankings'!C$1000,MATCH(SMALL(Rankings!I$2:'Rankings'!I$1000,ROW()),Rankings!I$2:'Rankings'!I$1000,0))</f>
        <v>Tom Carlos Schuster</v>
      </c>
      <c r="B938" s="340" t="str">
        <f>VLOOKUP(A938,Rankings!C:E,3,FALSE)</f>
        <v>m</v>
      </c>
    </row>
    <row r="939" spans="1:2" x14ac:dyDescent="0.2">
      <c r="A939" s="356" t="str">
        <f>INDEX(Rankings!C$2:'Rankings'!C$1000,MATCH(SMALL(Rankings!I$2:'Rankings'!I$1000,ROW()),Rankings!I$2:'Rankings'!I$1000,0))</f>
        <v>Tom Coffin</v>
      </c>
      <c r="B939" s="340" t="str">
        <f>VLOOKUP(A939,Rankings!C:E,3,FALSE)</f>
        <v>m</v>
      </c>
    </row>
    <row r="940" spans="1:2" x14ac:dyDescent="0.2">
      <c r="A940" s="356" t="str">
        <f>INDEX(Rankings!C$2:'Rankings'!C$1000,MATCH(SMALL(Rankings!I$2:'Rankings'!I$1000,ROW()),Rankings!I$2:'Rankings'!I$1000,0))</f>
        <v>Tom Cole</v>
      </c>
      <c r="B940" s="340" t="str">
        <f>VLOOKUP(A940,Rankings!C:E,3,FALSE)</f>
        <v>m</v>
      </c>
    </row>
    <row r="941" spans="1:2" x14ac:dyDescent="0.2">
      <c r="A941" s="356" t="str">
        <f>INDEX(Rankings!C$2:'Rankings'!C$1000,MATCH(SMALL(Rankings!I$2:'Rankings'!I$1000,ROW()),Rankings!I$2:'Rankings'!I$1000,0))</f>
        <v>Tom Ford</v>
      </c>
      <c r="B941" s="340" t="str">
        <f>VLOOKUP(A941,Rankings!C:E,3,FALSE)</f>
        <v>m</v>
      </c>
    </row>
    <row r="942" spans="1:2" x14ac:dyDescent="0.2">
      <c r="A942" s="356" t="str">
        <f>INDEX(Rankings!C$2:'Rankings'!C$1000,MATCH(SMALL(Rankings!I$2:'Rankings'!I$1000,ROW()),Rankings!I$2:'Rankings'!I$1000,0))</f>
        <v>Tom Lasher</v>
      </c>
      <c r="B942" s="340" t="str">
        <f>VLOOKUP(A942,Rankings!C:E,3,FALSE)</f>
        <v>m</v>
      </c>
    </row>
    <row r="943" spans="1:2" x14ac:dyDescent="0.2">
      <c r="A943" s="356" t="str">
        <f>INDEX(Rankings!C$2:'Rankings'!C$1000,MATCH(SMALL(Rankings!I$2:'Rankings'!I$1000,ROW()),Rankings!I$2:'Rankings'!I$1000,0))</f>
        <v>Tom Leitner</v>
      </c>
      <c r="B943" s="340" t="str">
        <f>VLOOKUP(A943,Rankings!C:E,3,FALSE)</f>
        <v>m</v>
      </c>
    </row>
    <row r="944" spans="1:2" x14ac:dyDescent="0.2">
      <c r="A944" s="356" t="str">
        <f>INDEX(Rankings!C$2:'Rankings'!C$1000,MATCH(SMALL(Rankings!I$2:'Rankings'!I$1000,ROW()),Rankings!I$2:'Rankings'!I$1000,0))</f>
        <v>Tom Robideau</v>
      </c>
      <c r="B944" s="340" t="str">
        <f>VLOOKUP(A944,Rankings!C:E,3,FALSE)</f>
        <v>m</v>
      </c>
    </row>
    <row r="945" spans="1:2" x14ac:dyDescent="0.2">
      <c r="A945" s="356" t="str">
        <f>INDEX(Rankings!C$2:'Rankings'!C$1000,MATCH(SMALL(Rankings!I$2:'Rankings'!I$1000,ROW()),Rankings!I$2:'Rankings'!I$1000,0))</f>
        <v>Tom Sahlit</v>
      </c>
      <c r="B945" s="340" t="str">
        <f>VLOOKUP(A945,Rankings!C:E,3,FALSE)</f>
        <v>m</v>
      </c>
    </row>
    <row r="946" spans="1:2" x14ac:dyDescent="0.2">
      <c r="A946" s="356" t="str">
        <f>INDEX(Rankings!C$2:'Rankings'!C$1000,MATCH(SMALL(Rankings!I$2:'Rankings'!I$1000,ROW()),Rankings!I$2:'Rankings'!I$1000,0))</f>
        <v>Tomas Burvall</v>
      </c>
      <c r="B946" s="340" t="str">
        <f>VLOOKUP(A946,Rankings!C:E,3,FALSE)</f>
        <v>m</v>
      </c>
    </row>
    <row r="947" spans="1:2" x14ac:dyDescent="0.2">
      <c r="A947" s="356" t="str">
        <f>INDEX(Rankings!C$2:'Rankings'!C$1000,MATCH(SMALL(Rankings!I$2:'Rankings'!I$1000,ROW()),Rankings!I$2:'Rankings'!I$1000,0))</f>
        <v>Tomas Olsson</v>
      </c>
      <c r="B947" s="340" t="str">
        <f>VLOOKUP(A947,Rankings!C:E,3,FALSE)</f>
        <v>m</v>
      </c>
    </row>
    <row r="948" spans="1:2" x14ac:dyDescent="0.2">
      <c r="A948" s="356" t="str">
        <f>INDEX(Rankings!C$2:'Rankings'!C$1000,MATCH(SMALL(Rankings!I$2:'Rankings'!I$1000,ROW()),Rankings!I$2:'Rankings'!I$1000,0))</f>
        <v>Tomasz Hemerling</v>
      </c>
      <c r="B948" s="340" t="str">
        <f>VLOOKUP(A948,Rankings!C:E,3,FALSE)</f>
        <v>m</v>
      </c>
    </row>
    <row r="949" spans="1:2" x14ac:dyDescent="0.2">
      <c r="A949" s="356" t="str">
        <f>INDEX(Rankings!C$2:'Rankings'!C$1000,MATCH(SMALL(Rankings!I$2:'Rankings'!I$1000,ROW()),Rankings!I$2:'Rankings'!I$1000,0))</f>
        <v>Tomer Adar</v>
      </c>
      <c r="B949" s="340" t="str">
        <f>VLOOKUP(A949,Rankings!C:E,3,FALSE)</f>
        <v>m</v>
      </c>
    </row>
    <row r="950" spans="1:2" x14ac:dyDescent="0.2">
      <c r="A950" s="356" t="str">
        <f>INDEX(Rankings!C$2:'Rankings'!C$1000,MATCH(SMALL(Rankings!I$2:'Rankings'!I$1000,ROW()),Rankings!I$2:'Rankings'!I$1000,0))</f>
        <v>Tommaso Tondo</v>
      </c>
      <c r="B950" s="340" t="str">
        <f>VLOOKUP(A950,Rankings!C:E,3,FALSE)</f>
        <v>m</v>
      </c>
    </row>
    <row r="951" spans="1:2" x14ac:dyDescent="0.2">
      <c r="A951" s="356" t="str">
        <f>INDEX(Rankings!C$2:'Rankings'!C$1000,MATCH(SMALL(Rankings!I$2:'Rankings'!I$1000,ROW()),Rankings!I$2:'Rankings'!I$1000,0))</f>
        <v>Tomokazu Yamamoto</v>
      </c>
      <c r="B951" s="340" t="str">
        <f>VLOOKUP(A951,Rankings!C:E,3,FALSE)</f>
        <v>m</v>
      </c>
    </row>
    <row r="952" spans="1:2" x14ac:dyDescent="0.2">
      <c r="A952" s="356" t="str">
        <f>INDEX(Rankings!C$2:'Rankings'!C$1000,MATCH(SMALL(Rankings!I$2:'Rankings'!I$1000,ROW()),Rankings!I$2:'Rankings'!I$1000,0))</f>
        <v>Tomoyuki Katakura</v>
      </c>
      <c r="B952" s="340" t="str">
        <f>VLOOKUP(A952,Rankings!C:E,3,FALSE)</f>
        <v>m</v>
      </c>
    </row>
    <row r="953" spans="1:2" x14ac:dyDescent="0.2">
      <c r="A953" s="356" t="str">
        <f>INDEX(Rankings!C$2:'Rankings'!C$1000,MATCH(SMALL(Rankings!I$2:'Rankings'!I$1000,ROW()),Rankings!I$2:'Rankings'!I$1000,0))</f>
        <v>Tomoyuki Matsuki</v>
      </c>
      <c r="B953" s="340" t="str">
        <f>VLOOKUP(A953,Rankings!C:E,3,FALSE)</f>
        <v>m</v>
      </c>
    </row>
    <row r="954" spans="1:2" x14ac:dyDescent="0.2">
      <c r="A954" s="356" t="str">
        <f>INDEX(Rankings!C$2:'Rankings'!C$1000,MATCH(SMALL(Rankings!I$2:'Rankings'!I$1000,ROW()),Rankings!I$2:'Rankings'!I$1000,0))</f>
        <v>Tony Pellicane</v>
      </c>
      <c r="B954" s="340" t="str">
        <f>VLOOKUP(A954,Rankings!C:E,3,FALSE)</f>
        <v>m</v>
      </c>
    </row>
    <row r="955" spans="1:2" x14ac:dyDescent="0.2">
      <c r="A955" s="356" t="str">
        <f>INDEX(Rankings!C$2:'Rankings'!C$1000,MATCH(SMALL(Rankings!I$2:'Rankings'!I$1000,ROW()),Rankings!I$2:'Rankings'!I$1000,0))</f>
        <v>Toufik Lamred</v>
      </c>
      <c r="B955" s="340" t="str">
        <f>VLOOKUP(A955,Rankings!C:E,3,FALSE)</f>
        <v>m</v>
      </c>
    </row>
    <row r="956" spans="1:2" x14ac:dyDescent="0.2">
      <c r="A956" s="356" t="str">
        <f>INDEX(Rankings!C$2:'Rankings'!C$1000,MATCH(SMALL(Rankings!I$2:'Rankings'!I$1000,ROW()),Rankings!I$2:'Rankings'!I$1000,0))</f>
        <v>Tristan Doshier</v>
      </c>
      <c r="B956" s="340" t="str">
        <f>VLOOKUP(A956,Rankings!C:E,3,FALSE)</f>
        <v>m</v>
      </c>
    </row>
    <row r="957" spans="1:2" x14ac:dyDescent="0.2">
      <c r="A957" s="356" t="str">
        <f>INDEX(Rankings!C$2:'Rankings'!C$1000,MATCH(SMALL(Rankings!I$2:'Rankings'!I$1000,ROW()),Rankings!I$2:'Rankings'!I$1000,0))</f>
        <v>Udo Engeter</v>
      </c>
      <c r="B957" s="340" t="str">
        <f>VLOOKUP(A957,Rankings!C:E,3,FALSE)</f>
        <v>m</v>
      </c>
    </row>
    <row r="958" spans="1:2" x14ac:dyDescent="0.2">
      <c r="A958" s="356" t="str">
        <f>INDEX(Rankings!C$2:'Rankings'!C$1000,MATCH(SMALL(Rankings!I$2:'Rankings'!I$1000,ROW()),Rankings!I$2:'Rankings'!I$1000,0))</f>
        <v>Urs Hardegger</v>
      </c>
      <c r="B958" s="340" t="str">
        <f>VLOOKUP(A958,Rankings!C:E,3,FALSE)</f>
        <v>m</v>
      </c>
    </row>
    <row r="959" spans="1:2" x14ac:dyDescent="0.2">
      <c r="A959" s="356" t="str">
        <f>INDEX(Rankings!C$2:'Rankings'!C$1000,MATCH(SMALL(Rankings!I$2:'Rankings'!I$1000,ROW()),Rankings!I$2:'Rankings'!I$1000,0))</f>
        <v>Valerio Annarino</v>
      </c>
      <c r="B959" s="340" t="str">
        <f>VLOOKUP(A959,Rankings!C:E,3,FALSE)</f>
        <v>m</v>
      </c>
    </row>
    <row r="960" spans="1:2" x14ac:dyDescent="0.2">
      <c r="A960" s="356" t="str">
        <f>INDEX(Rankings!C$2:'Rankings'!C$1000,MATCH(SMALL(Rankings!I$2:'Rankings'!I$1000,ROW()),Rankings!I$2:'Rankings'!I$1000,0))</f>
        <v>Valerio Morossi</v>
      </c>
      <c r="B960" s="340" t="str">
        <f>VLOOKUP(A960,Rankings!C:E,3,FALSE)</f>
        <v>m</v>
      </c>
    </row>
    <row r="961" spans="1:2" x14ac:dyDescent="0.2">
      <c r="A961" s="356" t="str">
        <f>INDEX(Rankings!C$2:'Rankings'!C$1000,MATCH(SMALL(Rankings!I$2:'Rankings'!I$1000,ROW()),Rankings!I$2:'Rankings'!I$1000,0))</f>
        <v>Valerio Occorsio</v>
      </c>
      <c r="B961" s="340" t="str">
        <f>VLOOKUP(A961,Rankings!C:E,3,FALSE)</f>
        <v>m</v>
      </c>
    </row>
    <row r="962" spans="1:2" x14ac:dyDescent="0.2">
      <c r="A962" s="356" t="str">
        <f>INDEX(Rankings!C$2:'Rankings'!C$1000,MATCH(SMALL(Rankings!I$2:'Rankings'!I$1000,ROW()),Rankings!I$2:'Rankings'!I$1000,0))</f>
        <v>Vanes Baldazzi</v>
      </c>
      <c r="B962" s="340" t="str">
        <f>VLOOKUP(A962,Rankings!C:E,3,FALSE)</f>
        <v>m</v>
      </c>
    </row>
    <row r="963" spans="1:2" x14ac:dyDescent="0.2">
      <c r="A963" s="356" t="str">
        <f>INDEX(Rankings!C$2:'Rankings'!C$1000,MATCH(SMALL(Rankings!I$2:'Rankings'!I$1000,ROW()),Rankings!I$2:'Rankings'!I$1000,0))</f>
        <v>Vehro Titcomb</v>
      </c>
      <c r="B963" s="340" t="str">
        <f>VLOOKUP(A963,Rankings!C:E,3,FALSE)</f>
        <v>m</v>
      </c>
    </row>
    <row r="964" spans="1:2" x14ac:dyDescent="0.2">
      <c r="A964" s="356" t="str">
        <f>INDEX(Rankings!C$2:'Rankings'!C$1000,MATCH(SMALL(Rankings!I$2:'Rankings'!I$1000,ROW()),Rankings!I$2:'Rankings'!I$1000,0))</f>
        <v>Vendela Arveskär</v>
      </c>
      <c r="B964" s="340" t="str">
        <f>VLOOKUP(A964,Rankings!C:E,3,FALSE)</f>
        <v>f</v>
      </c>
    </row>
    <row r="965" spans="1:2" x14ac:dyDescent="0.2">
      <c r="A965" s="356" t="str">
        <f>INDEX(Rankings!C$2:'Rankings'!C$1000,MATCH(SMALL(Rankings!I$2:'Rankings'!I$1000,ROW()),Rankings!I$2:'Rankings'!I$1000,0))</f>
        <v>Vico Silano</v>
      </c>
      <c r="B965" s="340" t="str">
        <f>VLOOKUP(A965,Rankings!C:E,3,FALSE)</f>
        <v>m</v>
      </c>
    </row>
    <row r="966" spans="1:2" x14ac:dyDescent="0.2">
      <c r="A966" s="356" t="str">
        <f>INDEX(Rankings!C$2:'Rankings'!C$1000,MATCH(SMALL(Rankings!I$2:'Rankings'!I$1000,ROW()),Rankings!I$2:'Rankings'!I$1000,0))</f>
        <v>Victor Ouzoonian</v>
      </c>
      <c r="B966" s="340" t="str">
        <f>VLOOKUP(A966,Rankings!C:E,3,FALSE)</f>
        <v>m</v>
      </c>
    </row>
    <row r="967" spans="1:2" x14ac:dyDescent="0.2">
      <c r="A967" s="356" t="str">
        <f>INDEX(Rankings!C$2:'Rankings'!C$1000,MATCH(SMALL(Rankings!I$2:'Rankings'!I$1000,ROW()),Rankings!I$2:'Rankings'!I$1000,0))</f>
        <v>Victoria Schätzle</v>
      </c>
      <c r="B967" s="340" t="str">
        <f>VLOOKUP(A967,Rankings!C:E,3,FALSE)</f>
        <v>f</v>
      </c>
    </row>
    <row r="968" spans="1:2" x14ac:dyDescent="0.2">
      <c r="A968" s="356" t="str">
        <f>INDEX(Rankings!C$2:'Rankings'!C$1000,MATCH(SMALL(Rankings!I$2:'Rankings'!I$1000,ROW()),Rankings!I$2:'Rankings'!I$1000,0))</f>
        <v>Waldemar Wagner</v>
      </c>
      <c r="B968" s="340" t="str">
        <f>VLOOKUP(A968,Rankings!C:E,3,FALSE)</f>
        <v>m</v>
      </c>
    </row>
    <row r="969" spans="1:2" x14ac:dyDescent="0.2">
      <c r="A969" s="356" t="str">
        <f>INDEX(Rankings!C$2:'Rankings'!C$1000,MATCH(SMALL(Rankings!I$2:'Rankings'!I$1000,ROW()),Rankings!I$2:'Rankings'!I$1000,0))</f>
        <v>Walter Reynolds</v>
      </c>
      <c r="B969" s="340" t="str">
        <f>VLOOKUP(A969,Rankings!C:E,3,FALSE)</f>
        <v>m</v>
      </c>
    </row>
    <row r="970" spans="1:2" x14ac:dyDescent="0.2">
      <c r="A970" s="356" t="str">
        <f>INDEX(Rankings!C$2:'Rankings'!C$1000,MATCH(SMALL(Rankings!I$2:'Rankings'!I$1000,ROW()),Rankings!I$2:'Rankings'!I$1000,0))</f>
        <v>Wayne Biever</v>
      </c>
      <c r="B970" s="340" t="str">
        <f>VLOOKUP(A970,Rankings!C:E,3,FALSE)</f>
        <v>m</v>
      </c>
    </row>
    <row r="971" spans="1:2" x14ac:dyDescent="0.2">
      <c r="A971" s="356" t="str">
        <f>INDEX(Rankings!C$2:'Rankings'!C$1000,MATCH(SMALL(Rankings!I$2:'Rankings'!I$1000,ROW()),Rankings!I$2:'Rankings'!I$1000,0))</f>
        <v>Will Spaziani</v>
      </c>
      <c r="B971" s="340" t="str">
        <f>VLOOKUP(A971,Rankings!C:E,3,FALSE)</f>
        <v>m</v>
      </c>
    </row>
    <row r="972" spans="1:2" x14ac:dyDescent="0.2">
      <c r="A972" s="356" t="str">
        <f>INDEX(Rankings!C$2:'Rankings'!C$1000,MATCH(SMALL(Rankings!I$2:'Rankings'!I$1000,ROW()),Rankings!I$2:'Rankings'!I$1000,0))</f>
        <v>Will Thoren</v>
      </c>
      <c r="B972" s="340" t="str">
        <f>VLOOKUP(A972,Rankings!C:E,3,FALSE)</f>
        <v>m</v>
      </c>
    </row>
    <row r="973" spans="1:2" x14ac:dyDescent="0.2">
      <c r="A973" s="356" t="str">
        <f>INDEX(Rankings!C$2:'Rankings'!C$1000,MATCH(SMALL(Rankings!I$2:'Rankings'!I$1000,ROW()),Rankings!I$2:'Rankings'!I$1000,0))</f>
        <v>Wolfgang Schöffel</v>
      </c>
      <c r="B973" s="340" t="str">
        <f>VLOOKUP(A973,Rankings!C:E,3,FALSE)</f>
        <v>m</v>
      </c>
    </row>
    <row r="974" spans="1:2" x14ac:dyDescent="0.2">
      <c r="A974" s="356" t="str">
        <f>INDEX(Rankings!C$2:'Rankings'!C$1000,MATCH(SMALL(Rankings!I$2:'Rankings'!I$1000,ROW()),Rankings!I$2:'Rankings'!I$1000,0))</f>
        <v>Woo Wunder</v>
      </c>
      <c r="B974" s="340" t="str">
        <f>VLOOKUP(A974,Rankings!C:E,3,FALSE)</f>
        <v>m</v>
      </c>
    </row>
    <row r="975" spans="1:2" x14ac:dyDescent="0.2">
      <c r="A975" s="356" t="str">
        <f>INDEX(Rankings!C$2:'Rankings'!C$1000,MATCH(SMALL(Rankings!I$2:'Rankings'!I$1000,ROW()),Rankings!I$2:'Rankings'!I$1000,0))</f>
        <v>Xtehn Titcomb</v>
      </c>
      <c r="B975" s="340" t="str">
        <f>VLOOKUP(A975,Rankings!C:E,3,FALSE)</f>
        <v>m</v>
      </c>
    </row>
    <row r="976" spans="1:2" x14ac:dyDescent="0.2">
      <c r="A976" s="356" t="str">
        <f>INDEX(Rankings!C$2:'Rankings'!C$1000,MATCH(SMALL(Rankings!I$2:'Rankings'!I$1000,ROW()),Rankings!I$2:'Rankings'!I$1000,0))</f>
        <v>Yannic Bofah</v>
      </c>
      <c r="B976" s="340" t="str">
        <f>VLOOKUP(A976,Rankings!C:E,3,FALSE)</f>
        <v>m</v>
      </c>
    </row>
    <row r="977" spans="1:2" x14ac:dyDescent="0.2">
      <c r="A977" s="356" t="str">
        <f>INDEX(Rankings!C$2:'Rankings'!C$1000,MATCH(SMALL(Rankings!I$2:'Rankings'!I$1000,ROW()),Rankings!I$2:'Rankings'!I$1000,0))</f>
        <v>Yarden Borkow</v>
      </c>
      <c r="B977" s="340" t="str">
        <f>VLOOKUP(A977,Rankings!C:E,3,FALSE)</f>
        <v>m</v>
      </c>
    </row>
    <row r="978" spans="1:2" x14ac:dyDescent="0.2">
      <c r="A978" s="356" t="str">
        <f>INDEX(Rankings!C$2:'Rankings'!C$1000,MATCH(SMALL(Rankings!I$2:'Rankings'!I$1000,ROW()),Rankings!I$2:'Rankings'!I$1000,0))</f>
        <v>Yarden Ghefter</v>
      </c>
      <c r="B978" s="340" t="str">
        <f>VLOOKUP(A978,Rankings!C:E,3,FALSE)</f>
        <v>m</v>
      </c>
    </row>
    <row r="979" spans="1:2" x14ac:dyDescent="0.2">
      <c r="A979" s="356" t="str">
        <f>INDEX(Rankings!C$2:'Rankings'!C$1000,MATCH(SMALL(Rankings!I$2:'Rankings'!I$1000,ROW()),Rankings!I$2:'Rankings'!I$1000,0))</f>
        <v>Yasuhiro Komori</v>
      </c>
      <c r="B979" s="340" t="str">
        <f>VLOOKUP(A979,Rankings!C:E,3,FALSE)</f>
        <v>m</v>
      </c>
    </row>
    <row r="980" spans="1:2" x14ac:dyDescent="0.2">
      <c r="A980" s="356" t="str">
        <f>INDEX(Rankings!C$2:'Rankings'!C$1000,MATCH(SMALL(Rankings!I$2:'Rankings'!I$1000,ROW()),Rankings!I$2:'Rankings'!I$1000,0))</f>
        <v>Yasutaka Okubo</v>
      </c>
      <c r="B980" s="340" t="str">
        <f>VLOOKUP(A980,Rankings!C:E,3,FALSE)</f>
        <v>m</v>
      </c>
    </row>
    <row r="981" spans="1:2" x14ac:dyDescent="0.2">
      <c r="A981" s="356" t="str">
        <f>INDEX(Rankings!C$2:'Rankings'!C$1000,MATCH(SMALL(Rankings!I$2:'Rankings'!I$1000,ROW()),Rankings!I$2:'Rankings'!I$1000,0))</f>
        <v>Yohei Inoue</v>
      </c>
      <c r="B981" s="340" t="str">
        <f>VLOOKUP(A981,Rankings!C:E,3,FALSE)</f>
        <v>m</v>
      </c>
    </row>
    <row r="982" spans="1:2" x14ac:dyDescent="0.2">
      <c r="A982" s="356" t="str">
        <f>INDEX(Rankings!C$2:'Rankings'!C$1000,MATCH(SMALL(Rankings!I$2:'Rankings'!I$1000,ROW()),Rankings!I$2:'Rankings'!I$1000,0))</f>
        <v>Yonatan Kriss</v>
      </c>
      <c r="B982" s="340" t="str">
        <f>VLOOKUP(A982,Rankings!C:E,3,FALSE)</f>
        <v>m</v>
      </c>
    </row>
    <row r="983" spans="1:2" x14ac:dyDescent="0.2">
      <c r="A983" s="356" t="str">
        <f>INDEX(Rankings!C$2:'Rankings'!C$1000,MATCH(SMALL(Rankings!I$2:'Rankings'!I$1000,ROW()),Rankings!I$2:'Rankings'!I$1000,0))</f>
        <v>Yousuke Suzuki</v>
      </c>
      <c r="B983" s="340" t="str">
        <f>VLOOKUP(A983,Rankings!C:E,3,FALSE)</f>
        <v>m</v>
      </c>
    </row>
    <row r="984" spans="1:2" x14ac:dyDescent="0.2">
      <c r="A984" s="356" t="str">
        <f>INDEX(Rankings!C$2:'Rankings'!C$1000,MATCH(SMALL(Rankings!I$2:'Rankings'!I$1000,ROW()),Rankings!I$2:'Rankings'!I$1000,0))</f>
        <v>Yujiro Suzuki</v>
      </c>
      <c r="B984" s="340" t="str">
        <f>VLOOKUP(A984,Rankings!C:E,3,FALSE)</f>
        <v>m</v>
      </c>
    </row>
    <row r="985" spans="1:2" x14ac:dyDescent="0.2">
      <c r="A985" s="356" t="str">
        <f>INDEX(Rankings!C$2:'Rankings'!C$1000,MATCH(SMALL(Rankings!I$2:'Rankings'!I$1000,ROW()),Rankings!I$2:'Rankings'!I$1000,0))</f>
        <v>Yukari Komatsu</v>
      </c>
      <c r="B985" s="340" t="str">
        <f>VLOOKUP(A985,Rankings!C:E,3,FALSE)</f>
        <v>f</v>
      </c>
    </row>
    <row r="986" spans="1:2" x14ac:dyDescent="0.2">
      <c r="A986" s="356" t="str">
        <f>INDEX(Rankings!C$2:'Rankings'!C$1000,MATCH(SMALL(Rankings!I$2:'Rankings'!I$1000,ROW()),Rankings!I$2:'Rankings'!I$1000,0))</f>
        <v>Yuki Matsushita-Gebert</v>
      </c>
      <c r="B986" s="340" t="str">
        <f>VLOOKUP(A986,Rankings!C:E,3,FALSE)</f>
        <v>f</v>
      </c>
    </row>
    <row r="987" spans="1:2" x14ac:dyDescent="0.2">
      <c r="A987" s="356" t="str">
        <f>INDEX(Rankings!C$2:'Rankings'!C$1000,MATCH(SMALL(Rankings!I$2:'Rankings'!I$1000,ROW()),Rankings!I$2:'Rankings'!I$1000,0))</f>
        <v>Yumiko Tauchi</v>
      </c>
      <c r="B987" s="340" t="str">
        <f>VLOOKUP(A987,Rankings!C:E,3,FALSE)</f>
        <v>f</v>
      </c>
    </row>
    <row r="988" spans="1:2" x14ac:dyDescent="0.2">
      <c r="A988" s="356" t="str">
        <f>INDEX(Rankings!C$2:'Rankings'!C$1000,MATCH(SMALL(Rankings!I$2:'Rankings'!I$1000,ROW()),Rankings!I$2:'Rankings'!I$1000,0))</f>
        <v>Yung Kai Liang</v>
      </c>
      <c r="B988" s="340" t="str">
        <f>VLOOKUP(A988,Rankings!C:E,3,FALSE)</f>
        <v>m</v>
      </c>
    </row>
    <row r="989" spans="1:2" x14ac:dyDescent="0.2">
      <c r="A989" s="356" t="str">
        <f>INDEX(Rankings!C$2:'Rankings'!C$1000,MATCH(SMALL(Rankings!I$2:'Rankings'!I$1000,ROW()),Rankings!I$2:'Rankings'!I$1000,0))</f>
        <v>Yuriko Sobue</v>
      </c>
      <c r="B989" s="340" t="str">
        <f>VLOOKUP(A989,Rankings!C:E,3,FALSE)</f>
        <v>f</v>
      </c>
    </row>
    <row r="990" spans="1:2" x14ac:dyDescent="0.2">
      <c r="A990" s="356" t="str">
        <f>INDEX(Rankings!C$2:'Rankings'!C$1000,MATCH(SMALL(Rankings!I$2:'Rankings'!I$1000,ROW()),Rankings!I$2:'Rankings'!I$1000,0))</f>
        <v>Yusuke Umehara</v>
      </c>
      <c r="B990" s="340" t="str">
        <f>VLOOKUP(A990,Rankings!C:E,3,FALSE)</f>
        <v>m</v>
      </c>
    </row>
    <row r="991" spans="1:2" x14ac:dyDescent="0.2">
      <c r="A991" s="356" t="str">
        <f>INDEX(Rankings!C$2:'Rankings'!C$1000,MATCH(SMALL(Rankings!I$2:'Rankings'!I$1000,ROW()),Rankings!I$2:'Rankings'!I$1000,0))</f>
        <v>Yutaka Harahsina</v>
      </c>
      <c r="B991" s="340" t="str">
        <f>VLOOKUP(A991,Rankings!C:E,3,FALSE)</f>
        <v>m</v>
      </c>
    </row>
    <row r="992" spans="1:2" x14ac:dyDescent="0.2">
      <c r="A992" s="356" t="str">
        <f>INDEX(Rankings!C$2:'Rankings'!C$1000,MATCH(SMALL(Rankings!I$2:'Rankings'!I$1000,ROW()),Rankings!I$2:'Rankings'!I$1000,0))</f>
        <v>Yutaro Hirasawa</v>
      </c>
      <c r="B992" s="340" t="str">
        <f>VLOOKUP(A992,Rankings!C:E,3,FALSE)</f>
        <v>m</v>
      </c>
    </row>
    <row r="993" spans="1:2" x14ac:dyDescent="0.2">
      <c r="A993" s="356" t="str">
        <f>INDEX(Rankings!C$2:'Rankings'!C$1000,MATCH(SMALL(Rankings!I$2:'Rankings'!I$1000,ROW()),Rankings!I$2:'Rankings'!I$1000,0))</f>
        <v>Yuval Reikoren</v>
      </c>
      <c r="B993" s="340" t="str">
        <f>VLOOKUP(A993,Rankings!C:E,3,FALSE)</f>
        <v>m</v>
      </c>
    </row>
    <row r="994" spans="1:2" x14ac:dyDescent="0.2">
      <c r="A994" s="356" t="str">
        <f>INDEX(Rankings!C$2:'Rankings'!C$1000,MATCH(SMALL(Rankings!I$2:'Rankings'!I$1000,ROW()),Rankings!I$2:'Rankings'!I$1000,0))</f>
        <v>Zach Murphy</v>
      </c>
      <c r="B994" s="340" t="str">
        <f>VLOOKUP(A994,Rankings!C:E,3,FALSE)</f>
        <v>m</v>
      </c>
    </row>
    <row r="995" spans="1:2" x14ac:dyDescent="0.2">
      <c r="A995" s="356" t="str">
        <f>INDEX(Rankings!C$2:'Rankings'!C$1000,MATCH(SMALL(Rankings!I$2:'Rankings'!I$1000,ROW()),Rankings!I$2:'Rankings'!I$1000,0))</f>
        <v>Zahlen Titcomb</v>
      </c>
      <c r="B995" s="340" t="str">
        <f>VLOOKUP(A995,Rankings!C:E,3,FALSE)</f>
        <v>m</v>
      </c>
    </row>
    <row r="996" spans="1:2" x14ac:dyDescent="0.2">
      <c r="A996" s="356" t="str">
        <f>INDEX(Rankings!C$2:'Rankings'!C$1000,MATCH(SMALL(Rankings!I$2:'Rankings'!I$1000,ROW()),Rankings!I$2:'Rankings'!I$1000,0))</f>
        <v>Zé Luis</v>
      </c>
      <c r="B996" s="340" t="str">
        <f>VLOOKUP(A996,Rankings!C:E,3,FALSE)</f>
        <v>m</v>
      </c>
    </row>
    <row r="997" spans="1:2" x14ac:dyDescent="0.2">
      <c r="A997" s="356" t="str">
        <f>INDEX(Rankings!C$2:'Rankings'!C$1000,MATCH(SMALL(Rankings!I$2:'Rankings'!I$1000,ROW()),Rankings!I$2:'Rankings'!I$1000,0))</f>
        <v>Zeno Legner</v>
      </c>
      <c r="B997" s="340" t="str">
        <f>VLOOKUP(A997,Rankings!C:E,3,FALSE)</f>
        <v>m</v>
      </c>
    </row>
    <row r="998" spans="1:2" x14ac:dyDescent="0.2">
      <c r="A998" s="356" t="str">
        <f>INDEX(Rankings!C$2:'Rankings'!C$1000,MATCH(SMALL(Rankings!I$2:'Rankings'!I$1000,ROW()),Rankings!I$2:'Rankings'!I$1000,0))</f>
        <v>Ziv Lavy</v>
      </c>
      <c r="B998" s="340" t="str">
        <f>VLOOKUP(A998,Rankings!C:E,3,FALSE)</f>
        <v>m</v>
      </c>
    </row>
    <row r="999" spans="1:2" x14ac:dyDescent="0.2">
      <c r="A999" s="356" t="str">
        <f>INDEX(Rankings!C$2:'Rankings'!C$1000,MATCH(SMALL(Rankings!I$2:'Rankings'!I$1000,ROW()),Rankings!I$2:'Rankings'!I$1000,0))</f>
        <v>Zuzana Mala</v>
      </c>
      <c r="B999" s="340" t="str">
        <f>VLOOKUP(A999,Rankings!C:E,3,FALSE)</f>
        <v>f</v>
      </c>
    </row>
    <row r="1000" spans="1:2" x14ac:dyDescent="0.2">
      <c r="A1000" s="356"/>
    </row>
  </sheetData>
  <phoneticPr fontId="18" type="noConversion"/>
  <pageMargins left="0.19685039370078741" right="0.47244094488188981" top="0.62992125984251968" bottom="0.78740157480314965" header="0.31496062992125984" footer="0.31496062992125984"/>
  <pageSetup paperSize="9" scale="94" orientation="portrait" verticalDpi="599" r:id="rId1"/>
  <headerFooter alignWithMargins="0">
    <oddHeader>&amp;C&amp;18Alphabetic ordered Players&amp;R&amp;G</oddHeader>
  </headerFooter>
  <legacyDrawingHF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Tabelle1"/>
  <dimension ref="A1:M67"/>
  <sheetViews>
    <sheetView showGridLines="0" showRowColHeaders="0" zoomScale="70" zoomScaleNormal="70" zoomScaleSheetLayoutView="100" zoomScalePageLayoutView="55" workbookViewId="0">
      <selection activeCell="A12" sqref="A12"/>
    </sheetView>
  </sheetViews>
  <sheetFormatPr defaultColWidth="9.140625" defaultRowHeight="15" x14ac:dyDescent="0.25"/>
  <cols>
    <col min="1" max="1" width="57.140625" customWidth="1"/>
    <col min="2" max="11" width="4" customWidth="1"/>
    <col min="12" max="12" width="1.28515625" customWidth="1"/>
    <col min="13" max="13" width="53.5703125" customWidth="1"/>
    <col min="14" max="256" width="11.42578125" customWidth="1"/>
  </cols>
  <sheetData>
    <row r="1" spans="1:13" ht="34.5" customHeight="1" thickBot="1" x14ac:dyDescent="0.55000000000000004">
      <c r="A1" s="124" t="str">
        <f>Settings!B3</f>
        <v>FPAW 2018</v>
      </c>
    </row>
    <row r="2" spans="1:13" ht="47.25" customHeight="1" thickBot="1" x14ac:dyDescent="0.4">
      <c r="A2" s="150" t="str">
        <f>Settings!B4</f>
        <v>Trnava, Slowakia</v>
      </c>
      <c r="B2" s="184" t="s">
        <v>155</v>
      </c>
      <c r="C2" s="184" t="s">
        <v>156</v>
      </c>
      <c r="D2" s="184" t="s">
        <v>157</v>
      </c>
      <c r="E2" s="184" t="s">
        <v>158</v>
      </c>
      <c r="F2" s="184" t="s">
        <v>159</v>
      </c>
      <c r="G2" s="184" t="s">
        <v>160</v>
      </c>
      <c r="H2" s="184" t="s">
        <v>161</v>
      </c>
      <c r="I2" s="184" t="s">
        <v>162</v>
      </c>
      <c r="J2" s="184" t="s">
        <v>163</v>
      </c>
      <c r="K2" s="184" t="s">
        <v>164</v>
      </c>
      <c r="M2" s="216" t="s">
        <v>180</v>
      </c>
    </row>
    <row r="3" spans="1:13" ht="8.25" customHeight="1" thickBot="1" x14ac:dyDescent="0.3"/>
    <row r="4" spans="1:13" ht="24" thickBot="1" x14ac:dyDescent="0.4">
      <c r="A4" s="9" t="s">
        <v>101</v>
      </c>
      <c r="B4" s="149"/>
      <c r="C4" s="149"/>
      <c r="D4" s="149"/>
      <c r="E4" s="149"/>
      <c r="F4" s="149"/>
      <c r="G4" s="149"/>
      <c r="H4" s="149"/>
      <c r="I4" s="149"/>
      <c r="J4" s="149"/>
      <c r="K4" s="149"/>
      <c r="M4" t="s">
        <v>133</v>
      </c>
    </row>
    <row r="5" spans="1:13" ht="6.75" customHeight="1" x14ac:dyDescent="0.3">
      <c r="A5" s="117"/>
      <c r="B5" s="118"/>
      <c r="C5" s="118"/>
      <c r="D5" s="118"/>
      <c r="E5" s="118"/>
      <c r="F5" s="118"/>
      <c r="G5" s="118"/>
      <c r="H5" s="118"/>
      <c r="I5" s="118"/>
      <c r="J5" s="118"/>
      <c r="K5" s="118"/>
    </row>
    <row r="6" spans="1:13" ht="21" customHeight="1" x14ac:dyDescent="0.3">
      <c r="A6" s="172" t="s">
        <v>102</v>
      </c>
      <c r="B6" s="173"/>
      <c r="C6" s="173"/>
      <c r="D6" s="173"/>
      <c r="E6" s="173"/>
      <c r="F6" s="173"/>
      <c r="G6" s="173"/>
      <c r="H6" s="173"/>
      <c r="I6" s="173"/>
      <c r="J6" s="173"/>
      <c r="K6" s="173"/>
      <c r="L6" s="174"/>
      <c r="M6" s="174" t="s">
        <v>137</v>
      </c>
    </row>
    <row r="7" spans="1:13" ht="21" customHeight="1" x14ac:dyDescent="0.3">
      <c r="A7" s="172" t="s">
        <v>103</v>
      </c>
      <c r="B7" s="173"/>
      <c r="C7" s="173"/>
      <c r="D7" s="173"/>
      <c r="E7" s="173"/>
      <c r="F7" s="173"/>
      <c r="G7" s="173"/>
      <c r="H7" s="173"/>
      <c r="I7" s="173"/>
      <c r="J7" s="173"/>
      <c r="K7" s="173"/>
      <c r="L7" s="174"/>
      <c r="M7" s="174" t="s">
        <v>136</v>
      </c>
    </row>
    <row r="8" spans="1:13" ht="21" customHeight="1" x14ac:dyDescent="0.3">
      <c r="A8" s="172" t="s">
        <v>104</v>
      </c>
      <c r="B8" s="173"/>
      <c r="C8" s="173"/>
      <c r="D8" s="173"/>
      <c r="E8" s="173"/>
      <c r="F8" s="173"/>
      <c r="G8" s="173"/>
      <c r="H8" s="173"/>
      <c r="I8" s="173"/>
      <c r="J8" s="173"/>
      <c r="K8" s="173"/>
      <c r="L8" s="174"/>
      <c r="M8" s="174" t="s">
        <v>185</v>
      </c>
    </row>
    <row r="9" spans="1:13" ht="21" customHeight="1" x14ac:dyDescent="0.3">
      <c r="A9" s="172" t="s">
        <v>105</v>
      </c>
      <c r="B9" s="173"/>
      <c r="C9" s="173"/>
      <c r="D9" s="173"/>
      <c r="E9" s="173"/>
      <c r="F9" s="173"/>
      <c r="G9" s="173"/>
      <c r="H9" s="173"/>
      <c r="I9" s="173"/>
      <c r="J9" s="173"/>
      <c r="K9" s="173"/>
      <c r="L9" s="174"/>
      <c r="M9" s="174" t="s">
        <v>134</v>
      </c>
    </row>
    <row r="10" spans="1:13" ht="21" customHeight="1" x14ac:dyDescent="0.3">
      <c r="A10" s="175" t="s">
        <v>106</v>
      </c>
      <c r="B10" s="173"/>
      <c r="C10" s="173"/>
      <c r="D10" s="173"/>
      <c r="E10" s="173"/>
      <c r="F10" s="173"/>
      <c r="G10" s="173"/>
      <c r="H10" s="173"/>
      <c r="I10" s="173"/>
      <c r="J10" s="173"/>
      <c r="K10" s="173"/>
      <c r="L10" s="174"/>
      <c r="M10" s="174" t="s">
        <v>135</v>
      </c>
    </row>
    <row r="11" spans="1:13" ht="21" customHeight="1" x14ac:dyDescent="0.3">
      <c r="A11" s="172" t="s">
        <v>188</v>
      </c>
      <c r="B11" s="173"/>
      <c r="C11" s="173"/>
      <c r="D11" s="173"/>
      <c r="E11" s="173"/>
      <c r="F11" s="173"/>
      <c r="G11" s="173"/>
      <c r="H11" s="173"/>
      <c r="I11" s="173"/>
      <c r="J11" s="173"/>
      <c r="K11" s="173"/>
      <c r="L11" s="174"/>
      <c r="M11" s="176"/>
    </row>
    <row r="12" spans="1:13" ht="21" customHeight="1" x14ac:dyDescent="0.3">
      <c r="A12" s="172" t="s">
        <v>107</v>
      </c>
      <c r="B12" s="173"/>
      <c r="C12" s="173"/>
      <c r="D12" s="173"/>
      <c r="E12" s="173"/>
      <c r="F12" s="173"/>
      <c r="G12" s="173"/>
      <c r="H12" s="173"/>
      <c r="I12" s="173"/>
      <c r="J12" s="173"/>
      <c r="K12" s="173"/>
      <c r="L12" s="174"/>
      <c r="M12" s="174"/>
    </row>
    <row r="13" spans="1:13" ht="21" customHeight="1" x14ac:dyDescent="0.3">
      <c r="A13" s="172" t="s">
        <v>108</v>
      </c>
      <c r="B13" s="173"/>
      <c r="C13" s="173"/>
      <c r="D13" s="173"/>
      <c r="E13" s="173"/>
      <c r="F13" s="173"/>
      <c r="G13" s="173"/>
      <c r="H13" s="173"/>
      <c r="I13" s="173"/>
      <c r="J13" s="173"/>
      <c r="K13" s="173"/>
      <c r="L13" s="174"/>
      <c r="M13" s="174"/>
    </row>
    <row r="14" spans="1:13" ht="21" customHeight="1" x14ac:dyDescent="0.3">
      <c r="A14" s="172" t="s">
        <v>146</v>
      </c>
      <c r="B14" s="173"/>
      <c r="C14" s="173"/>
      <c r="D14" s="173"/>
      <c r="E14" s="173"/>
      <c r="F14" s="173"/>
      <c r="G14" s="173"/>
      <c r="H14" s="173"/>
      <c r="I14" s="173"/>
      <c r="J14" s="173"/>
      <c r="K14" s="173"/>
      <c r="L14" s="174"/>
      <c r="M14" s="174"/>
    </row>
    <row r="15" spans="1:13" ht="21" customHeight="1" x14ac:dyDescent="0.3">
      <c r="A15" s="177" t="s">
        <v>170</v>
      </c>
      <c r="B15" s="173"/>
      <c r="C15" s="173"/>
      <c r="D15" s="173"/>
      <c r="E15" s="173"/>
      <c r="F15" s="173"/>
      <c r="G15" s="173"/>
      <c r="H15" s="173"/>
      <c r="I15" s="173"/>
      <c r="J15" s="173"/>
      <c r="K15" s="173"/>
      <c r="L15" s="174"/>
      <c r="M15" s="174"/>
    </row>
    <row r="16" spans="1:13" ht="21" customHeight="1" thickBot="1" x14ac:dyDescent="0.3">
      <c r="B16" s="118"/>
      <c r="C16" s="118"/>
      <c r="D16" s="118"/>
      <c r="E16" s="118"/>
      <c r="F16" s="118"/>
      <c r="G16" s="118"/>
      <c r="H16" s="118"/>
      <c r="I16" s="118"/>
      <c r="J16" s="118"/>
      <c r="K16" s="118"/>
      <c r="L16" s="144"/>
      <c r="M16" s="144"/>
    </row>
    <row r="17" spans="1:13" ht="21" customHeight="1" thickBot="1" x14ac:dyDescent="0.4">
      <c r="A17" s="9" t="s">
        <v>109</v>
      </c>
      <c r="B17" s="149"/>
      <c r="C17" s="149"/>
      <c r="D17" s="149"/>
      <c r="E17" s="149"/>
      <c r="F17" s="149"/>
      <c r="G17" s="149"/>
      <c r="H17" s="149"/>
      <c r="I17" s="149"/>
      <c r="J17" s="149"/>
      <c r="K17" s="149"/>
      <c r="M17" t="s">
        <v>133</v>
      </c>
    </row>
    <row r="18" spans="1:13" ht="11.25" customHeight="1" x14ac:dyDescent="0.3">
      <c r="A18" s="117"/>
      <c r="B18" s="118"/>
      <c r="C18" s="118"/>
      <c r="D18" s="118"/>
      <c r="E18" s="118"/>
      <c r="F18" s="118"/>
      <c r="G18" s="118"/>
      <c r="H18" s="118"/>
      <c r="I18" s="118"/>
      <c r="J18" s="118"/>
      <c r="K18" s="118"/>
    </row>
    <row r="19" spans="1:13" ht="21" customHeight="1" x14ac:dyDescent="0.3">
      <c r="A19" s="177" t="s">
        <v>110</v>
      </c>
      <c r="B19" s="173"/>
      <c r="C19" s="173"/>
      <c r="D19" s="173"/>
      <c r="E19" s="173"/>
      <c r="F19" s="173"/>
      <c r="G19" s="173"/>
      <c r="H19" s="173"/>
      <c r="I19" s="173"/>
      <c r="J19" s="173"/>
      <c r="K19" s="173"/>
      <c r="L19" s="176"/>
      <c r="M19" s="174" t="s">
        <v>137</v>
      </c>
    </row>
    <row r="20" spans="1:13" ht="21" customHeight="1" x14ac:dyDescent="0.3">
      <c r="A20" s="177" t="s">
        <v>111</v>
      </c>
      <c r="B20" s="173"/>
      <c r="C20" s="173"/>
      <c r="D20" s="173"/>
      <c r="E20" s="173"/>
      <c r="F20" s="173"/>
      <c r="G20" s="173"/>
      <c r="H20" s="173"/>
      <c r="I20" s="173"/>
      <c r="J20" s="173"/>
      <c r="K20" s="173"/>
      <c r="L20" s="176"/>
      <c r="M20" s="174" t="s">
        <v>136</v>
      </c>
    </row>
    <row r="21" spans="1:13" ht="21" customHeight="1" x14ac:dyDescent="0.3">
      <c r="A21" s="177" t="s">
        <v>112</v>
      </c>
      <c r="B21" s="173"/>
      <c r="C21" s="173"/>
      <c r="D21" s="173"/>
      <c r="E21" s="173"/>
      <c r="F21" s="173"/>
      <c r="G21" s="173"/>
      <c r="H21" s="173"/>
      <c r="I21" s="173"/>
      <c r="J21" s="173"/>
      <c r="K21" s="173"/>
      <c r="L21" s="176"/>
      <c r="M21" s="174" t="s">
        <v>185</v>
      </c>
    </row>
    <row r="22" spans="1:13" ht="21" customHeight="1" x14ac:dyDescent="0.3">
      <c r="A22" s="177" t="s">
        <v>113</v>
      </c>
      <c r="B22" s="173"/>
      <c r="C22" s="173"/>
      <c r="D22" s="173"/>
      <c r="E22" s="173"/>
      <c r="F22" s="173"/>
      <c r="G22" s="173"/>
      <c r="H22" s="173"/>
      <c r="I22" s="173"/>
      <c r="J22" s="173"/>
      <c r="K22" s="173"/>
      <c r="L22" s="176"/>
      <c r="M22" s="174" t="s">
        <v>134</v>
      </c>
    </row>
    <row r="23" spans="1:13" ht="21" customHeight="1" x14ac:dyDescent="0.3">
      <c r="A23" s="177" t="s">
        <v>114</v>
      </c>
      <c r="B23" s="173"/>
      <c r="C23" s="173"/>
      <c r="D23" s="173"/>
      <c r="E23" s="173"/>
      <c r="F23" s="173"/>
      <c r="G23" s="173"/>
      <c r="H23" s="173"/>
      <c r="I23" s="173"/>
      <c r="J23" s="173"/>
      <c r="K23" s="173"/>
      <c r="L23" s="176"/>
      <c r="M23" s="174" t="s">
        <v>135</v>
      </c>
    </row>
    <row r="24" spans="1:13" ht="21" customHeight="1" x14ac:dyDescent="0.3">
      <c r="A24" s="177" t="s">
        <v>115</v>
      </c>
      <c r="B24" s="173"/>
      <c r="C24" s="173"/>
      <c r="D24" s="173"/>
      <c r="E24" s="173"/>
      <c r="F24" s="173"/>
      <c r="G24" s="173"/>
      <c r="H24" s="173"/>
      <c r="I24" s="173"/>
      <c r="J24" s="173"/>
      <c r="K24" s="173"/>
      <c r="L24" s="176"/>
      <c r="M24" s="174"/>
    </row>
    <row r="25" spans="1:13" ht="21" customHeight="1" x14ac:dyDescent="0.3">
      <c r="A25" s="177" t="s">
        <v>116</v>
      </c>
      <c r="B25" s="173"/>
      <c r="C25" s="173"/>
      <c r="D25" s="173"/>
      <c r="E25" s="173"/>
      <c r="F25" s="173"/>
      <c r="G25" s="173"/>
      <c r="H25" s="173"/>
      <c r="I25" s="173"/>
      <c r="J25" s="173"/>
      <c r="K25" s="173"/>
      <c r="L25" s="176"/>
      <c r="M25" s="174"/>
    </row>
    <row r="26" spans="1:13" ht="21" customHeight="1" x14ac:dyDescent="0.3">
      <c r="A26" s="177" t="s">
        <v>117</v>
      </c>
      <c r="B26" s="173"/>
      <c r="C26" s="173"/>
      <c r="D26" s="173"/>
      <c r="E26" s="173"/>
      <c r="F26" s="173"/>
      <c r="G26" s="173"/>
      <c r="H26" s="173"/>
      <c r="I26" s="173"/>
      <c r="J26" s="173"/>
      <c r="K26" s="173"/>
      <c r="L26" s="176"/>
      <c r="M26" s="176"/>
    </row>
    <row r="27" spans="1:13" ht="21" customHeight="1" x14ac:dyDescent="0.3">
      <c r="A27" s="177" t="s">
        <v>118</v>
      </c>
      <c r="B27" s="173"/>
      <c r="C27" s="173"/>
      <c r="D27" s="173"/>
      <c r="E27" s="173"/>
      <c r="F27" s="173"/>
      <c r="G27" s="173"/>
      <c r="H27" s="173"/>
      <c r="I27" s="173"/>
      <c r="J27" s="173"/>
      <c r="K27" s="173"/>
      <c r="L27" s="176"/>
      <c r="M27" s="176"/>
    </row>
    <row r="28" spans="1:13" ht="21" customHeight="1" x14ac:dyDescent="0.3">
      <c r="A28" s="177" t="s">
        <v>119</v>
      </c>
      <c r="B28" s="173"/>
      <c r="C28" s="173"/>
      <c r="D28" s="173"/>
      <c r="E28" s="173"/>
      <c r="F28" s="173"/>
      <c r="G28" s="173"/>
      <c r="H28" s="173"/>
      <c r="I28" s="173"/>
      <c r="J28" s="173"/>
      <c r="K28" s="173"/>
      <c r="L28" s="176"/>
      <c r="M28" s="176"/>
    </row>
    <row r="29" spans="1:13" ht="21" customHeight="1" x14ac:dyDescent="0.3">
      <c r="A29" s="177" t="s">
        <v>120</v>
      </c>
      <c r="B29" s="173"/>
      <c r="C29" s="173"/>
      <c r="D29" s="173"/>
      <c r="E29" s="173"/>
      <c r="F29" s="173"/>
      <c r="G29" s="173"/>
      <c r="H29" s="173"/>
      <c r="I29" s="173"/>
      <c r="J29" s="173"/>
      <c r="K29" s="173"/>
      <c r="L29" s="176"/>
      <c r="M29" s="176"/>
    </row>
    <row r="30" spans="1:13" ht="21" customHeight="1" x14ac:dyDescent="0.3">
      <c r="A30" s="177" t="s">
        <v>121</v>
      </c>
      <c r="B30" s="173"/>
      <c r="C30" s="173"/>
      <c r="D30" s="173"/>
      <c r="E30" s="173"/>
      <c r="F30" s="173"/>
      <c r="G30" s="173"/>
      <c r="H30" s="173"/>
      <c r="I30" s="173"/>
      <c r="J30" s="173"/>
      <c r="K30" s="173"/>
      <c r="L30" s="176"/>
      <c r="M30" s="176"/>
    </row>
    <row r="31" spans="1:13" ht="21" customHeight="1" x14ac:dyDescent="0.3">
      <c r="A31" s="177" t="s">
        <v>171</v>
      </c>
      <c r="B31" s="173"/>
      <c r="C31" s="173"/>
      <c r="D31" s="173"/>
      <c r="E31" s="173"/>
      <c r="F31" s="173"/>
      <c r="G31" s="173"/>
      <c r="H31" s="173"/>
      <c r="I31" s="173"/>
      <c r="J31" s="173"/>
      <c r="K31" s="173"/>
      <c r="L31" s="176"/>
      <c r="M31" s="176"/>
    </row>
    <row r="32" spans="1:13" ht="21" customHeight="1" x14ac:dyDescent="0.3">
      <c r="A32" s="177" t="s">
        <v>170</v>
      </c>
      <c r="B32" s="173"/>
      <c r="C32" s="173"/>
      <c r="D32" s="173"/>
      <c r="E32" s="173"/>
      <c r="F32" s="173"/>
      <c r="G32" s="173"/>
      <c r="H32" s="173"/>
      <c r="I32" s="173"/>
      <c r="J32" s="173"/>
      <c r="K32" s="173"/>
      <c r="L32" s="176"/>
      <c r="M32" s="176"/>
    </row>
    <row r="33" spans="1:13" ht="21" customHeight="1" thickBot="1" x14ac:dyDescent="0.3">
      <c r="B33" s="118"/>
      <c r="C33" s="118"/>
      <c r="D33" s="118"/>
      <c r="E33" s="118"/>
      <c r="F33" s="118"/>
      <c r="G33" s="118"/>
      <c r="H33" s="118"/>
      <c r="I33" s="118"/>
      <c r="J33" s="118"/>
      <c r="K33" s="118"/>
      <c r="L33" s="146"/>
      <c r="M33" s="147"/>
    </row>
    <row r="34" spans="1:13" ht="21" customHeight="1" thickBot="1" x14ac:dyDescent="0.4">
      <c r="A34" s="9" t="s">
        <v>122</v>
      </c>
      <c r="B34" s="149"/>
      <c r="C34" s="149"/>
      <c r="D34" s="149"/>
      <c r="E34" s="149"/>
      <c r="F34" s="149"/>
      <c r="G34" s="149"/>
      <c r="H34" s="149"/>
      <c r="I34" s="149"/>
      <c r="J34" s="149"/>
      <c r="K34" s="149"/>
      <c r="M34" t="s">
        <v>133</v>
      </c>
    </row>
    <row r="35" spans="1:13" ht="9.75" customHeight="1" x14ac:dyDescent="0.3">
      <c r="A35" s="117"/>
      <c r="B35" s="118"/>
      <c r="C35" s="118"/>
      <c r="D35" s="118"/>
      <c r="E35" s="118"/>
      <c r="F35" s="118"/>
      <c r="G35" s="118"/>
      <c r="H35" s="118"/>
      <c r="I35" s="118"/>
      <c r="J35" s="118"/>
      <c r="K35" s="118"/>
    </row>
    <row r="36" spans="1:13" ht="21" customHeight="1" x14ac:dyDescent="0.3">
      <c r="A36" s="172" t="s">
        <v>44</v>
      </c>
      <c r="B36" s="173"/>
      <c r="C36" s="173"/>
      <c r="D36" s="173"/>
      <c r="E36" s="173"/>
      <c r="F36" s="173"/>
      <c r="G36" s="173"/>
      <c r="H36" s="173"/>
      <c r="I36" s="173"/>
      <c r="J36" s="173"/>
      <c r="K36" s="173"/>
      <c r="L36" s="176"/>
      <c r="M36" s="174" t="s">
        <v>137</v>
      </c>
    </row>
    <row r="37" spans="1:13" ht="21" customHeight="1" x14ac:dyDescent="0.3">
      <c r="A37" s="172" t="s">
        <v>47</v>
      </c>
      <c r="B37" s="173"/>
      <c r="C37" s="173"/>
      <c r="D37" s="173"/>
      <c r="E37" s="173"/>
      <c r="F37" s="173"/>
      <c r="G37" s="173"/>
      <c r="H37" s="173"/>
      <c r="I37" s="173"/>
      <c r="J37" s="173"/>
      <c r="K37" s="173"/>
      <c r="L37" s="176"/>
      <c r="M37" s="174" t="s">
        <v>136</v>
      </c>
    </row>
    <row r="38" spans="1:13" ht="21" customHeight="1" x14ac:dyDescent="0.3">
      <c r="A38" s="172" t="s">
        <v>40</v>
      </c>
      <c r="B38" s="173"/>
      <c r="C38" s="173"/>
      <c r="D38" s="173"/>
      <c r="E38" s="173"/>
      <c r="F38" s="173"/>
      <c r="G38" s="173"/>
      <c r="H38" s="173"/>
      <c r="I38" s="173"/>
      <c r="J38" s="173"/>
      <c r="K38" s="173"/>
      <c r="L38" s="176"/>
      <c r="M38" s="174" t="s">
        <v>185</v>
      </c>
    </row>
    <row r="39" spans="1:13" ht="21" customHeight="1" x14ac:dyDescent="0.3">
      <c r="A39" s="172" t="s">
        <v>42</v>
      </c>
      <c r="B39" s="173"/>
      <c r="C39" s="173"/>
      <c r="D39" s="173"/>
      <c r="E39" s="173"/>
      <c r="F39" s="173"/>
      <c r="G39" s="173"/>
      <c r="H39" s="173"/>
      <c r="I39" s="173"/>
      <c r="J39" s="173"/>
      <c r="K39" s="173"/>
      <c r="L39" s="176"/>
      <c r="M39" s="174" t="s">
        <v>134</v>
      </c>
    </row>
    <row r="40" spans="1:13" ht="21" customHeight="1" x14ac:dyDescent="0.3">
      <c r="A40" s="172" t="s">
        <v>41</v>
      </c>
      <c r="B40" s="173"/>
      <c r="C40" s="173"/>
      <c r="D40" s="173"/>
      <c r="E40" s="173"/>
      <c r="F40" s="173"/>
      <c r="G40" s="173"/>
      <c r="H40" s="173"/>
      <c r="I40" s="173"/>
      <c r="J40" s="173"/>
      <c r="K40" s="173"/>
      <c r="L40" s="176"/>
      <c r="M40" s="174" t="s">
        <v>135</v>
      </c>
    </row>
    <row r="41" spans="1:13" ht="21" customHeight="1" x14ac:dyDescent="0.3">
      <c r="A41" s="176" t="s">
        <v>43</v>
      </c>
      <c r="B41" s="173"/>
      <c r="C41" s="173"/>
      <c r="D41" s="173"/>
      <c r="E41" s="173"/>
      <c r="F41" s="173"/>
      <c r="G41" s="173"/>
      <c r="H41" s="173"/>
      <c r="I41" s="173"/>
      <c r="J41" s="173"/>
      <c r="K41" s="173"/>
      <c r="L41" s="176"/>
      <c r="M41" s="176"/>
    </row>
    <row r="42" spans="1:13" ht="21" customHeight="1" x14ac:dyDescent="0.3">
      <c r="A42" s="172" t="s">
        <v>45</v>
      </c>
      <c r="B42" s="173"/>
      <c r="C42" s="173"/>
      <c r="D42" s="173"/>
      <c r="E42" s="173"/>
      <c r="F42" s="173"/>
      <c r="G42" s="173"/>
      <c r="H42" s="173"/>
      <c r="I42" s="173"/>
      <c r="J42" s="173"/>
      <c r="K42" s="173"/>
      <c r="L42" s="176"/>
      <c r="M42" s="176"/>
    </row>
    <row r="43" spans="1:13" ht="21" customHeight="1" x14ac:dyDescent="0.3">
      <c r="A43" s="172" t="s">
        <v>123</v>
      </c>
      <c r="B43" s="173"/>
      <c r="C43" s="173"/>
      <c r="D43" s="173"/>
      <c r="E43" s="173"/>
      <c r="F43" s="173"/>
      <c r="G43" s="173"/>
      <c r="H43" s="173"/>
      <c r="I43" s="173"/>
      <c r="J43" s="173"/>
      <c r="K43" s="173"/>
      <c r="L43" s="176"/>
      <c r="M43" s="176"/>
    </row>
    <row r="44" spans="1:13" ht="21" customHeight="1" x14ac:dyDescent="0.3">
      <c r="A44" s="172" t="s">
        <v>48</v>
      </c>
      <c r="B44" s="173"/>
      <c r="C44" s="173"/>
      <c r="D44" s="173"/>
      <c r="E44" s="173"/>
      <c r="F44" s="173"/>
      <c r="G44" s="173"/>
      <c r="H44" s="173"/>
      <c r="I44" s="173"/>
      <c r="J44" s="173"/>
      <c r="K44" s="173"/>
      <c r="L44" s="176"/>
      <c r="M44" s="176"/>
    </row>
    <row r="45" spans="1:13" ht="21" customHeight="1" x14ac:dyDescent="0.3">
      <c r="A45" s="172" t="s">
        <v>49</v>
      </c>
      <c r="B45" s="173"/>
      <c r="C45" s="173"/>
      <c r="D45" s="173"/>
      <c r="E45" s="173"/>
      <c r="F45" s="173"/>
      <c r="G45" s="173"/>
      <c r="H45" s="173"/>
      <c r="I45" s="173"/>
      <c r="J45" s="173"/>
      <c r="K45" s="173"/>
      <c r="L45" s="176"/>
      <c r="M45" s="176"/>
    </row>
    <row r="46" spans="1:13" ht="21" customHeight="1" x14ac:dyDescent="0.3">
      <c r="A46" s="172" t="s">
        <v>50</v>
      </c>
      <c r="B46" s="173"/>
      <c r="C46" s="173"/>
      <c r="D46" s="173"/>
      <c r="E46" s="173"/>
      <c r="F46" s="173"/>
      <c r="G46" s="173"/>
      <c r="H46" s="173"/>
      <c r="I46" s="173"/>
      <c r="J46" s="173"/>
      <c r="K46" s="173"/>
      <c r="L46" s="176"/>
      <c r="M46" s="176"/>
    </row>
    <row r="47" spans="1:13" ht="21" customHeight="1" x14ac:dyDescent="0.3">
      <c r="A47" s="172" t="s">
        <v>46</v>
      </c>
      <c r="B47" s="173"/>
      <c r="C47" s="173"/>
      <c r="D47" s="173"/>
      <c r="E47" s="173"/>
      <c r="F47" s="173"/>
      <c r="G47" s="173"/>
      <c r="H47" s="173"/>
      <c r="I47" s="173"/>
      <c r="J47" s="173"/>
      <c r="K47" s="173"/>
      <c r="L47" s="176"/>
      <c r="M47" s="176"/>
    </row>
    <row r="48" spans="1:13" ht="21" customHeight="1" x14ac:dyDescent="0.3">
      <c r="A48" s="177" t="s">
        <v>170</v>
      </c>
      <c r="B48" s="173"/>
      <c r="C48" s="173"/>
      <c r="D48" s="173"/>
      <c r="E48" s="173"/>
      <c r="F48" s="173"/>
      <c r="G48" s="173"/>
      <c r="H48" s="173"/>
      <c r="I48" s="173"/>
      <c r="J48" s="173"/>
      <c r="K48" s="173"/>
      <c r="L48" s="176"/>
      <c r="M48" s="176"/>
    </row>
    <row r="49" spans="1:13" ht="21" customHeight="1" thickBot="1" x14ac:dyDescent="0.3"/>
    <row r="50" spans="1:13" ht="21" customHeight="1" thickBot="1" x14ac:dyDescent="0.4">
      <c r="A50" s="9" t="s">
        <v>124</v>
      </c>
      <c r="B50" s="149"/>
      <c r="C50" s="149"/>
      <c r="D50" s="149"/>
      <c r="E50" s="149"/>
      <c r="F50" s="149"/>
      <c r="G50" s="149"/>
      <c r="H50" s="149"/>
      <c r="I50" s="149"/>
      <c r="J50" s="149"/>
      <c r="K50" s="149"/>
      <c r="L50" s="22"/>
      <c r="M50" t="s">
        <v>133</v>
      </c>
    </row>
    <row r="51" spans="1:13" ht="11.25" customHeight="1" x14ac:dyDescent="0.3">
      <c r="A51" s="117"/>
      <c r="B51" s="118"/>
      <c r="C51" s="118"/>
      <c r="D51" s="118"/>
      <c r="E51" s="118"/>
      <c r="F51" s="118"/>
      <c r="G51" s="118"/>
      <c r="H51" s="118"/>
      <c r="I51" s="118"/>
      <c r="J51" s="118"/>
      <c r="K51" s="118"/>
    </row>
    <row r="52" spans="1:13" ht="21" customHeight="1" x14ac:dyDescent="0.3">
      <c r="A52" s="178" t="s">
        <v>125</v>
      </c>
      <c r="B52" s="179"/>
      <c r="C52" s="179"/>
      <c r="D52" s="179"/>
      <c r="E52" s="179"/>
      <c r="F52" s="179"/>
      <c r="G52" s="179"/>
      <c r="H52" s="179"/>
      <c r="I52" s="179"/>
      <c r="J52" s="179"/>
      <c r="K52" s="179"/>
      <c r="L52" s="180"/>
      <c r="M52" s="174" t="s">
        <v>138</v>
      </c>
    </row>
    <row r="53" spans="1:13" ht="21" customHeight="1" x14ac:dyDescent="0.3">
      <c r="A53" s="178" t="s">
        <v>126</v>
      </c>
      <c r="B53" s="179"/>
      <c r="C53" s="179"/>
      <c r="D53" s="179"/>
      <c r="E53" s="179"/>
      <c r="F53" s="179"/>
      <c r="G53" s="179"/>
      <c r="H53" s="179"/>
      <c r="I53" s="179"/>
      <c r="J53" s="179"/>
      <c r="K53" s="179"/>
      <c r="L53" s="180"/>
      <c r="M53" s="174" t="s">
        <v>139</v>
      </c>
    </row>
    <row r="54" spans="1:13" ht="21" customHeight="1" x14ac:dyDescent="0.3">
      <c r="A54" s="178" t="s">
        <v>127</v>
      </c>
      <c r="B54" s="179"/>
      <c r="C54" s="179"/>
      <c r="D54" s="179"/>
      <c r="E54" s="179"/>
      <c r="F54" s="179"/>
      <c r="G54" s="179"/>
      <c r="H54" s="179"/>
      <c r="I54" s="179"/>
      <c r="J54" s="179"/>
      <c r="K54" s="179"/>
      <c r="L54" s="180"/>
      <c r="M54" s="174" t="s">
        <v>186</v>
      </c>
    </row>
    <row r="55" spans="1:13" ht="21" customHeight="1" x14ac:dyDescent="0.3">
      <c r="A55" s="178" t="s">
        <v>128</v>
      </c>
      <c r="B55" s="179"/>
      <c r="C55" s="179"/>
      <c r="D55" s="179"/>
      <c r="E55" s="179"/>
      <c r="F55" s="179"/>
      <c r="G55" s="179"/>
      <c r="H55" s="179"/>
      <c r="I55" s="179"/>
      <c r="J55" s="179"/>
      <c r="K55" s="179"/>
      <c r="L55" s="180"/>
      <c r="M55" s="174" t="s">
        <v>140</v>
      </c>
    </row>
    <row r="56" spans="1:13" ht="21" customHeight="1" x14ac:dyDescent="0.3">
      <c r="A56" s="178" t="s">
        <v>129</v>
      </c>
      <c r="B56" s="179"/>
      <c r="C56" s="179"/>
      <c r="D56" s="179"/>
      <c r="E56" s="179"/>
      <c r="F56" s="179"/>
      <c r="G56" s="179"/>
      <c r="H56" s="179"/>
      <c r="I56" s="179"/>
      <c r="J56" s="179"/>
      <c r="K56" s="179"/>
      <c r="L56" s="180"/>
      <c r="M56" s="174" t="s">
        <v>141</v>
      </c>
    </row>
    <row r="57" spans="1:13" ht="21" customHeight="1" x14ac:dyDescent="0.3">
      <c r="A57" s="178" t="s">
        <v>130</v>
      </c>
      <c r="B57" s="179"/>
      <c r="C57" s="179"/>
      <c r="D57" s="179"/>
      <c r="E57" s="179"/>
      <c r="F57" s="179"/>
      <c r="G57" s="179"/>
      <c r="H57" s="179"/>
      <c r="I57" s="179"/>
      <c r="J57" s="179"/>
      <c r="K57" s="179"/>
      <c r="L57" s="180"/>
      <c r="M57" s="176"/>
    </row>
    <row r="58" spans="1:13" ht="21" customHeight="1" x14ac:dyDescent="0.3">
      <c r="A58" s="178" t="s">
        <v>131</v>
      </c>
      <c r="B58" s="179"/>
      <c r="C58" s="179"/>
      <c r="D58" s="179"/>
      <c r="E58" s="179"/>
      <c r="F58" s="179"/>
      <c r="G58" s="179"/>
      <c r="H58" s="179"/>
      <c r="I58" s="179"/>
      <c r="J58" s="179"/>
      <c r="K58" s="179"/>
      <c r="L58" s="180"/>
      <c r="M58" s="176"/>
    </row>
    <row r="59" spans="1:13" ht="21" customHeight="1" x14ac:dyDescent="0.3">
      <c r="A59" s="177" t="s">
        <v>170</v>
      </c>
      <c r="B59" s="181"/>
      <c r="C59" s="181"/>
      <c r="D59" s="181"/>
      <c r="E59" s="181"/>
      <c r="F59" s="181"/>
      <c r="G59" s="181"/>
      <c r="H59" s="181"/>
      <c r="I59" s="181"/>
      <c r="J59" s="181"/>
      <c r="K59" s="181"/>
      <c r="L59" s="176"/>
      <c r="M59" s="176"/>
    </row>
    <row r="60" spans="1:13" ht="21" customHeight="1" thickBot="1" x14ac:dyDescent="0.3">
      <c r="A60" s="145"/>
      <c r="B60" s="148"/>
      <c r="C60" s="148"/>
      <c r="D60" s="148"/>
      <c r="E60" s="148"/>
      <c r="F60" s="148"/>
      <c r="G60" s="148"/>
      <c r="H60" s="148"/>
      <c r="I60" s="148"/>
      <c r="J60" s="148"/>
      <c r="K60" s="148"/>
    </row>
    <row r="61" spans="1:13" ht="21" customHeight="1" thickBot="1" x14ac:dyDescent="0.4">
      <c r="A61" s="9" t="s">
        <v>181</v>
      </c>
      <c r="B61" s="149"/>
      <c r="C61" s="149"/>
      <c r="D61" s="149"/>
      <c r="E61" s="149"/>
      <c r="F61" s="149"/>
      <c r="G61" s="149"/>
      <c r="H61" s="149"/>
      <c r="I61" s="149"/>
      <c r="J61" s="149"/>
      <c r="K61" s="149"/>
      <c r="M61" t="s">
        <v>133</v>
      </c>
    </row>
    <row r="62" spans="1:13" ht="11.25" customHeight="1" x14ac:dyDescent="0.3">
      <c r="A62" s="117"/>
      <c r="B62" s="118"/>
      <c r="C62" s="118"/>
      <c r="D62" s="118"/>
      <c r="E62" s="118"/>
      <c r="F62" s="118"/>
      <c r="G62" s="118"/>
      <c r="H62" s="118"/>
      <c r="I62" s="118"/>
      <c r="J62" s="118"/>
      <c r="K62" s="118"/>
    </row>
    <row r="63" spans="1:13" ht="21" customHeight="1" x14ac:dyDescent="0.3">
      <c r="A63" s="177" t="s">
        <v>132</v>
      </c>
      <c r="B63" s="115"/>
      <c r="C63" s="115"/>
      <c r="D63" s="115"/>
      <c r="E63" s="115"/>
      <c r="F63" s="115"/>
      <c r="G63" s="115"/>
      <c r="H63" s="115"/>
      <c r="I63" s="115"/>
      <c r="J63" s="115"/>
      <c r="K63" s="115"/>
      <c r="M63" s="174" t="s">
        <v>142</v>
      </c>
    </row>
    <row r="64" spans="1:13" ht="21" customHeight="1" x14ac:dyDescent="0.3">
      <c r="M64" s="174" t="s">
        <v>143</v>
      </c>
    </row>
    <row r="65" spans="1:13" ht="21" customHeight="1" x14ac:dyDescent="0.3">
      <c r="M65" s="174" t="s">
        <v>187</v>
      </c>
    </row>
    <row r="66" spans="1:13" ht="21" customHeight="1" thickBot="1" x14ac:dyDescent="0.35">
      <c r="M66" s="174" t="s">
        <v>144</v>
      </c>
    </row>
    <row r="67" spans="1:13" ht="21" customHeight="1" thickBot="1" x14ac:dyDescent="0.35">
      <c r="A67" s="183" t="s">
        <v>145</v>
      </c>
      <c r="B67" s="149"/>
      <c r="C67" s="149"/>
      <c r="D67" s="149"/>
      <c r="E67" s="149"/>
      <c r="F67" s="149"/>
      <c r="G67" s="149"/>
      <c r="H67" s="149"/>
      <c r="I67" s="149"/>
      <c r="J67" s="149"/>
      <c r="K67" s="149"/>
      <c r="M67" s="182" t="s">
        <v>172</v>
      </c>
    </row>
  </sheetData>
  <phoneticPr fontId="18" type="noConversion"/>
  <pageMargins left="0.7" right="0.7" top="0.28270833333333334" bottom="0.30170454545454545" header="0.3" footer="0.30170454545454545"/>
  <pageSetup paperSize="9" scale="59" orientation="portrait" verticalDpi="599" r:id="rId1"/>
  <headerFooter alignWithMargins="0">
    <oddHeader>&amp;C&amp;18Variety Checklist&amp;R&amp;G</oddHeader>
  </headerFooter>
  <colBreaks count="1" manualBreakCount="1">
    <brk id="13" max="1048575" man="1"/>
  </colBreaks>
  <legacyDrawingHF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Tabelle2"/>
  <dimension ref="A1:G66"/>
  <sheetViews>
    <sheetView zoomScaleNormal="100" workbookViewId="0">
      <selection activeCell="E9" sqref="E9"/>
    </sheetView>
  </sheetViews>
  <sheetFormatPr defaultColWidth="9.140625" defaultRowHeight="15" x14ac:dyDescent="0.25"/>
  <cols>
    <col min="1" max="1" width="5.7109375" bestFit="1" customWidth="1"/>
    <col min="2" max="2" width="14.140625" bestFit="1" customWidth="1"/>
    <col min="3" max="5" width="13.140625" bestFit="1" customWidth="1"/>
    <col min="6" max="6" width="10.42578125" bestFit="1" customWidth="1"/>
    <col min="7" max="7" width="12.7109375" bestFit="1" customWidth="1"/>
    <col min="8" max="9" width="11.42578125" customWidth="1"/>
    <col min="10" max="10" width="13.42578125" customWidth="1"/>
    <col min="11" max="13" width="11.42578125" customWidth="1"/>
    <col min="14" max="14" width="23.7109375" bestFit="1" customWidth="1"/>
    <col min="15" max="256" width="11.42578125" customWidth="1"/>
  </cols>
  <sheetData>
    <row r="1" spans="1:7" x14ac:dyDescent="0.25">
      <c r="A1" t="s">
        <v>87</v>
      </c>
      <c r="B1" t="s">
        <v>88</v>
      </c>
      <c r="C1" t="s">
        <v>90</v>
      </c>
      <c r="D1" t="s">
        <v>92</v>
      </c>
      <c r="E1" t="s">
        <v>94</v>
      </c>
      <c r="F1" t="s">
        <v>96</v>
      </c>
      <c r="G1" t="s">
        <v>97</v>
      </c>
    </row>
    <row r="2" spans="1:7" x14ac:dyDescent="0.25">
      <c r="B2" t="s">
        <v>89</v>
      </c>
      <c r="C2" t="s">
        <v>91</v>
      </c>
      <c r="D2" s="121" t="s">
        <v>93</v>
      </c>
      <c r="E2" s="122" t="s">
        <v>95</v>
      </c>
    </row>
    <row r="3" spans="1:7" x14ac:dyDescent="0.25">
      <c r="A3" t="s">
        <v>193</v>
      </c>
      <c r="B3" s="358">
        <v>125</v>
      </c>
      <c r="C3" s="358">
        <v>100</v>
      </c>
      <c r="D3" s="358" t="s">
        <v>190</v>
      </c>
      <c r="E3" s="358" t="s">
        <v>194</v>
      </c>
      <c r="F3" s="358">
        <v>150</v>
      </c>
      <c r="G3" s="358">
        <v>200</v>
      </c>
    </row>
    <row r="4" spans="1:7" x14ac:dyDescent="0.25">
      <c r="A4" t="s">
        <v>195</v>
      </c>
      <c r="B4" s="358">
        <v>100</v>
      </c>
      <c r="C4" s="358">
        <v>80</v>
      </c>
      <c r="D4" s="358">
        <v>65</v>
      </c>
      <c r="E4" s="358">
        <v>50</v>
      </c>
      <c r="F4" s="358">
        <v>120</v>
      </c>
      <c r="G4" s="358">
        <v>160</v>
      </c>
    </row>
    <row r="5" spans="1:7" x14ac:dyDescent="0.25">
      <c r="A5" t="s">
        <v>196</v>
      </c>
      <c r="B5" s="358">
        <v>80</v>
      </c>
      <c r="C5" s="358">
        <v>64</v>
      </c>
      <c r="D5" s="358">
        <v>52</v>
      </c>
      <c r="E5" s="358">
        <v>40</v>
      </c>
      <c r="F5" s="358">
        <v>96</v>
      </c>
      <c r="G5" s="358">
        <v>128</v>
      </c>
    </row>
    <row r="6" spans="1:7" x14ac:dyDescent="0.25">
      <c r="A6" t="s">
        <v>197</v>
      </c>
      <c r="B6" s="358">
        <v>70</v>
      </c>
      <c r="C6" s="358">
        <v>56</v>
      </c>
      <c r="D6" s="358" t="s">
        <v>198</v>
      </c>
      <c r="E6" s="358">
        <v>35</v>
      </c>
      <c r="F6" s="358">
        <v>84</v>
      </c>
      <c r="G6" s="358">
        <v>112</v>
      </c>
    </row>
    <row r="7" spans="1:7" x14ac:dyDescent="0.25">
      <c r="A7" t="s">
        <v>199</v>
      </c>
      <c r="B7" s="358">
        <v>60</v>
      </c>
      <c r="C7" s="358">
        <v>48</v>
      </c>
      <c r="D7" s="358">
        <v>39</v>
      </c>
      <c r="E7" s="358">
        <v>30</v>
      </c>
      <c r="F7" s="358">
        <v>72</v>
      </c>
      <c r="G7" s="358">
        <v>96</v>
      </c>
    </row>
    <row r="8" spans="1:7" x14ac:dyDescent="0.25">
      <c r="A8" t="s">
        <v>200</v>
      </c>
      <c r="B8" s="358">
        <v>50</v>
      </c>
      <c r="C8" s="358">
        <v>40</v>
      </c>
      <c r="D8" s="358" t="s">
        <v>201</v>
      </c>
      <c r="E8" s="358">
        <v>25</v>
      </c>
      <c r="F8" s="358">
        <v>60</v>
      </c>
      <c r="G8" s="358">
        <v>80</v>
      </c>
    </row>
    <row r="9" spans="1:7" x14ac:dyDescent="0.25">
      <c r="A9" t="s">
        <v>202</v>
      </c>
      <c r="B9" s="358">
        <v>45</v>
      </c>
      <c r="C9" s="358">
        <v>36</v>
      </c>
      <c r="D9" s="358" t="s">
        <v>192</v>
      </c>
      <c r="E9" s="358" t="s">
        <v>203</v>
      </c>
      <c r="F9" s="358">
        <v>54</v>
      </c>
      <c r="G9" s="358">
        <v>72</v>
      </c>
    </row>
    <row r="10" spans="1:7" x14ac:dyDescent="0.25">
      <c r="A10" t="s">
        <v>204</v>
      </c>
      <c r="B10" s="358">
        <v>40</v>
      </c>
      <c r="C10" s="358">
        <v>32</v>
      </c>
      <c r="D10" s="358">
        <v>26</v>
      </c>
      <c r="E10" s="358">
        <v>20</v>
      </c>
      <c r="F10" s="358">
        <v>48</v>
      </c>
      <c r="G10" s="358">
        <v>64</v>
      </c>
    </row>
    <row r="11" spans="1:7" x14ac:dyDescent="0.25">
      <c r="A11" t="s">
        <v>205</v>
      </c>
      <c r="B11" s="358">
        <v>35</v>
      </c>
      <c r="C11" s="358">
        <v>28</v>
      </c>
      <c r="D11" s="358" t="s">
        <v>206</v>
      </c>
      <c r="E11" s="358" t="s">
        <v>207</v>
      </c>
      <c r="F11" s="358">
        <v>42</v>
      </c>
      <c r="G11" s="358">
        <v>56</v>
      </c>
    </row>
    <row r="12" spans="1:7" x14ac:dyDescent="0.25">
      <c r="A12" t="s">
        <v>208</v>
      </c>
      <c r="B12" s="358">
        <v>30</v>
      </c>
      <c r="C12" s="358">
        <v>24</v>
      </c>
      <c r="D12" s="358" t="s">
        <v>209</v>
      </c>
      <c r="E12" s="358"/>
      <c r="F12" s="358">
        <v>36</v>
      </c>
      <c r="G12" s="358">
        <v>48</v>
      </c>
    </row>
    <row r="13" spans="1:7" x14ac:dyDescent="0.25">
      <c r="A13" t="s">
        <v>210</v>
      </c>
      <c r="B13" s="358">
        <v>26</v>
      </c>
      <c r="C13" s="358" t="s">
        <v>211</v>
      </c>
      <c r="D13" s="358" t="s">
        <v>212</v>
      </c>
      <c r="E13" s="358"/>
      <c r="F13" s="358" t="s">
        <v>213</v>
      </c>
      <c r="G13" s="358" t="s">
        <v>214</v>
      </c>
    </row>
    <row r="14" spans="1:7" x14ac:dyDescent="0.25">
      <c r="A14" t="s">
        <v>215</v>
      </c>
      <c r="B14" s="358">
        <v>22</v>
      </c>
      <c r="C14" s="358" t="s">
        <v>216</v>
      </c>
      <c r="D14" s="358" t="s">
        <v>217</v>
      </c>
      <c r="E14" s="358"/>
      <c r="F14" s="358" t="s">
        <v>218</v>
      </c>
      <c r="G14" s="358" t="s">
        <v>219</v>
      </c>
    </row>
    <row r="15" spans="1:7" x14ac:dyDescent="0.25">
      <c r="A15" t="s">
        <v>220</v>
      </c>
      <c r="B15" s="358">
        <v>20</v>
      </c>
      <c r="C15" s="358">
        <v>16</v>
      </c>
      <c r="D15" s="358">
        <v>13</v>
      </c>
      <c r="E15" s="358"/>
      <c r="F15" s="358">
        <v>24</v>
      </c>
      <c r="G15" s="358">
        <v>32</v>
      </c>
    </row>
    <row r="16" spans="1:7" x14ac:dyDescent="0.25">
      <c r="A16" t="s">
        <v>221</v>
      </c>
      <c r="B16" s="358">
        <v>18</v>
      </c>
      <c r="C16" s="358" t="s">
        <v>222</v>
      </c>
      <c r="D16" s="358" t="s">
        <v>223</v>
      </c>
      <c r="E16" s="358"/>
      <c r="F16" s="358" t="s">
        <v>224</v>
      </c>
      <c r="G16" s="358" t="s">
        <v>225</v>
      </c>
    </row>
    <row r="17" spans="1:7" x14ac:dyDescent="0.25">
      <c r="A17" t="s">
        <v>226</v>
      </c>
      <c r="B17" s="358">
        <v>16</v>
      </c>
      <c r="C17" s="358" t="s">
        <v>227</v>
      </c>
      <c r="D17" s="358"/>
      <c r="E17" s="358"/>
      <c r="F17" s="358" t="s">
        <v>228</v>
      </c>
      <c r="G17" s="358" t="s">
        <v>229</v>
      </c>
    </row>
    <row r="18" spans="1:7" x14ac:dyDescent="0.25">
      <c r="A18" t="s">
        <v>230</v>
      </c>
      <c r="B18" s="358">
        <v>14</v>
      </c>
      <c r="C18" s="358" t="s">
        <v>231</v>
      </c>
      <c r="D18" s="358"/>
      <c r="E18" s="358"/>
      <c r="F18" s="358" t="s">
        <v>232</v>
      </c>
      <c r="G18" s="358" t="s">
        <v>233</v>
      </c>
    </row>
    <row r="19" spans="1:7" x14ac:dyDescent="0.25">
      <c r="A19" t="s">
        <v>234</v>
      </c>
      <c r="B19" s="358">
        <v>13</v>
      </c>
      <c r="C19" s="358" t="s">
        <v>235</v>
      </c>
      <c r="D19" s="358"/>
      <c r="E19" s="358"/>
      <c r="F19" s="358" t="s">
        <v>236</v>
      </c>
      <c r="G19" s="358" t="s">
        <v>211</v>
      </c>
    </row>
    <row r="20" spans="1:7" x14ac:dyDescent="0.25">
      <c r="A20" t="s">
        <v>237</v>
      </c>
      <c r="B20" s="358">
        <v>12</v>
      </c>
      <c r="C20" s="358" t="s">
        <v>238</v>
      </c>
      <c r="D20" s="358"/>
      <c r="E20" s="358"/>
      <c r="F20" s="358" t="s">
        <v>222</v>
      </c>
      <c r="G20" s="358" t="s">
        <v>228</v>
      </c>
    </row>
    <row r="21" spans="1:7" x14ac:dyDescent="0.25">
      <c r="A21" t="s">
        <v>239</v>
      </c>
      <c r="B21" s="358">
        <v>11</v>
      </c>
      <c r="C21" s="358" t="s">
        <v>240</v>
      </c>
      <c r="D21" s="358"/>
      <c r="E21" s="358"/>
      <c r="F21" s="358" t="s">
        <v>241</v>
      </c>
      <c r="G21" s="358" t="s">
        <v>216</v>
      </c>
    </row>
    <row r="22" spans="1:7" x14ac:dyDescent="0.25">
      <c r="A22" t="s">
        <v>242</v>
      </c>
      <c r="B22" s="358" t="s">
        <v>243</v>
      </c>
      <c r="C22" s="358"/>
      <c r="D22" s="358"/>
      <c r="E22" s="358"/>
      <c r="F22" s="358" t="s">
        <v>244</v>
      </c>
      <c r="G22" s="358" t="s">
        <v>232</v>
      </c>
    </row>
    <row r="23" spans="1:7" x14ac:dyDescent="0.25">
      <c r="A23" t="s">
        <v>245</v>
      </c>
      <c r="B23" s="358">
        <v>10</v>
      </c>
      <c r="C23" s="358"/>
      <c r="D23" s="358"/>
      <c r="E23" s="358"/>
      <c r="F23" s="358">
        <v>12</v>
      </c>
      <c r="G23" s="358">
        <v>16</v>
      </c>
    </row>
    <row r="24" spans="1:7" x14ac:dyDescent="0.25">
      <c r="A24" t="s">
        <v>246</v>
      </c>
      <c r="B24" s="358" t="s">
        <v>247</v>
      </c>
      <c r="C24" s="358"/>
      <c r="D24" s="358"/>
      <c r="E24" s="358"/>
      <c r="F24" s="358" t="s">
        <v>248</v>
      </c>
      <c r="G24" s="358" t="s">
        <v>249</v>
      </c>
    </row>
    <row r="25" spans="1:7" x14ac:dyDescent="0.25">
      <c r="A25" t="s">
        <v>250</v>
      </c>
      <c r="B25" s="358">
        <v>9</v>
      </c>
      <c r="C25" s="358"/>
      <c r="D25" s="358"/>
      <c r="E25" s="358"/>
      <c r="F25" s="358" t="s">
        <v>251</v>
      </c>
      <c r="G25" s="358" t="s">
        <v>222</v>
      </c>
    </row>
    <row r="26" spans="1:7" x14ac:dyDescent="0.25">
      <c r="A26" t="s">
        <v>252</v>
      </c>
      <c r="B26" s="358" t="s">
        <v>253</v>
      </c>
      <c r="C26" s="358"/>
      <c r="D26" s="358"/>
      <c r="E26" s="358"/>
      <c r="F26" s="358" t="s">
        <v>254</v>
      </c>
      <c r="G26" s="358" t="s">
        <v>255</v>
      </c>
    </row>
    <row r="27" spans="1:7" x14ac:dyDescent="0.25">
      <c r="A27" t="s">
        <v>256</v>
      </c>
      <c r="B27" s="358">
        <v>8</v>
      </c>
      <c r="C27" s="358"/>
      <c r="D27" s="358"/>
      <c r="E27" s="358"/>
      <c r="F27" s="358" t="s">
        <v>238</v>
      </c>
      <c r="G27" s="358" t="s">
        <v>227</v>
      </c>
    </row>
    <row r="28" spans="1:7" x14ac:dyDescent="0.25">
      <c r="A28" t="s">
        <v>257</v>
      </c>
      <c r="B28" s="358" t="s">
        <v>258</v>
      </c>
      <c r="C28" s="358"/>
      <c r="D28" s="358"/>
      <c r="E28" s="358"/>
      <c r="F28" s="358" t="s">
        <v>259</v>
      </c>
      <c r="G28" s="358" t="s">
        <v>260</v>
      </c>
    </row>
    <row r="29" spans="1:7" x14ac:dyDescent="0.25">
      <c r="A29" t="s">
        <v>261</v>
      </c>
      <c r="B29" s="358" t="s">
        <v>262</v>
      </c>
      <c r="C29" s="358"/>
      <c r="D29" s="358"/>
      <c r="E29" s="358"/>
      <c r="F29" s="358">
        <v>9</v>
      </c>
      <c r="G29" s="358">
        <v>12</v>
      </c>
    </row>
    <row r="30" spans="1:7" x14ac:dyDescent="0.25">
      <c r="A30" t="s">
        <v>263</v>
      </c>
      <c r="B30" s="358" t="s">
        <v>264</v>
      </c>
      <c r="C30" s="358"/>
      <c r="D30" s="358"/>
      <c r="E30" s="358"/>
      <c r="F30" s="358" t="s">
        <v>265</v>
      </c>
      <c r="G30" s="358" t="s">
        <v>266</v>
      </c>
    </row>
    <row r="31" spans="1:7" x14ac:dyDescent="0.25">
      <c r="A31" t="s">
        <v>267</v>
      </c>
      <c r="B31" s="358">
        <v>7</v>
      </c>
      <c r="C31" s="358"/>
      <c r="D31" s="358"/>
      <c r="E31" s="358"/>
      <c r="F31" s="358" t="s">
        <v>268</v>
      </c>
      <c r="G31" s="358" t="s">
        <v>231</v>
      </c>
    </row>
    <row r="32" spans="1:7" x14ac:dyDescent="0.25">
      <c r="A32" t="s">
        <v>269</v>
      </c>
      <c r="B32" s="358" t="s">
        <v>270</v>
      </c>
      <c r="C32" s="358"/>
      <c r="D32" s="358"/>
      <c r="E32" s="358"/>
      <c r="F32" s="358" t="s">
        <v>271</v>
      </c>
      <c r="G32" s="358" t="s">
        <v>251</v>
      </c>
    </row>
    <row r="33" spans="1:7" x14ac:dyDescent="0.25">
      <c r="A33" t="s">
        <v>272</v>
      </c>
      <c r="B33" s="358" t="s">
        <v>273</v>
      </c>
      <c r="C33" s="358"/>
      <c r="D33" s="358"/>
      <c r="E33" s="358"/>
      <c r="F33" s="358" t="s">
        <v>274</v>
      </c>
      <c r="G33" s="358" t="s">
        <v>235</v>
      </c>
    </row>
    <row r="34" spans="1:7" x14ac:dyDescent="0.25">
      <c r="A34" t="s">
        <v>275</v>
      </c>
      <c r="B34" s="358" t="s">
        <v>276</v>
      </c>
      <c r="C34" s="358"/>
      <c r="D34" s="358"/>
      <c r="E34" s="358"/>
      <c r="F34" s="358" t="s">
        <v>262</v>
      </c>
      <c r="G34" s="358">
        <v>10</v>
      </c>
    </row>
    <row r="35" spans="1:7" x14ac:dyDescent="0.25">
      <c r="A35" t="s">
        <v>277</v>
      </c>
      <c r="B35" s="358">
        <v>6</v>
      </c>
      <c r="C35" s="358"/>
      <c r="D35" s="358"/>
      <c r="E35" s="358"/>
      <c r="F35" s="358" t="s">
        <v>278</v>
      </c>
      <c r="G35" s="358" t="s">
        <v>238</v>
      </c>
    </row>
    <row r="36" spans="1:7" x14ac:dyDescent="0.25">
      <c r="A36" t="s">
        <v>279</v>
      </c>
      <c r="B36" s="358" t="s">
        <v>280</v>
      </c>
      <c r="C36" s="358"/>
      <c r="D36" s="358"/>
      <c r="E36" s="358"/>
      <c r="F36" s="358" t="s">
        <v>281</v>
      </c>
      <c r="G36" s="358" t="s">
        <v>282</v>
      </c>
    </row>
    <row r="37" spans="1:7" x14ac:dyDescent="0.25">
      <c r="A37" t="s">
        <v>283</v>
      </c>
      <c r="B37" s="358" t="s">
        <v>284</v>
      </c>
      <c r="C37" s="358"/>
      <c r="D37" s="358"/>
      <c r="E37" s="358"/>
      <c r="F37" s="358" t="s">
        <v>285</v>
      </c>
      <c r="G37" s="358" t="s">
        <v>240</v>
      </c>
    </row>
    <row r="38" spans="1:7" x14ac:dyDescent="0.25">
      <c r="A38" t="s">
        <v>286</v>
      </c>
      <c r="B38" s="358" t="s">
        <v>287</v>
      </c>
      <c r="C38" s="358"/>
      <c r="D38" s="358"/>
      <c r="E38" s="358"/>
      <c r="F38" s="358" t="s">
        <v>288</v>
      </c>
      <c r="G38" s="358" t="s">
        <v>268</v>
      </c>
    </row>
    <row r="39" spans="1:7" x14ac:dyDescent="0.25">
      <c r="A39" t="s">
        <v>289</v>
      </c>
      <c r="B39" s="358">
        <v>5</v>
      </c>
      <c r="C39" s="358"/>
      <c r="D39" s="358"/>
      <c r="E39" s="358"/>
      <c r="F39" s="358">
        <v>6</v>
      </c>
      <c r="G39" s="358">
        <v>8</v>
      </c>
    </row>
    <row r="40" spans="1:7" x14ac:dyDescent="0.25">
      <c r="A40" t="s">
        <v>290</v>
      </c>
      <c r="B40" s="358" t="s">
        <v>291</v>
      </c>
      <c r="C40" s="358"/>
      <c r="D40" s="358"/>
      <c r="E40" s="358"/>
      <c r="F40" s="358" t="s">
        <v>292</v>
      </c>
      <c r="G40" s="358" t="s">
        <v>293</v>
      </c>
    </row>
    <row r="41" spans="1:7" x14ac:dyDescent="0.25">
      <c r="A41" t="s">
        <v>294</v>
      </c>
      <c r="B41" s="358" t="s">
        <v>295</v>
      </c>
      <c r="C41" s="358"/>
      <c r="D41" s="358"/>
      <c r="E41" s="358"/>
      <c r="F41" s="358" t="s">
        <v>296</v>
      </c>
      <c r="G41" s="358" t="s">
        <v>278</v>
      </c>
    </row>
    <row r="42" spans="1:7" x14ac:dyDescent="0.25">
      <c r="A42" t="s">
        <v>297</v>
      </c>
      <c r="B42" s="358" t="s">
        <v>298</v>
      </c>
      <c r="C42" s="358"/>
      <c r="D42" s="358"/>
      <c r="E42" s="358"/>
      <c r="F42" s="358" t="s">
        <v>299</v>
      </c>
      <c r="G42" s="358" t="s">
        <v>300</v>
      </c>
    </row>
    <row r="43" spans="1:7" x14ac:dyDescent="0.25">
      <c r="A43" t="s">
        <v>301</v>
      </c>
      <c r="B43" s="358">
        <v>4</v>
      </c>
      <c r="C43" s="358"/>
      <c r="D43" s="358"/>
      <c r="E43" s="358"/>
      <c r="F43" s="358" t="s">
        <v>302</v>
      </c>
      <c r="G43" s="358" t="s">
        <v>303</v>
      </c>
    </row>
    <row r="44" spans="1:7" x14ac:dyDescent="0.25">
      <c r="A44" t="s">
        <v>304</v>
      </c>
      <c r="B44" s="358" t="s">
        <v>305</v>
      </c>
      <c r="C44" s="358"/>
      <c r="D44" s="358"/>
      <c r="E44" s="358"/>
      <c r="F44" s="358" t="s">
        <v>295</v>
      </c>
      <c r="G44" s="358">
        <v>6</v>
      </c>
    </row>
    <row r="45" spans="1:7" x14ac:dyDescent="0.25">
      <c r="A45" t="s">
        <v>306</v>
      </c>
      <c r="B45" s="358" t="s">
        <v>307</v>
      </c>
      <c r="C45" s="358"/>
      <c r="D45" s="358"/>
      <c r="E45" s="358"/>
      <c r="F45" s="358" t="s">
        <v>308</v>
      </c>
      <c r="G45" s="358" t="s">
        <v>309</v>
      </c>
    </row>
    <row r="46" spans="1:7" x14ac:dyDescent="0.25">
      <c r="A46" t="s">
        <v>310</v>
      </c>
      <c r="B46" s="358" t="s">
        <v>311</v>
      </c>
      <c r="C46" s="358"/>
      <c r="D46" s="358"/>
      <c r="E46" s="358"/>
      <c r="F46" s="358" t="s">
        <v>312</v>
      </c>
      <c r="G46" s="358" t="s">
        <v>313</v>
      </c>
    </row>
    <row r="47" spans="1:7" x14ac:dyDescent="0.25">
      <c r="A47" t="s">
        <v>314</v>
      </c>
      <c r="B47" s="358">
        <v>3</v>
      </c>
      <c r="C47" s="358"/>
      <c r="D47" s="358"/>
      <c r="E47" s="358"/>
      <c r="F47" s="358" t="s">
        <v>315</v>
      </c>
      <c r="G47" s="358" t="s">
        <v>302</v>
      </c>
    </row>
    <row r="48" spans="1:7" x14ac:dyDescent="0.25">
      <c r="A48" t="s">
        <v>316</v>
      </c>
      <c r="B48" s="358" t="s">
        <v>317</v>
      </c>
      <c r="C48" s="358"/>
      <c r="D48" s="358"/>
      <c r="E48" s="358"/>
      <c r="F48" s="358" t="s">
        <v>318</v>
      </c>
      <c r="G48" s="358" t="s">
        <v>319</v>
      </c>
    </row>
    <row r="49" spans="1:7" x14ac:dyDescent="0.25">
      <c r="A49" t="s">
        <v>320</v>
      </c>
      <c r="B49" s="358" t="s">
        <v>321</v>
      </c>
      <c r="C49" s="358"/>
      <c r="D49" s="358"/>
      <c r="E49" s="358"/>
      <c r="F49" s="358">
        <v>3</v>
      </c>
      <c r="G49" s="358">
        <v>4</v>
      </c>
    </row>
    <row r="50" spans="1:7" x14ac:dyDescent="0.25">
      <c r="A50" t="s">
        <v>322</v>
      </c>
      <c r="B50" s="358" t="s">
        <v>323</v>
      </c>
      <c r="C50" s="358"/>
      <c r="D50" s="358"/>
      <c r="E50" s="358"/>
      <c r="F50" s="358" t="s">
        <v>324</v>
      </c>
      <c r="G50" s="358" t="s">
        <v>315</v>
      </c>
    </row>
    <row r="51" spans="1:7" x14ac:dyDescent="0.25">
      <c r="A51" t="s">
        <v>325</v>
      </c>
      <c r="B51" s="358">
        <v>2</v>
      </c>
      <c r="C51" s="358"/>
      <c r="D51" s="358"/>
      <c r="E51" s="358"/>
      <c r="F51" s="358" t="s">
        <v>326</v>
      </c>
      <c r="G51" s="358" t="s">
        <v>327</v>
      </c>
    </row>
    <row r="52" spans="1:7" x14ac:dyDescent="0.25">
      <c r="A52" t="s">
        <v>328</v>
      </c>
      <c r="B52" s="358" t="s">
        <v>329</v>
      </c>
      <c r="C52" s="358"/>
      <c r="D52" s="358"/>
      <c r="E52" s="358"/>
      <c r="F52" s="358" t="s">
        <v>330</v>
      </c>
      <c r="G52" s="358" t="s">
        <v>331</v>
      </c>
    </row>
    <row r="53" spans="1:7" x14ac:dyDescent="0.25">
      <c r="A53" t="s">
        <v>332</v>
      </c>
      <c r="B53" s="358" t="s">
        <v>333</v>
      </c>
      <c r="C53" s="358"/>
      <c r="D53" s="358"/>
      <c r="E53" s="358"/>
      <c r="F53" s="358" t="s">
        <v>334</v>
      </c>
      <c r="G53" s="358" t="s">
        <v>335</v>
      </c>
    </row>
    <row r="54" spans="1:7" x14ac:dyDescent="0.25">
      <c r="A54" t="s">
        <v>336</v>
      </c>
      <c r="B54" s="358" t="s">
        <v>337</v>
      </c>
      <c r="C54" s="358"/>
      <c r="D54" s="358"/>
      <c r="E54" s="358"/>
      <c r="F54" s="358" t="s">
        <v>338</v>
      </c>
      <c r="G54" s="358" t="s">
        <v>339</v>
      </c>
    </row>
    <row r="55" spans="1:7" x14ac:dyDescent="0.25">
      <c r="A55" t="s">
        <v>340</v>
      </c>
      <c r="B55" s="358" t="s">
        <v>341</v>
      </c>
      <c r="C55" s="358"/>
      <c r="D55" s="358"/>
      <c r="E55" s="358"/>
      <c r="F55" s="358" t="s">
        <v>342</v>
      </c>
      <c r="G55" s="358" t="s">
        <v>343</v>
      </c>
    </row>
    <row r="56" spans="1:7" x14ac:dyDescent="0.25">
      <c r="A56" t="s">
        <v>344</v>
      </c>
      <c r="B56" s="358" t="s">
        <v>345</v>
      </c>
      <c r="C56" s="358"/>
      <c r="D56" s="358"/>
      <c r="E56" s="358"/>
      <c r="F56" s="358" t="s">
        <v>333</v>
      </c>
      <c r="G56" s="358" t="s">
        <v>326</v>
      </c>
    </row>
    <row r="57" spans="1:7" x14ac:dyDescent="0.25">
      <c r="A57" t="s">
        <v>346</v>
      </c>
      <c r="B57" s="358" t="s">
        <v>347</v>
      </c>
      <c r="C57" s="358"/>
      <c r="D57" s="358"/>
      <c r="E57" s="358"/>
      <c r="F57" s="358" t="s">
        <v>348</v>
      </c>
      <c r="G57" s="358" t="s">
        <v>349</v>
      </c>
    </row>
    <row r="58" spans="1:7" x14ac:dyDescent="0.25">
      <c r="A58" t="s">
        <v>350</v>
      </c>
      <c r="B58" s="358" t="s">
        <v>351</v>
      </c>
      <c r="C58" s="358"/>
      <c r="D58" s="358"/>
      <c r="E58" s="358"/>
      <c r="F58" s="358" t="s">
        <v>352</v>
      </c>
      <c r="G58" s="358" t="s">
        <v>353</v>
      </c>
    </row>
    <row r="59" spans="1:7" x14ac:dyDescent="0.25">
      <c r="A59" t="s">
        <v>354</v>
      </c>
      <c r="B59" s="358" t="s">
        <v>355</v>
      </c>
      <c r="C59" s="358"/>
      <c r="D59" s="358"/>
      <c r="E59" s="358"/>
      <c r="F59" s="358" t="s">
        <v>356</v>
      </c>
      <c r="G59" s="358" t="s">
        <v>342</v>
      </c>
    </row>
    <row r="60" spans="1:7" x14ac:dyDescent="0.25">
      <c r="A60" t="s">
        <v>357</v>
      </c>
      <c r="B60" s="358" t="s">
        <v>358</v>
      </c>
      <c r="C60" s="358"/>
      <c r="D60" s="358"/>
      <c r="E60" s="358"/>
      <c r="F60" s="358" t="s">
        <v>359</v>
      </c>
      <c r="G60" s="358" t="s">
        <v>360</v>
      </c>
    </row>
    <row r="61" spans="1:7" x14ac:dyDescent="0.25">
      <c r="A61" t="s">
        <v>361</v>
      </c>
      <c r="B61" s="358">
        <v>1</v>
      </c>
      <c r="C61" s="358"/>
      <c r="D61" s="358"/>
      <c r="E61" s="358"/>
      <c r="F61" s="358" t="s">
        <v>355</v>
      </c>
      <c r="G61" s="358" t="s">
        <v>341</v>
      </c>
    </row>
    <row r="62" spans="1:7" x14ac:dyDescent="0.25">
      <c r="A62" t="s">
        <v>362</v>
      </c>
      <c r="B62" s="358" t="s">
        <v>363</v>
      </c>
      <c r="C62" s="358"/>
      <c r="D62" s="358"/>
      <c r="E62" s="358"/>
      <c r="F62" s="358" t="s">
        <v>364</v>
      </c>
      <c r="G62" s="358" t="s">
        <v>365</v>
      </c>
    </row>
    <row r="63" spans="1:7" x14ac:dyDescent="0.25">
      <c r="A63" t="s">
        <v>366</v>
      </c>
      <c r="B63" s="358" t="s">
        <v>367</v>
      </c>
      <c r="C63" s="358"/>
      <c r="D63" s="358"/>
      <c r="E63" s="358"/>
      <c r="F63" s="358" t="s">
        <v>368</v>
      </c>
      <c r="G63" s="358" t="s">
        <v>369</v>
      </c>
    </row>
    <row r="64" spans="1:7" x14ac:dyDescent="0.25">
      <c r="A64" t="s">
        <v>370</v>
      </c>
      <c r="B64" s="358" t="s">
        <v>371</v>
      </c>
      <c r="C64" s="358"/>
      <c r="D64" s="358"/>
      <c r="E64" s="358"/>
      <c r="F64" s="358" t="s">
        <v>372</v>
      </c>
      <c r="G64" s="358" t="s">
        <v>373</v>
      </c>
    </row>
    <row r="65" spans="1:7" x14ac:dyDescent="0.25">
      <c r="A65" t="s">
        <v>374</v>
      </c>
      <c r="B65" s="358" t="s">
        <v>375</v>
      </c>
      <c r="C65" s="358"/>
      <c r="D65" s="358"/>
      <c r="E65" s="358"/>
      <c r="F65" s="358" t="s">
        <v>376</v>
      </c>
      <c r="G65" s="358" t="s">
        <v>377</v>
      </c>
    </row>
    <row r="66" spans="1:7" x14ac:dyDescent="0.25">
      <c r="A66" t="s">
        <v>378</v>
      </c>
      <c r="B66" s="358" t="s">
        <v>379</v>
      </c>
      <c r="C66" s="358"/>
      <c r="D66" s="358"/>
      <c r="E66" s="358"/>
      <c r="F66" s="358" t="s">
        <v>380</v>
      </c>
      <c r="G66" s="358">
        <v>1</v>
      </c>
    </row>
  </sheetData>
  <phoneticPr fontId="18" type="noConversion"/>
  <pageMargins left="0.7" right="0.7" top="0.78740157499999996" bottom="0.78740157499999996"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Tabelle3"/>
  <dimension ref="A1:V439"/>
  <sheetViews>
    <sheetView view="pageLayout" zoomScaleNormal="100" workbookViewId="0">
      <selection activeCell="F2" sqref="F2"/>
    </sheetView>
  </sheetViews>
  <sheetFormatPr defaultColWidth="9.140625" defaultRowHeight="15" x14ac:dyDescent="0.25"/>
  <cols>
    <col min="1" max="1" width="4.140625" customWidth="1"/>
    <col min="2" max="4" width="16.42578125" customWidth="1"/>
    <col min="5" max="5" width="15.7109375" customWidth="1"/>
    <col min="6" max="256" width="11.42578125" customWidth="1"/>
  </cols>
  <sheetData>
    <row r="1" spans="1:22" s="5" customFormat="1" ht="20.100000000000001" customHeight="1" thickBot="1" x14ac:dyDescent="0.3">
      <c r="A1" s="46" t="s">
        <v>9</v>
      </c>
      <c r="B1" s="44" t="s">
        <v>10</v>
      </c>
      <c r="C1" s="44" t="s">
        <v>11</v>
      </c>
      <c r="D1" s="45" t="s">
        <v>15</v>
      </c>
      <c r="E1" s="45" t="s">
        <v>86</v>
      </c>
      <c r="F1" s="48"/>
      <c r="G1" s="48"/>
      <c r="H1" s="13"/>
      <c r="I1" s="13"/>
      <c r="J1" s="13"/>
      <c r="K1" s="13"/>
      <c r="L1" s="13"/>
      <c r="M1" s="13"/>
      <c r="N1" s="13"/>
      <c r="O1" s="13"/>
      <c r="P1" s="13"/>
      <c r="Q1" s="13"/>
      <c r="R1" s="13"/>
      <c r="S1" s="13"/>
      <c r="T1" s="13"/>
      <c r="U1" s="13"/>
      <c r="V1" s="13"/>
    </row>
    <row r="2" spans="1:22" s="5" customFormat="1" ht="20.100000000000001" customHeight="1" x14ac:dyDescent="0.25">
      <c r="A2" s="33">
        <v>1</v>
      </c>
      <c r="B2" s="215">
        <f>Starterlist!B13</f>
        <v>0</v>
      </c>
      <c r="C2" s="215">
        <f>Starterlist!C13</f>
        <v>0</v>
      </c>
      <c r="D2" s="215">
        <f>Starterlist!D13</f>
        <v>0</v>
      </c>
      <c r="E2" s="79" t="e">
        <f>SUM((VLOOKUP(B2, Rankings!C:E,3,FALSE)),(VLOOKUP(C2, Rankings!C:E,3,FALSE)),(VLOOKUP(D2, Rankings!C:E,3,FALSE)))</f>
        <v>#N/A</v>
      </c>
      <c r="F2" s="13"/>
      <c r="G2" s="13"/>
      <c r="H2" s="13"/>
      <c r="I2"/>
      <c r="J2" s="13"/>
      <c r="K2" s="13"/>
      <c r="L2" s="13"/>
      <c r="M2" s="13"/>
      <c r="N2" s="13"/>
      <c r="O2" s="13"/>
      <c r="P2" s="13"/>
      <c r="Q2" s="13"/>
      <c r="R2" s="13"/>
      <c r="S2" s="13"/>
      <c r="T2" s="13"/>
      <c r="U2" s="13"/>
      <c r="V2" s="13"/>
    </row>
    <row r="3" spans="1:22" s="5" customFormat="1" ht="20.100000000000001" customHeight="1" x14ac:dyDescent="0.25">
      <c r="A3" s="34">
        <v>2</v>
      </c>
      <c r="B3" s="80"/>
      <c r="C3" s="80"/>
      <c r="D3" s="79"/>
      <c r="E3" s="79" t="e">
        <f>SUM((VLOOKUP(B3, Rankings!C:E,3,FALSE)),(VLOOKUP(C3, Rankings!C:E,3,FALSE)),(VLOOKUP(D3, Rankings!C:E,3,FALSE)))</f>
        <v>#N/A</v>
      </c>
      <c r="F3" s="140"/>
      <c r="G3" s="140"/>
      <c r="H3" s="13"/>
      <c r="I3" s="13"/>
      <c r="J3" s="13"/>
      <c r="K3" s="13"/>
      <c r="L3" s="13"/>
      <c r="M3"/>
      <c r="N3"/>
      <c r="O3" s="141"/>
      <c r="P3" s="13"/>
      <c r="Q3" s="13"/>
      <c r="R3" s="13"/>
      <c r="S3" s="13"/>
      <c r="T3" s="13"/>
      <c r="U3" s="13"/>
      <c r="V3" s="13"/>
    </row>
    <row r="4" spans="1:22" s="5" customFormat="1" ht="20.100000000000001" customHeight="1" x14ac:dyDescent="0.25">
      <c r="A4" s="34">
        <v>3</v>
      </c>
      <c r="B4" s="80"/>
      <c r="C4" s="80"/>
      <c r="D4" s="79"/>
      <c r="E4" s="79" t="e">
        <f>SUM((VLOOKUP(B4, Rankings!C:E,3,FALSE)),(VLOOKUP(C4, Rankings!C:E,3,FALSE)),(VLOOKUP(D4, Rankings!C:E,3,FALSE)))</f>
        <v>#N/A</v>
      </c>
      <c r="F4" s="140"/>
      <c r="G4" s="140"/>
      <c r="H4" s="140"/>
      <c r="I4" s="13"/>
      <c r="J4" s="13"/>
      <c r="K4" s="13"/>
      <c r="L4" s="13"/>
      <c r="M4"/>
      <c r="N4"/>
      <c r="O4" s="141"/>
      <c r="P4" s="13"/>
      <c r="Q4" s="13"/>
      <c r="R4" s="13"/>
      <c r="S4" s="13"/>
      <c r="T4" s="13"/>
      <c r="U4" s="13"/>
      <c r="V4" s="13"/>
    </row>
    <row r="5" spans="1:22" s="5" customFormat="1" ht="20.100000000000001" customHeight="1" x14ac:dyDescent="0.25">
      <c r="A5" s="34">
        <v>4</v>
      </c>
      <c r="B5" s="80"/>
      <c r="C5" s="80"/>
      <c r="D5" s="79"/>
      <c r="E5" s="79" t="e">
        <f>SUM((VLOOKUP(B5, Rankings!C:E,3,FALSE)),(VLOOKUP(C5, Rankings!C:E,3,FALSE)),(VLOOKUP(D5, Rankings!C:E,3,FALSE)))</f>
        <v>#N/A</v>
      </c>
      <c r="F5" s="13"/>
      <c r="G5" s="13"/>
      <c r="H5" s="13"/>
      <c r="I5" s="13"/>
      <c r="J5" s="13"/>
      <c r="K5" s="13"/>
      <c r="L5" s="13"/>
      <c r="M5"/>
      <c r="N5"/>
      <c r="O5" s="141"/>
      <c r="P5" s="13"/>
      <c r="Q5" s="13"/>
      <c r="R5" s="13"/>
      <c r="S5" s="13"/>
      <c r="T5" s="13"/>
      <c r="U5" s="13"/>
      <c r="V5" s="13"/>
    </row>
    <row r="6" spans="1:22" s="5" customFormat="1" ht="20.100000000000001" customHeight="1" x14ac:dyDescent="0.25">
      <c r="A6" s="34">
        <v>5</v>
      </c>
      <c r="B6" s="80"/>
      <c r="C6" s="80"/>
      <c r="D6" s="79"/>
      <c r="E6" s="79" t="e">
        <f>SUM((VLOOKUP(B6, Rankings!C:E,3,FALSE)),(VLOOKUP(C6, Rankings!C:E,3,FALSE)),(VLOOKUP(D6, Rankings!C:E,3,FALSE)))</f>
        <v>#N/A</v>
      </c>
      <c r="F6" s="13"/>
      <c r="G6" s="13"/>
      <c r="H6" s="13"/>
      <c r="I6" s="13"/>
      <c r="J6" s="13"/>
      <c r="K6" s="13"/>
      <c r="L6" s="13"/>
      <c r="M6"/>
      <c r="N6"/>
      <c r="O6" s="141"/>
      <c r="P6" s="13"/>
      <c r="Q6" s="13"/>
      <c r="R6" s="13"/>
      <c r="S6" s="13"/>
      <c r="T6" s="13"/>
      <c r="U6" s="13"/>
      <c r="V6" s="13"/>
    </row>
    <row r="7" spans="1:22" s="5" customFormat="1" ht="20.100000000000001" customHeight="1" x14ac:dyDescent="0.25">
      <c r="A7" s="34">
        <v>6</v>
      </c>
      <c r="B7" s="80"/>
      <c r="C7" s="80"/>
      <c r="D7" s="79"/>
      <c r="E7" s="79" t="e">
        <f>SUM((VLOOKUP(B7, Rankings!C:E,3,FALSE)),(VLOOKUP(C7, Rankings!C:E,3,FALSE)),(VLOOKUP(D7, Rankings!C:E,3,FALSE)))</f>
        <v>#N/A</v>
      </c>
      <c r="F7" s="13"/>
      <c r="G7" s="13"/>
      <c r="H7" s="13"/>
      <c r="I7" s="13"/>
      <c r="J7" s="13"/>
      <c r="K7" s="13"/>
      <c r="L7" s="13"/>
      <c r="M7"/>
      <c r="N7"/>
      <c r="O7" s="141"/>
      <c r="P7" s="13"/>
      <c r="Q7" s="13"/>
      <c r="R7" s="13"/>
      <c r="S7" s="13"/>
      <c r="T7" s="13"/>
      <c r="U7" s="13"/>
      <c r="V7" s="13"/>
    </row>
    <row r="8" spans="1:22" s="5" customFormat="1" ht="20.100000000000001" customHeight="1" x14ac:dyDescent="0.25">
      <c r="A8" s="34">
        <v>7</v>
      </c>
      <c r="B8" s="80"/>
      <c r="C8" s="80"/>
      <c r="D8" s="79"/>
      <c r="E8" s="79" t="e">
        <f>SUM((VLOOKUP(B8, Rankings!C:E,3,FALSE)),(VLOOKUP(C8, Rankings!C:E,3,FALSE)),(VLOOKUP(D8, Rankings!C:E,3,FALSE)))</f>
        <v>#N/A</v>
      </c>
      <c r="F8" s="13"/>
      <c r="G8" s="13"/>
      <c r="H8" s="13"/>
      <c r="I8" s="13"/>
      <c r="J8" s="13"/>
      <c r="K8" s="13"/>
      <c r="L8" s="13"/>
      <c r="M8"/>
      <c r="N8"/>
      <c r="O8" s="141"/>
      <c r="P8" s="13"/>
      <c r="Q8" s="13"/>
      <c r="R8" s="13"/>
      <c r="S8" s="13"/>
      <c r="T8" s="13"/>
      <c r="U8" s="13"/>
      <c r="V8" s="13"/>
    </row>
    <row r="9" spans="1:22" s="5" customFormat="1" ht="20.100000000000001" customHeight="1" x14ac:dyDescent="0.25">
      <c r="A9" s="34">
        <v>8</v>
      </c>
      <c r="B9" s="80"/>
      <c r="C9" s="80"/>
      <c r="D9" s="79"/>
      <c r="E9" s="79" t="e">
        <f>SUM((VLOOKUP(B9, Rankings!C:E,3,FALSE)),(VLOOKUP(C9, Rankings!C:E,3,FALSE)),(VLOOKUP(D9, Rankings!C:E,3,FALSE)))</f>
        <v>#N/A</v>
      </c>
      <c r="F9" s="13"/>
      <c r="G9" s="13"/>
      <c r="H9" s="13"/>
      <c r="I9" s="13"/>
      <c r="J9" s="13"/>
      <c r="K9" s="13"/>
      <c r="L9" s="13"/>
      <c r="M9"/>
      <c r="N9"/>
      <c r="O9" s="141"/>
      <c r="P9" s="13"/>
      <c r="Q9" s="13"/>
      <c r="R9" s="13"/>
      <c r="S9" s="13"/>
      <c r="T9" s="13"/>
      <c r="U9" s="13"/>
      <c r="V9" s="13"/>
    </row>
    <row r="10" spans="1:22" s="5" customFormat="1" ht="19.5" customHeight="1" x14ac:dyDescent="0.25">
      <c r="A10" s="34">
        <v>9</v>
      </c>
      <c r="B10" s="80"/>
      <c r="C10" s="80"/>
      <c r="D10" s="79"/>
      <c r="E10" s="79" t="e">
        <f>SUM((VLOOKUP(B10, Rankings!C:E,3,FALSE)),(VLOOKUP(C10, Rankings!C:E,3,FALSE)),(VLOOKUP(D10, Rankings!C:E,3,FALSE)))</f>
        <v>#N/A</v>
      </c>
      <c r="F10" s="13"/>
      <c r="G10" s="13"/>
      <c r="H10" s="13"/>
      <c r="I10" s="13"/>
      <c r="J10" s="13"/>
      <c r="K10" s="13"/>
      <c r="L10" s="13"/>
      <c r="M10"/>
      <c r="N10"/>
      <c r="O10" s="141"/>
      <c r="P10" s="13"/>
      <c r="Q10" s="13"/>
      <c r="R10" s="13"/>
      <c r="S10" s="13"/>
      <c r="T10" s="13"/>
      <c r="U10" s="13"/>
      <c r="V10" s="13"/>
    </row>
    <row r="11" spans="1:22" s="5" customFormat="1" ht="19.5" customHeight="1" x14ac:dyDescent="0.25">
      <c r="A11" s="34">
        <v>10</v>
      </c>
      <c r="B11" s="80"/>
      <c r="C11" s="80"/>
      <c r="D11" s="79"/>
      <c r="E11" s="79" t="e">
        <f>SUM((VLOOKUP(B11, Rankings!C:E,3,FALSE)),(VLOOKUP(C11, Rankings!C:E,3,FALSE)),(VLOOKUP(D11, Rankings!C:E,3,FALSE)))</f>
        <v>#N/A</v>
      </c>
      <c r="F11" s="13"/>
      <c r="G11" s="13"/>
      <c r="H11" s="13"/>
      <c r="I11" s="13"/>
      <c r="J11" s="13"/>
      <c r="K11" s="13"/>
      <c r="L11" s="13"/>
      <c r="M11"/>
      <c r="N11"/>
      <c r="O11" s="141"/>
      <c r="P11" s="13"/>
      <c r="Q11" s="13"/>
      <c r="R11" s="13"/>
      <c r="S11" s="13"/>
      <c r="T11" s="13"/>
      <c r="U11" s="13"/>
      <c r="V11" s="13"/>
    </row>
    <row r="12" spans="1:22" s="5" customFormat="1" ht="16.5" hidden="1" customHeight="1" x14ac:dyDescent="0.25">
      <c r="A12" s="13"/>
      <c r="B12" t="e">
        <f>Competitors!#REF!</f>
        <v>#REF!</v>
      </c>
      <c r="C12" t="e">
        <f>Competitors!#REF!</f>
        <v>#REF!</v>
      </c>
      <c r="D12" s="13" t="e">
        <f>Competitors!#REF!</f>
        <v>#REF!</v>
      </c>
      <c r="E12" s="13" t="e">
        <f>SUM((VLOOKUP(B12, Rankings!C:E,3,FALSE)),(VLOOKUP(C12, Rankings!C:E,3,FALSE)),(VLOOKUP(D12, Rankings!C:E,3,FALSE)))</f>
        <v>#REF!</v>
      </c>
      <c r="F12" s="13"/>
      <c r="G12" s="13"/>
      <c r="H12" s="13"/>
      <c r="I12" s="13"/>
      <c r="J12" s="13"/>
      <c r="K12" s="13"/>
      <c r="L12" s="13"/>
      <c r="M12"/>
      <c r="N12"/>
      <c r="O12" s="123"/>
      <c r="P12" s="13"/>
      <c r="Q12" s="13"/>
      <c r="R12" s="13"/>
      <c r="S12" s="13"/>
      <c r="T12" s="13"/>
      <c r="U12" s="13"/>
      <c r="V12" s="13"/>
    </row>
    <row r="13" spans="1:22" s="5" customFormat="1" ht="16.5" hidden="1" customHeight="1" x14ac:dyDescent="0.25">
      <c r="A13" s="13"/>
      <c r="B13" t="e">
        <f>Competitors!#REF!</f>
        <v>#REF!</v>
      </c>
      <c r="C13" t="e">
        <f>Competitors!#REF!</f>
        <v>#REF!</v>
      </c>
      <c r="D13" s="13" t="e">
        <f>Competitors!#REF!</f>
        <v>#REF!</v>
      </c>
      <c r="E13" s="13" t="e">
        <f>SUM((VLOOKUP(B13, Rankings!C:E,3,FALSE)),(VLOOKUP(C13, Rankings!C:E,3,FALSE)),(VLOOKUP(D13, Rankings!C:E,3,FALSE)))</f>
        <v>#REF!</v>
      </c>
      <c r="F13" s="13"/>
      <c r="G13" s="13"/>
      <c r="H13" s="13"/>
      <c r="I13" s="13"/>
      <c r="J13" s="13"/>
      <c r="K13" s="13"/>
      <c r="L13" s="13"/>
      <c r="M13"/>
      <c r="N13"/>
      <c r="O13" s="123"/>
      <c r="P13" s="13"/>
      <c r="Q13" s="13"/>
      <c r="R13" s="13"/>
      <c r="S13" s="13"/>
      <c r="T13" s="13"/>
      <c r="U13" s="13"/>
      <c r="V13" s="13"/>
    </row>
    <row r="14" spans="1:22" s="5" customFormat="1" ht="16.5" hidden="1" customHeight="1" x14ac:dyDescent="0.25">
      <c r="A14" s="13"/>
      <c r="B14" t="e">
        <f>Competitors!#REF!</f>
        <v>#REF!</v>
      </c>
      <c r="C14" t="e">
        <f>Competitors!#REF!</f>
        <v>#REF!</v>
      </c>
      <c r="D14" s="13" t="e">
        <f>Competitors!#REF!</f>
        <v>#REF!</v>
      </c>
      <c r="E14" s="13" t="e">
        <f>SUM((VLOOKUP(B14, Rankings!C:E,3,FALSE)),(VLOOKUP(C14, Rankings!C:E,3,FALSE)),(VLOOKUP(D14, Rankings!C:E,3,FALSE)))</f>
        <v>#REF!</v>
      </c>
      <c r="F14" s="13"/>
      <c r="G14" s="13"/>
      <c r="H14" s="13"/>
      <c r="I14" s="13"/>
      <c r="J14" s="13"/>
      <c r="K14" s="13"/>
      <c r="L14" s="13"/>
      <c r="M14"/>
      <c r="N14"/>
      <c r="O14" s="123"/>
      <c r="P14" s="13"/>
      <c r="Q14" s="13"/>
      <c r="R14" s="13"/>
      <c r="S14" s="13"/>
      <c r="T14" s="13"/>
      <c r="U14" s="13"/>
      <c r="V14" s="13"/>
    </row>
    <row r="15" spans="1:22" s="5" customFormat="1" ht="16.5" hidden="1" customHeight="1" x14ac:dyDescent="0.25">
      <c r="A15" s="13"/>
      <c r="B15" t="e">
        <f>Competitors!#REF!</f>
        <v>#REF!</v>
      </c>
      <c r="C15" t="e">
        <f>Competitors!#REF!</f>
        <v>#REF!</v>
      </c>
      <c r="D15" s="13" t="e">
        <f>Competitors!#REF!</f>
        <v>#REF!</v>
      </c>
      <c r="E15" s="13" t="e">
        <f>SUM((VLOOKUP(B15, Rankings!C:E,3,FALSE)),(VLOOKUP(C15, Rankings!C:E,3,FALSE)),(VLOOKUP(D15, Rankings!C:E,3,FALSE)))</f>
        <v>#REF!</v>
      </c>
      <c r="F15" s="13"/>
      <c r="G15" s="13"/>
      <c r="H15" s="13"/>
      <c r="I15" s="13"/>
      <c r="J15" s="13"/>
      <c r="K15" s="13"/>
      <c r="L15" s="13"/>
      <c r="M15"/>
      <c r="N15"/>
      <c r="O15" s="123"/>
      <c r="P15" s="13"/>
      <c r="Q15" s="13"/>
      <c r="R15" s="13"/>
      <c r="S15" s="13"/>
      <c r="T15" s="13"/>
      <c r="U15" s="13"/>
      <c r="V15" s="13"/>
    </row>
    <row r="16" spans="1:22" s="5" customFormat="1" ht="16.5" hidden="1" customHeight="1" x14ac:dyDescent="0.25">
      <c r="A16" s="13"/>
      <c r="B16" t="e">
        <f>Competitors!#REF!</f>
        <v>#REF!</v>
      </c>
      <c r="C16" t="e">
        <f>Competitors!#REF!</f>
        <v>#REF!</v>
      </c>
      <c r="D16" s="13" t="e">
        <f>Competitors!#REF!</f>
        <v>#REF!</v>
      </c>
      <c r="E16" s="13" t="e">
        <f>SUM((VLOOKUP(B16, Rankings!C:E,3,FALSE)),(VLOOKUP(C16, Rankings!C:E,3,FALSE)),(VLOOKUP(D16, Rankings!C:E,3,FALSE)))</f>
        <v>#REF!</v>
      </c>
      <c r="F16" s="13"/>
      <c r="G16" s="13"/>
      <c r="H16" s="13"/>
      <c r="I16" s="13"/>
      <c r="J16" s="13"/>
      <c r="K16" s="13"/>
      <c r="L16" s="13"/>
      <c r="M16"/>
      <c r="N16"/>
      <c r="O16" s="123"/>
      <c r="P16" s="13"/>
      <c r="Q16" s="13"/>
      <c r="R16" s="13"/>
      <c r="S16" s="13"/>
      <c r="T16" s="13"/>
      <c r="U16" s="13"/>
      <c r="V16" s="13"/>
    </row>
    <row r="17" spans="1:22" s="5" customFormat="1" ht="16.5" hidden="1" customHeight="1" x14ac:dyDescent="0.25">
      <c r="A17" s="13"/>
      <c r="B17" t="e">
        <f>Competitors!#REF!</f>
        <v>#REF!</v>
      </c>
      <c r="C17" t="e">
        <f>Competitors!#REF!</f>
        <v>#REF!</v>
      </c>
      <c r="D17" s="13" t="e">
        <f>Competitors!#REF!</f>
        <v>#REF!</v>
      </c>
      <c r="E17" s="13" t="e">
        <f>SUM((VLOOKUP(B17, Rankings!C:E,3,FALSE)),(VLOOKUP(C17, Rankings!C:E,3,FALSE)),(VLOOKUP(D17, Rankings!C:E,3,FALSE)))</f>
        <v>#REF!</v>
      </c>
      <c r="F17" s="13"/>
      <c r="G17" s="13"/>
      <c r="H17" s="13"/>
      <c r="I17" s="13"/>
      <c r="J17" s="13"/>
      <c r="K17" s="13"/>
      <c r="L17" s="13"/>
      <c r="M17"/>
      <c r="N17"/>
      <c r="O17" s="123"/>
      <c r="P17" s="13"/>
      <c r="Q17" s="13"/>
      <c r="R17" s="13"/>
      <c r="S17" s="13"/>
      <c r="T17" s="13"/>
      <c r="U17" s="13"/>
      <c r="V17" s="13"/>
    </row>
    <row r="18" spans="1:22" s="5" customFormat="1" ht="16.5" hidden="1" customHeight="1" x14ac:dyDescent="0.25">
      <c r="A18" s="13"/>
      <c r="B18" t="e">
        <f>Competitors!#REF!</f>
        <v>#REF!</v>
      </c>
      <c r="C18" t="e">
        <f>Competitors!#REF!</f>
        <v>#REF!</v>
      </c>
      <c r="D18" s="13" t="e">
        <f>Competitors!#REF!</f>
        <v>#REF!</v>
      </c>
      <c r="E18" s="13" t="e">
        <f>SUM((VLOOKUP(B18, Rankings!C:E,3,FALSE)),(VLOOKUP(C18, Rankings!C:E,3,FALSE)),(VLOOKUP(D18, Rankings!C:E,3,FALSE)))</f>
        <v>#REF!</v>
      </c>
      <c r="F18" s="13"/>
      <c r="G18" s="13"/>
      <c r="H18" s="13"/>
      <c r="I18" s="13"/>
      <c r="J18" s="13"/>
      <c r="K18" s="13"/>
      <c r="L18" s="13"/>
      <c r="M18"/>
      <c r="N18"/>
      <c r="O18" s="123"/>
      <c r="P18" s="13"/>
      <c r="Q18" s="13"/>
      <c r="R18" s="13"/>
      <c r="S18" s="13"/>
      <c r="T18" s="13"/>
      <c r="U18" s="13"/>
      <c r="V18" s="13"/>
    </row>
    <row r="19" spans="1:22" s="5" customFormat="1" ht="16.5" hidden="1" customHeight="1" x14ac:dyDescent="0.25">
      <c r="A19" s="13"/>
      <c r="B19" t="e">
        <f>Competitors!#REF!</f>
        <v>#REF!</v>
      </c>
      <c r="C19" t="e">
        <f>Competitors!#REF!</f>
        <v>#REF!</v>
      </c>
      <c r="D19" s="13" t="e">
        <f>Competitors!#REF!</f>
        <v>#REF!</v>
      </c>
      <c r="E19" s="13" t="e">
        <f>SUM((VLOOKUP(B19, Rankings!C:E,3,FALSE)),(VLOOKUP(C19, Rankings!C:E,3,FALSE)),(VLOOKUP(D19, Rankings!C:E,3,FALSE)))</f>
        <v>#REF!</v>
      </c>
      <c r="F19" s="13"/>
      <c r="G19" s="13"/>
      <c r="H19" s="13"/>
      <c r="I19" s="13"/>
      <c r="J19" s="13"/>
      <c r="K19" s="13"/>
      <c r="L19" s="13"/>
      <c r="M19"/>
      <c r="N19"/>
      <c r="O19" s="123"/>
      <c r="P19" s="13"/>
      <c r="Q19" s="13"/>
      <c r="R19" s="13"/>
      <c r="S19" s="13"/>
      <c r="T19" s="13"/>
      <c r="U19" s="13"/>
      <c r="V19" s="13"/>
    </row>
    <row r="20" spans="1:22" s="5" customFormat="1" ht="16.5" hidden="1" customHeight="1" x14ac:dyDescent="0.25">
      <c r="A20" s="13"/>
      <c r="B20" t="e">
        <f>Competitors!#REF!</f>
        <v>#REF!</v>
      </c>
      <c r="C20" t="e">
        <f>Competitors!#REF!</f>
        <v>#REF!</v>
      </c>
      <c r="D20" s="13" t="e">
        <f>Competitors!#REF!</f>
        <v>#REF!</v>
      </c>
      <c r="E20" s="13" t="e">
        <f>SUM((VLOOKUP(B20, Rankings!C:E,3,FALSE)),(VLOOKUP(C20, Rankings!C:E,3,FALSE)),(VLOOKUP(D20, Rankings!C:E,3,FALSE)))</f>
        <v>#REF!</v>
      </c>
      <c r="F20" s="13"/>
      <c r="G20" s="13"/>
      <c r="H20" s="13"/>
      <c r="I20" s="13"/>
      <c r="J20" s="13"/>
      <c r="K20" s="13"/>
      <c r="L20" s="13"/>
      <c r="M20"/>
      <c r="N20"/>
      <c r="O20" s="123"/>
      <c r="P20" s="13"/>
      <c r="Q20" s="13"/>
      <c r="R20" s="13"/>
      <c r="S20" s="13"/>
      <c r="T20" s="13"/>
      <c r="U20" s="13"/>
      <c r="V20" s="13"/>
    </row>
    <row r="21" spans="1:22" s="5" customFormat="1" hidden="1" x14ac:dyDescent="0.25">
      <c r="B21" t="str">
        <f>Competitors!A1</f>
        <v>(John - Amsterjam 2006)</v>
      </c>
      <c r="C21" t="str">
        <f>Competitors!A1</f>
        <v>(John - Amsterjam 2006)</v>
      </c>
      <c r="D21" s="13" t="str">
        <f>Competitors!A1</f>
        <v>(John - Amsterjam 2006)</v>
      </c>
      <c r="E21" s="13" t="e">
        <f>SUM((VLOOKUP(B21, Rankings!C:E,3,FALSE)),(VLOOKUP(C21, Rankings!C:E,3,FALSE)),(VLOOKUP(D21, Rankings!C:E,3,FALSE)))</f>
        <v>#VALUE!</v>
      </c>
      <c r="F21" s="13"/>
      <c r="G21" s="13"/>
      <c r="H21" s="13"/>
      <c r="I21" s="13"/>
      <c r="J21" s="13"/>
      <c r="K21" s="13"/>
      <c r="L21" s="13"/>
      <c r="M21"/>
      <c r="N21"/>
      <c r="O21" s="123"/>
      <c r="P21" s="13"/>
      <c r="Q21" s="13"/>
      <c r="R21" s="13"/>
      <c r="S21" s="13"/>
      <c r="T21" s="13"/>
      <c r="U21" s="13"/>
      <c r="V21" s="13"/>
    </row>
    <row r="22" spans="1:22" s="5" customFormat="1" hidden="1" x14ac:dyDescent="0.25">
      <c r="B22" t="str">
        <f>Competitors!A5</f>
        <v>Adrian Baer</v>
      </c>
      <c r="C22" t="str">
        <f>Competitors!A5</f>
        <v>Adrian Baer</v>
      </c>
      <c r="D22" s="13" t="str">
        <f>Competitors!A5</f>
        <v>Adrian Baer</v>
      </c>
      <c r="E22" s="13" t="e">
        <f>SUM((VLOOKUP(B22, Rankings!C:E,3,FALSE)),(VLOOKUP(C22, Rankings!C:E,3,FALSE)),(VLOOKUP(D22, Rankings!C:E,3,FALSE)))</f>
        <v>#VALUE!</v>
      </c>
      <c r="M22"/>
      <c r="N22"/>
      <c r="O22" s="123"/>
    </row>
    <row r="23" spans="1:22" s="5" customFormat="1" hidden="1" x14ac:dyDescent="0.25">
      <c r="B23" t="str">
        <f>Competitors!A6</f>
        <v>Adrian Röder</v>
      </c>
      <c r="C23" t="str">
        <f>Competitors!A6</f>
        <v>Adrian Röder</v>
      </c>
      <c r="D23" s="13" t="str">
        <f>Competitors!A6</f>
        <v>Adrian Röder</v>
      </c>
      <c r="E23" s="13" t="e">
        <f>SUM((VLOOKUP(B23, Rankings!C:E,3,FALSE)),(VLOOKUP(C23, Rankings!C:E,3,FALSE)),(VLOOKUP(D23, Rankings!C:E,3,FALSE)))</f>
        <v>#VALUE!</v>
      </c>
      <c r="M23"/>
      <c r="N23"/>
      <c r="O23" s="123"/>
    </row>
    <row r="24" spans="1:22" s="5" customFormat="1" hidden="1" x14ac:dyDescent="0.25">
      <c r="B24" t="str">
        <f>Competitors!A7</f>
        <v>Aiden Slaska</v>
      </c>
      <c r="C24" t="str">
        <f>Competitors!A7</f>
        <v>Aiden Slaska</v>
      </c>
      <c r="D24" s="13" t="str">
        <f>Competitors!A7</f>
        <v>Aiden Slaska</v>
      </c>
      <c r="E24" s="13" t="e">
        <f>SUM((VLOOKUP(B24, Rankings!C:E,3,FALSE)),(VLOOKUP(C24, Rankings!C:E,3,FALSE)),(VLOOKUP(D24, Rankings!C:E,3,FALSE)))</f>
        <v>#VALUE!</v>
      </c>
      <c r="M24"/>
      <c r="N24"/>
      <c r="O24" s="123"/>
    </row>
    <row r="25" spans="1:22" s="5" customFormat="1" hidden="1" x14ac:dyDescent="0.25">
      <c r="B25" t="str">
        <f>Competitors!A8</f>
        <v>Akihito Goto</v>
      </c>
      <c r="C25" t="str">
        <f>Competitors!A8</f>
        <v>Akihito Goto</v>
      </c>
      <c r="D25" s="13" t="str">
        <f>Competitors!A8</f>
        <v>Akihito Goto</v>
      </c>
      <c r="E25" s="13" t="e">
        <f>SUM((VLOOKUP(B25, Rankings!C:E,3,FALSE)),(VLOOKUP(C25, Rankings!C:E,3,FALSE)),(VLOOKUP(D25, Rankings!C:E,3,FALSE)))</f>
        <v>#VALUE!</v>
      </c>
    </row>
    <row r="26" spans="1:22" s="5" customFormat="1" hidden="1" x14ac:dyDescent="0.25">
      <c r="B26" t="str">
        <f>Competitors!A9</f>
        <v>Akito Ueda</v>
      </c>
      <c r="C26" t="str">
        <f>Competitors!A9</f>
        <v>Akito Ueda</v>
      </c>
      <c r="D26" s="13" t="str">
        <f>Competitors!A9</f>
        <v>Akito Ueda</v>
      </c>
      <c r="E26" s="13" t="e">
        <f>SUM((VLOOKUP(B26, Rankings!C:E,3,FALSE)),(VLOOKUP(C26, Rankings!C:E,3,FALSE)),(VLOOKUP(D26, Rankings!C:E,3,FALSE)))</f>
        <v>#VALUE!</v>
      </c>
    </row>
    <row r="27" spans="1:22" s="5" customFormat="1" hidden="1" x14ac:dyDescent="0.25">
      <c r="B27" t="str">
        <f>Competitors!A10</f>
        <v>Alan Caplin</v>
      </c>
      <c r="C27" t="str">
        <f>Competitors!A10</f>
        <v>Alan Caplin</v>
      </c>
      <c r="D27" s="13" t="str">
        <f>Competitors!A10</f>
        <v>Alan Caplin</v>
      </c>
      <c r="E27" s="13" t="e">
        <f>SUM((VLOOKUP(B27, Rankings!C:E,3,FALSE)),(VLOOKUP(C27, Rankings!C:E,3,FALSE)),(VLOOKUP(D27, Rankings!C:E,3,FALSE)))</f>
        <v>#VALUE!</v>
      </c>
    </row>
    <row r="28" spans="1:22" s="5" customFormat="1" hidden="1" x14ac:dyDescent="0.25">
      <c r="B28" t="str">
        <f>Competitors!A11</f>
        <v>Alan Clark</v>
      </c>
      <c r="C28" t="str">
        <f>Competitors!A11</f>
        <v>Alan Clark</v>
      </c>
      <c r="D28" s="13" t="str">
        <f>Competitors!A11</f>
        <v>Alan Clark</v>
      </c>
      <c r="E28" s="13" t="e">
        <f>SUM((VLOOKUP(B28, Rankings!C:E,3,FALSE)),(VLOOKUP(C28, Rankings!C:E,3,FALSE)),(VLOOKUP(D28, Rankings!C:E,3,FALSE)))</f>
        <v>#VALUE!</v>
      </c>
    </row>
    <row r="29" spans="1:22" s="5" customFormat="1" hidden="1" x14ac:dyDescent="0.25">
      <c r="B29" t="str">
        <f>Competitors!A12</f>
        <v>Alan Martinez</v>
      </c>
      <c r="C29" t="str">
        <f>Competitors!A12</f>
        <v>Alan Martinez</v>
      </c>
      <c r="D29" s="13" t="str">
        <f>Competitors!A12</f>
        <v>Alan Martinez</v>
      </c>
      <c r="E29" s="13" t="e">
        <f>SUM((VLOOKUP(B29, Rankings!C:E,3,FALSE)),(VLOOKUP(C29, Rankings!C:E,3,FALSE)),(VLOOKUP(D29, Rankings!C:E,3,FALSE)))</f>
        <v>#VALUE!</v>
      </c>
    </row>
    <row r="30" spans="1:22" s="5" customFormat="1" hidden="1" x14ac:dyDescent="0.25">
      <c r="B30" t="str">
        <f>Competitors!A13</f>
        <v>Alberto Baldelli</v>
      </c>
      <c r="C30" t="str">
        <f>Competitors!A13</f>
        <v>Alberto Baldelli</v>
      </c>
      <c r="D30" s="13" t="str">
        <f>Competitors!A13</f>
        <v>Alberto Baldelli</v>
      </c>
      <c r="E30" s="13" t="e">
        <f>SUM((VLOOKUP(B30, Rankings!C:E,3,FALSE)),(VLOOKUP(C30, Rankings!C:E,3,FALSE)),(VLOOKUP(D30, Rankings!C:E,3,FALSE)))</f>
        <v>#VALUE!</v>
      </c>
    </row>
    <row r="31" spans="1:22" s="5" customFormat="1" hidden="1" x14ac:dyDescent="0.25">
      <c r="B31" t="str">
        <f>Competitors!A14</f>
        <v>Albin Lindblad</v>
      </c>
      <c r="C31" t="str">
        <f>Competitors!A14</f>
        <v>Albin Lindblad</v>
      </c>
      <c r="D31" s="13" t="str">
        <f>Competitors!A14</f>
        <v>Albin Lindblad</v>
      </c>
      <c r="E31" s="13" t="e">
        <f>SUM((VLOOKUP(B31, Rankings!C:E,3,FALSE)),(VLOOKUP(C31, Rankings!C:E,3,FALSE)),(VLOOKUP(D31, Rankings!C:E,3,FALSE)))</f>
        <v>#VALUE!</v>
      </c>
    </row>
    <row r="32" spans="1:22" s="5" customFormat="1" hidden="1" x14ac:dyDescent="0.25">
      <c r="B32" t="str">
        <f>Competitors!A15</f>
        <v>Alejandra Estrada</v>
      </c>
      <c r="C32" t="str">
        <f>Competitors!A15</f>
        <v>Alejandra Estrada</v>
      </c>
      <c r="D32" s="13" t="str">
        <f>Competitors!A15</f>
        <v>Alejandra Estrada</v>
      </c>
      <c r="E32" s="13" t="e">
        <f>SUM((VLOOKUP(B32, Rankings!C:E,3,FALSE)),(VLOOKUP(C32, Rankings!C:E,3,FALSE)),(VLOOKUP(D32, Rankings!C:E,3,FALSE)))</f>
        <v>#VALUE!</v>
      </c>
    </row>
    <row r="33" spans="2:5" s="5" customFormat="1" hidden="1" x14ac:dyDescent="0.25">
      <c r="B33" t="str">
        <f>Competitors!A16</f>
        <v>Alena Vojtekova</v>
      </c>
      <c r="C33" t="str">
        <f>Competitors!A16</f>
        <v>Alena Vojtekova</v>
      </c>
      <c r="D33" s="13" t="str">
        <f>Competitors!A16</f>
        <v>Alena Vojtekova</v>
      </c>
      <c r="E33" s="13" t="e">
        <f>SUM((VLOOKUP(B33, Rankings!C:E,3,FALSE)),(VLOOKUP(C33, Rankings!C:E,3,FALSE)),(VLOOKUP(D33, Rankings!C:E,3,FALSE)))</f>
        <v>#VALUE!</v>
      </c>
    </row>
    <row r="34" spans="2:5" s="5" customFormat="1" hidden="1" x14ac:dyDescent="0.25">
      <c r="B34" t="str">
        <f>Competitors!A17</f>
        <v>Alessandro Berra</v>
      </c>
      <c r="C34" t="str">
        <f>Competitors!A17</f>
        <v>Alessandro Berra</v>
      </c>
      <c r="D34" s="13" t="str">
        <f>Competitors!A17</f>
        <v>Alessandro Berra</v>
      </c>
      <c r="E34" s="13" t="e">
        <f>SUM((VLOOKUP(B34, Rankings!C:E,3,FALSE)),(VLOOKUP(C34, Rankings!C:E,3,FALSE)),(VLOOKUP(D34, Rankings!C:E,3,FALSE)))</f>
        <v>#VALUE!</v>
      </c>
    </row>
    <row r="35" spans="2:5" s="5" customFormat="1" hidden="1" x14ac:dyDescent="0.25">
      <c r="B35" t="str">
        <f>Competitors!A18</f>
        <v>Alessandro Collerà</v>
      </c>
      <c r="C35" t="str">
        <f>Competitors!A18</f>
        <v>Alessandro Collerà</v>
      </c>
      <c r="D35" s="13" t="str">
        <f>Competitors!A18</f>
        <v>Alessandro Collerà</v>
      </c>
      <c r="E35" s="13" t="e">
        <f>SUM((VLOOKUP(B35, Rankings!C:E,3,FALSE)),(VLOOKUP(C35, Rankings!C:E,3,FALSE)),(VLOOKUP(D35, Rankings!C:E,3,FALSE)))</f>
        <v>#VALUE!</v>
      </c>
    </row>
    <row r="36" spans="2:5" s="5" customFormat="1" hidden="1" x14ac:dyDescent="0.25">
      <c r="B36" t="str">
        <f>Competitors!A19</f>
        <v>Alessandro Damiano</v>
      </c>
      <c r="C36" t="str">
        <f>Competitors!A19</f>
        <v>Alessandro Damiano</v>
      </c>
      <c r="D36" s="13" t="str">
        <f>Competitors!A19</f>
        <v>Alessandro Damiano</v>
      </c>
      <c r="E36" s="13" t="e">
        <f>SUM((VLOOKUP(B36, Rankings!C:E,3,FALSE)),(VLOOKUP(C36, Rankings!C:E,3,FALSE)),(VLOOKUP(D36, Rankings!C:E,3,FALSE)))</f>
        <v>#VALUE!</v>
      </c>
    </row>
    <row r="37" spans="2:5" s="5" customFormat="1" hidden="1" x14ac:dyDescent="0.25">
      <c r="B37" t="str">
        <f>Competitors!A20</f>
        <v>Alessandro Fogazzi</v>
      </c>
      <c r="C37" t="str">
        <f>Competitors!A20</f>
        <v>Alessandro Fogazzi</v>
      </c>
      <c r="D37" s="13" t="str">
        <f>Competitors!A20</f>
        <v>Alessandro Fogazzi</v>
      </c>
      <c r="E37" s="13" t="e">
        <f>SUM((VLOOKUP(B37, Rankings!C:E,3,FALSE)),(VLOOKUP(C37, Rankings!C:E,3,FALSE)),(VLOOKUP(D37, Rankings!C:E,3,FALSE)))</f>
        <v>#VALUE!</v>
      </c>
    </row>
    <row r="38" spans="2:5" s="5" customFormat="1" hidden="1" x14ac:dyDescent="0.25">
      <c r="B38" t="str">
        <f>Competitors!A21</f>
        <v>Alessandro Provitali</v>
      </c>
      <c r="C38" t="str">
        <f>Competitors!A21</f>
        <v>Alessandro Provitali</v>
      </c>
      <c r="D38" s="13" t="str">
        <f>Competitors!A21</f>
        <v>Alessandro Provitali</v>
      </c>
      <c r="E38" s="13" t="e">
        <f>SUM((VLOOKUP(B38, Rankings!C:E,3,FALSE)),(VLOOKUP(C38, Rankings!C:E,3,FALSE)),(VLOOKUP(D38, Rankings!C:E,3,FALSE)))</f>
        <v>#VALUE!</v>
      </c>
    </row>
    <row r="39" spans="2:5" s="5" customFormat="1" hidden="1" x14ac:dyDescent="0.25">
      <c r="B39" t="str">
        <f>Competitors!A22</f>
        <v>Alessandro Tamassia</v>
      </c>
      <c r="C39" t="str">
        <f>Competitors!A22</f>
        <v>Alessandro Tamassia</v>
      </c>
      <c r="D39" s="13" t="str">
        <f>Competitors!A22</f>
        <v>Alessandro Tamassia</v>
      </c>
      <c r="E39" s="13" t="e">
        <f>SUM((VLOOKUP(B39, Rankings!C:E,3,FALSE)),(VLOOKUP(C39, Rankings!C:E,3,FALSE)),(VLOOKUP(D39, Rankings!C:E,3,FALSE)))</f>
        <v>#VALUE!</v>
      </c>
    </row>
    <row r="40" spans="2:5" s="5" customFormat="1" hidden="1" x14ac:dyDescent="0.25">
      <c r="B40" t="str">
        <f>Competitors!A23</f>
        <v>Alessandro Vinciguerra</v>
      </c>
      <c r="C40" t="str">
        <f>Competitors!A23</f>
        <v>Alessandro Vinciguerra</v>
      </c>
      <c r="D40" s="13" t="str">
        <f>Competitors!A23</f>
        <v>Alessandro Vinciguerra</v>
      </c>
      <c r="E40" s="13" t="e">
        <f>SUM((VLOOKUP(B40, Rankings!C:E,3,FALSE)),(VLOOKUP(C40, Rankings!C:E,3,FALSE)),(VLOOKUP(D40, Rankings!C:E,3,FALSE)))</f>
        <v>#VALUE!</v>
      </c>
    </row>
    <row r="41" spans="2:5" s="5" customFormat="1" hidden="1" x14ac:dyDescent="0.25">
      <c r="B41" t="str">
        <f>Competitors!A24</f>
        <v>Alex Alexandrov</v>
      </c>
      <c r="C41" t="str">
        <f>Competitors!A24</f>
        <v>Alex Alexandrov</v>
      </c>
      <c r="D41" s="13" t="str">
        <f>Competitors!A24</f>
        <v>Alex Alexandrov</v>
      </c>
      <c r="E41" s="13" t="e">
        <f>SUM((VLOOKUP(B41, Rankings!C:E,3,FALSE)),(VLOOKUP(C41, Rankings!C:E,3,FALSE)),(VLOOKUP(D41, Rankings!C:E,3,FALSE)))</f>
        <v>#VALUE!</v>
      </c>
    </row>
    <row r="42" spans="2:5" s="5" customFormat="1" hidden="1" x14ac:dyDescent="0.25">
      <c r="B42" t="str">
        <f>Competitors!A25</f>
        <v>Alex Humphreys</v>
      </c>
      <c r="C42" t="str">
        <f>Competitors!A25</f>
        <v>Alex Humphreys</v>
      </c>
      <c r="D42" s="13" t="str">
        <f>Competitors!A25</f>
        <v>Alex Humphreys</v>
      </c>
      <c r="E42" s="13" t="e">
        <f>SUM((VLOOKUP(B42, Rankings!C:E,3,FALSE)),(VLOOKUP(C42, Rankings!C:E,3,FALSE)),(VLOOKUP(D42, Rankings!C:E,3,FALSE)))</f>
        <v>#VALUE!</v>
      </c>
    </row>
    <row r="43" spans="2:5" s="5" customFormat="1" hidden="1" x14ac:dyDescent="0.25">
      <c r="B43" t="str">
        <f>Competitors!A26</f>
        <v>Alex Leist</v>
      </c>
      <c r="C43" t="str">
        <f>Competitors!A26</f>
        <v>Alex Leist</v>
      </c>
      <c r="D43" s="13" t="str">
        <f>Competitors!A26</f>
        <v>Alex Leist</v>
      </c>
      <c r="E43" s="13" t="e">
        <f>SUM((VLOOKUP(B43, Rankings!C:E,3,FALSE)),(VLOOKUP(C43, Rankings!C:E,3,FALSE)),(VLOOKUP(D43, Rankings!C:E,3,FALSE)))</f>
        <v>#VALUE!</v>
      </c>
    </row>
    <row r="44" spans="2:5" s="5" customFormat="1" hidden="1" x14ac:dyDescent="0.25">
      <c r="B44" t="str">
        <f>Competitors!A27</f>
        <v>Alex Wenger</v>
      </c>
      <c r="C44" t="str">
        <f>Competitors!A27</f>
        <v>Alex Wenger</v>
      </c>
      <c r="D44" s="13" t="str">
        <f>Competitors!A27</f>
        <v>Alex Wenger</v>
      </c>
      <c r="E44" s="13" t="e">
        <f>SUM((VLOOKUP(B44, Rankings!C:E,3,FALSE)),(VLOOKUP(C44, Rankings!C:E,3,FALSE)),(VLOOKUP(D44, Rankings!C:E,3,FALSE)))</f>
        <v>#VALUE!</v>
      </c>
    </row>
    <row r="45" spans="2:5" s="5" customFormat="1" hidden="1" x14ac:dyDescent="0.25">
      <c r="B45" t="str">
        <f>Competitors!A28</f>
        <v>Alexander Enhuber</v>
      </c>
      <c r="C45" t="str">
        <f>Competitors!A28</f>
        <v>Alexander Enhuber</v>
      </c>
      <c r="D45" s="13" t="str">
        <f>Competitors!A28</f>
        <v>Alexander Enhuber</v>
      </c>
      <c r="E45" s="13" t="e">
        <f>SUM((VLOOKUP(B45, Rankings!C:E,3,FALSE)),(VLOOKUP(C45, Rankings!C:E,3,FALSE)),(VLOOKUP(D45, Rankings!C:E,3,FALSE)))</f>
        <v>#VALUE!</v>
      </c>
    </row>
    <row r="46" spans="2:5" s="5" customFormat="1" hidden="1" x14ac:dyDescent="0.25">
      <c r="B46" t="str">
        <f>Competitors!A29</f>
        <v>Alexander Michnewitsch</v>
      </c>
      <c r="C46" t="str">
        <f>Competitors!A29</f>
        <v>Alexander Michnewitsch</v>
      </c>
      <c r="D46" s="13" t="str">
        <f>Competitors!A29</f>
        <v>Alexander Michnewitsch</v>
      </c>
      <c r="E46" s="13" t="e">
        <f>SUM((VLOOKUP(B46, Rankings!C:E,3,FALSE)),(VLOOKUP(C46, Rankings!C:E,3,FALSE)),(VLOOKUP(D46, Rankings!C:E,3,FALSE)))</f>
        <v>#VALUE!</v>
      </c>
    </row>
    <row r="47" spans="2:5" s="5" customFormat="1" hidden="1" x14ac:dyDescent="0.25">
      <c r="B47" t="str">
        <f>Competitors!A30</f>
        <v>Alexander Trenner</v>
      </c>
      <c r="C47" t="str">
        <f>Competitors!A30</f>
        <v>Alexander Trenner</v>
      </c>
      <c r="D47" s="13" t="str">
        <f>Competitors!A30</f>
        <v>Alexander Trenner</v>
      </c>
      <c r="E47" s="13" t="e">
        <f>SUM((VLOOKUP(B47, Rankings!C:E,3,FALSE)),(VLOOKUP(C47, Rankings!C:E,3,FALSE)),(VLOOKUP(D47, Rankings!C:E,3,FALSE)))</f>
        <v>#VALUE!</v>
      </c>
    </row>
    <row r="48" spans="2:5" s="5" customFormat="1" hidden="1" x14ac:dyDescent="0.25">
      <c r="B48" t="str">
        <f>Competitors!A31</f>
        <v>Alfonso Lopez Velez</v>
      </c>
      <c r="C48" t="str">
        <f>Competitors!A31</f>
        <v>Alfonso Lopez Velez</v>
      </c>
      <c r="D48" s="13" t="str">
        <f>Competitors!A31</f>
        <v>Alfonso Lopez Velez</v>
      </c>
      <c r="E48" s="13" t="e">
        <f>SUM((VLOOKUP(B48, Rankings!C:E,3,FALSE)),(VLOOKUP(C48, Rankings!C:E,3,FALSE)),(VLOOKUP(D48, Rankings!C:E,3,FALSE)))</f>
        <v>#VALUE!</v>
      </c>
    </row>
    <row r="49" spans="2:5" s="5" customFormat="1" hidden="1" x14ac:dyDescent="0.25">
      <c r="B49" t="str">
        <f>Competitors!A32</f>
        <v>Ali Dastrandj</v>
      </c>
      <c r="C49" t="str">
        <f>Competitors!A32</f>
        <v>Ali Dastrandj</v>
      </c>
      <c r="D49" s="13" t="str">
        <f>Competitors!A32</f>
        <v>Ali Dastrandj</v>
      </c>
      <c r="E49" s="13" t="e">
        <f>SUM((VLOOKUP(B49, Rankings!C:E,3,FALSE)),(VLOOKUP(C49, Rankings!C:E,3,FALSE)),(VLOOKUP(D49, Rankings!C:E,3,FALSE)))</f>
        <v>#VALUE!</v>
      </c>
    </row>
    <row r="50" spans="2:5" s="5" customFormat="1" hidden="1" x14ac:dyDescent="0.25">
      <c r="B50" t="str">
        <f>Competitors!A33</f>
        <v>Alice Tommazzini</v>
      </c>
      <c r="C50" t="str">
        <f>Competitors!A33</f>
        <v>Alice Tommazzini</v>
      </c>
      <c r="D50" s="13" t="str">
        <f>Competitors!A33</f>
        <v>Alice Tommazzini</v>
      </c>
      <c r="E50" s="13" t="e">
        <f>SUM((VLOOKUP(B50, Rankings!C:E,3,FALSE)),(VLOOKUP(C50, Rankings!C:E,3,FALSE)),(VLOOKUP(D50, Rankings!C:E,3,FALSE)))</f>
        <v>#VALUE!</v>
      </c>
    </row>
    <row r="51" spans="2:5" s="5" customFormat="1" hidden="1" x14ac:dyDescent="0.25">
      <c r="B51" t="str">
        <f>Competitors!A34</f>
        <v>Allen Elliot</v>
      </c>
      <c r="C51" t="str">
        <f>Competitors!A34</f>
        <v>Allen Elliot</v>
      </c>
      <c r="D51" s="13" t="str">
        <f>Competitors!A34</f>
        <v>Allen Elliot</v>
      </c>
      <c r="E51" s="13" t="e">
        <f>SUM((VLOOKUP(B51, Rankings!C:E,3,FALSE)),(VLOOKUP(C51, Rankings!C:E,3,FALSE)),(VLOOKUP(D51, Rankings!C:E,3,FALSE)))</f>
        <v>#VALUE!</v>
      </c>
    </row>
    <row r="52" spans="2:5" s="5" customFormat="1" hidden="1" x14ac:dyDescent="0.25">
      <c r="B52" t="str">
        <f>Competitors!A35</f>
        <v>Alon Hoffman</v>
      </c>
      <c r="C52" t="str">
        <f>Competitors!A35</f>
        <v>Alon Hoffman</v>
      </c>
      <c r="D52" s="13" t="str">
        <f>Competitors!A35</f>
        <v>Alon Hoffman</v>
      </c>
      <c r="E52" s="13" t="e">
        <f>SUM((VLOOKUP(B52, Rankings!C:E,3,FALSE)),(VLOOKUP(C52, Rankings!C:E,3,FALSE)),(VLOOKUP(D52, Rankings!C:E,3,FALSE)))</f>
        <v>#VALUE!</v>
      </c>
    </row>
    <row r="53" spans="2:5" s="5" customFormat="1" hidden="1" x14ac:dyDescent="0.25">
      <c r="B53" t="str">
        <f>Competitors!A36</f>
        <v>Amir Hoshen</v>
      </c>
      <c r="C53" t="str">
        <f>Competitors!A36</f>
        <v>Amir Hoshen</v>
      </c>
      <c r="D53" s="13" t="str">
        <f>Competitors!A36</f>
        <v>Amir Hoshen</v>
      </c>
      <c r="E53" s="13" t="e">
        <f>SUM((VLOOKUP(B53, Rankings!C:E,3,FALSE)),(VLOOKUP(C53, Rankings!C:E,3,FALSE)),(VLOOKUP(D53, Rankings!C:E,3,FALSE)))</f>
        <v>#VALUE!</v>
      </c>
    </row>
    <row r="54" spans="2:5" s="5" customFormat="1" hidden="1" x14ac:dyDescent="0.25">
      <c r="B54" t="str">
        <f>Competitors!A37</f>
        <v>Amy Campbell</v>
      </c>
      <c r="C54" t="str">
        <f>Competitors!A37</f>
        <v>Amy Campbell</v>
      </c>
      <c r="D54" s="13" t="str">
        <f>Competitors!A37</f>
        <v>Amy Campbell</v>
      </c>
      <c r="E54" s="13" t="e">
        <f>SUM((VLOOKUP(B54, Rankings!C:E,3,FALSE)),(VLOOKUP(C54, Rankings!C:E,3,FALSE)),(VLOOKUP(D54, Rankings!C:E,3,FALSE)))</f>
        <v>#VALUE!</v>
      </c>
    </row>
    <row r="55" spans="2:5" s="5" customFormat="1" hidden="1" x14ac:dyDescent="0.25">
      <c r="B55" t="str">
        <f>Competitors!A38</f>
        <v>Amy Schiller</v>
      </c>
      <c r="C55" t="str">
        <f>Competitors!A38</f>
        <v>Amy Schiller</v>
      </c>
      <c r="D55" s="13" t="str">
        <f>Competitors!A38</f>
        <v>Amy Schiller</v>
      </c>
      <c r="E55" s="13" t="e">
        <f>SUM((VLOOKUP(B55, Rankings!C:E,3,FALSE)),(VLOOKUP(C55, Rankings!C:E,3,FALSE)),(VLOOKUP(D55, Rankings!C:E,3,FALSE)))</f>
        <v>#VALUE!</v>
      </c>
    </row>
    <row r="56" spans="2:5" s="5" customFormat="1" hidden="1" x14ac:dyDescent="0.25">
      <c r="B56" t="str">
        <f>Competitors!A39</f>
        <v>Anders Johnsson</v>
      </c>
      <c r="C56" t="str">
        <f>Competitors!A39</f>
        <v>Anders Johnsson</v>
      </c>
      <c r="D56" s="13" t="str">
        <f>Competitors!A39</f>
        <v>Anders Johnsson</v>
      </c>
      <c r="E56" s="13" t="e">
        <f>SUM((VLOOKUP(B56, Rankings!C:E,3,FALSE)),(VLOOKUP(C56, Rankings!C:E,3,FALSE)),(VLOOKUP(D56, Rankings!C:E,3,FALSE)))</f>
        <v>#VALUE!</v>
      </c>
    </row>
    <row r="57" spans="2:5" s="5" customFormat="1" hidden="1" x14ac:dyDescent="0.25">
      <c r="B57" t="str">
        <f>Competitors!A40</f>
        <v>André Hillman</v>
      </c>
      <c r="C57" t="str">
        <f>Competitors!A40</f>
        <v>André Hillman</v>
      </c>
      <c r="D57" s="13" t="str">
        <f>Competitors!A40</f>
        <v>André Hillman</v>
      </c>
      <c r="E57" s="13" t="e">
        <f>SUM((VLOOKUP(B57, Rankings!C:E,3,FALSE)),(VLOOKUP(C57, Rankings!C:E,3,FALSE)),(VLOOKUP(D57, Rankings!C:E,3,FALSE)))</f>
        <v>#VALUE!</v>
      </c>
    </row>
    <row r="58" spans="2:5" s="5" customFormat="1" hidden="1" x14ac:dyDescent="0.25">
      <c r="B58" t="str">
        <f>Competitors!A41</f>
        <v>Andre Zaharias</v>
      </c>
      <c r="C58" t="str">
        <f>Competitors!A41</f>
        <v>Andre Zaharias</v>
      </c>
      <c r="D58" s="13" t="str">
        <f>Competitors!A41</f>
        <v>Andre Zaharias</v>
      </c>
      <c r="E58" s="13" t="e">
        <f>SUM((VLOOKUP(B58, Rankings!C:E,3,FALSE)),(VLOOKUP(C58, Rankings!C:E,3,FALSE)),(VLOOKUP(D58, Rankings!C:E,3,FALSE)))</f>
        <v>#VALUE!</v>
      </c>
    </row>
    <row r="59" spans="2:5" s="5" customFormat="1" hidden="1" x14ac:dyDescent="0.25">
      <c r="B59" t="str">
        <f>Competitors!A42</f>
        <v>Andrea "Oddi" Furlan</v>
      </c>
      <c r="C59" t="str">
        <f>Competitors!A42</f>
        <v>Andrea "Oddi" Furlan</v>
      </c>
      <c r="D59" s="13" t="str">
        <f>Competitors!A42</f>
        <v>Andrea "Oddi" Furlan</v>
      </c>
      <c r="E59" s="13" t="e">
        <f>SUM((VLOOKUP(B59, Rankings!C:E,3,FALSE)),(VLOOKUP(C59, Rankings!C:E,3,FALSE)),(VLOOKUP(D59, Rankings!C:E,3,FALSE)))</f>
        <v>#VALUE!</v>
      </c>
    </row>
    <row r="60" spans="2:5" s="5" customFormat="1" hidden="1" x14ac:dyDescent="0.25">
      <c r="B60" t="str">
        <f>Competitors!A43</f>
        <v>Andrea Arfilli</v>
      </c>
      <c r="C60" t="str">
        <f>Competitors!A43</f>
        <v>Andrea Arfilli</v>
      </c>
      <c r="D60" s="13" t="str">
        <f>Competitors!A43</f>
        <v>Andrea Arfilli</v>
      </c>
      <c r="E60" s="13" t="e">
        <f>SUM((VLOOKUP(B60, Rankings!C:E,3,FALSE)),(VLOOKUP(C60, Rankings!C:E,3,FALSE)),(VLOOKUP(D60, Rankings!C:E,3,FALSE)))</f>
        <v>#VALUE!</v>
      </c>
    </row>
    <row r="61" spans="2:5" s="5" customFormat="1" hidden="1" x14ac:dyDescent="0.25">
      <c r="B61" t="str">
        <f>Competitors!A44</f>
        <v>Andrea Corizzo</v>
      </c>
      <c r="C61" t="str">
        <f>Competitors!A44</f>
        <v>Andrea Corizzo</v>
      </c>
      <c r="D61" s="13" t="str">
        <f>Competitors!A44</f>
        <v>Andrea Corizzo</v>
      </c>
      <c r="E61" s="13" t="e">
        <f>SUM((VLOOKUP(B61, Rankings!C:E,3,FALSE)),(VLOOKUP(C61, Rankings!C:E,3,FALSE)),(VLOOKUP(D61, Rankings!C:E,3,FALSE)))</f>
        <v>#VALUE!</v>
      </c>
    </row>
    <row r="62" spans="2:5" s="5" customFormat="1" hidden="1" x14ac:dyDescent="0.25">
      <c r="B62" t="str">
        <f>Competitors!A45</f>
        <v>Andrea Dini</v>
      </c>
      <c r="C62" t="str">
        <f>Competitors!A45</f>
        <v>Andrea Dini</v>
      </c>
      <c r="D62" s="13" t="str">
        <f>Competitors!A45</f>
        <v>Andrea Dini</v>
      </c>
      <c r="E62" s="13" t="e">
        <f>SUM((VLOOKUP(B62, Rankings!C:E,3,FALSE)),(VLOOKUP(C62, Rankings!C:E,3,FALSE)),(VLOOKUP(D62, Rankings!C:E,3,FALSE)))</f>
        <v>#VALUE!</v>
      </c>
    </row>
    <row r="63" spans="2:5" s="5" customFormat="1" hidden="1" x14ac:dyDescent="0.25">
      <c r="B63" t="str">
        <f>Competitors!A46</f>
        <v>Andrea Festi</v>
      </c>
      <c r="C63" t="str">
        <f>Competitors!A46</f>
        <v>Andrea Festi</v>
      </c>
      <c r="D63" s="13" t="str">
        <f>Competitors!A46</f>
        <v>Andrea Festi</v>
      </c>
      <c r="E63" s="13" t="e">
        <f>SUM((VLOOKUP(B63, Rankings!C:E,3,FALSE)),(VLOOKUP(C63, Rankings!C:E,3,FALSE)),(VLOOKUP(D63, Rankings!C:E,3,FALSE)))</f>
        <v>#VALUE!</v>
      </c>
    </row>
    <row r="64" spans="2:5" s="5" customFormat="1" hidden="1" x14ac:dyDescent="0.25">
      <c r="B64" t="str">
        <f>Competitors!A47</f>
        <v>Andrea Gallotti</v>
      </c>
      <c r="C64" t="str">
        <f>Competitors!A47</f>
        <v>Andrea Gallotti</v>
      </c>
      <c r="D64" s="13" t="str">
        <f>Competitors!A47</f>
        <v>Andrea Gallotti</v>
      </c>
      <c r="E64" s="13" t="e">
        <f>SUM((VLOOKUP(B64, Rankings!C:E,3,FALSE)),(VLOOKUP(C64, Rankings!C:E,3,FALSE)),(VLOOKUP(D64, Rankings!C:E,3,FALSE)))</f>
        <v>#VALUE!</v>
      </c>
    </row>
    <row r="65" spans="2:5" s="5" customFormat="1" hidden="1" x14ac:dyDescent="0.25">
      <c r="B65" t="str">
        <f>Competitors!A48</f>
        <v>Andrea Girodo</v>
      </c>
      <c r="C65" t="str">
        <f>Competitors!A48</f>
        <v>Andrea Girodo</v>
      </c>
      <c r="D65" s="13" t="str">
        <f>Competitors!A48</f>
        <v>Andrea Girodo</v>
      </c>
      <c r="E65" s="13" t="e">
        <f>SUM((VLOOKUP(B65, Rankings!C:E,3,FALSE)),(VLOOKUP(C65, Rankings!C:E,3,FALSE)),(VLOOKUP(D65, Rankings!C:E,3,FALSE)))</f>
        <v>#VALUE!</v>
      </c>
    </row>
    <row r="66" spans="2:5" s="5" customFormat="1" hidden="1" x14ac:dyDescent="0.25">
      <c r="B66" t="str">
        <f>Competitors!A49</f>
        <v>Andrea Izzo</v>
      </c>
      <c r="C66" t="str">
        <f>Competitors!A49</f>
        <v>Andrea Izzo</v>
      </c>
      <c r="D66" s="13" t="str">
        <f>Competitors!A49</f>
        <v>Andrea Izzo</v>
      </c>
      <c r="E66" s="13" t="e">
        <f>SUM((VLOOKUP(B66, Rankings!C:E,3,FALSE)),(VLOOKUP(C66, Rankings!C:E,3,FALSE)),(VLOOKUP(D66, Rankings!C:E,3,FALSE)))</f>
        <v>#VALUE!</v>
      </c>
    </row>
    <row r="67" spans="2:5" s="5" customFormat="1" hidden="1" x14ac:dyDescent="0.25">
      <c r="B67" t="str">
        <f>Competitors!A50</f>
        <v>Andrea Ludergnani</v>
      </c>
      <c r="C67" t="str">
        <f>Competitors!A50</f>
        <v>Andrea Ludergnani</v>
      </c>
      <c r="D67" s="13" t="str">
        <f>Competitors!A50</f>
        <v>Andrea Ludergnani</v>
      </c>
      <c r="E67" s="13" t="e">
        <f>SUM((VLOOKUP(B67, Rankings!C:E,3,FALSE)),(VLOOKUP(C67, Rankings!C:E,3,FALSE)),(VLOOKUP(D67, Rankings!C:E,3,FALSE)))</f>
        <v>#VALUE!</v>
      </c>
    </row>
    <row r="68" spans="2:5" s="5" customFormat="1" hidden="1" x14ac:dyDescent="0.25">
      <c r="B68" t="e">
        <f>Competitors!#REF!</f>
        <v>#REF!</v>
      </c>
      <c r="C68" t="e">
        <f>Competitors!#REF!</f>
        <v>#REF!</v>
      </c>
      <c r="D68" s="13" t="e">
        <f>Competitors!#REF!</f>
        <v>#REF!</v>
      </c>
      <c r="E68" s="13" t="e">
        <f>SUM((VLOOKUP(B68, Rankings!C:E,3,FALSE)),(VLOOKUP(C68, Rankings!C:E,3,FALSE)),(VLOOKUP(D68, Rankings!C:E,3,FALSE)))</f>
        <v>#REF!</v>
      </c>
    </row>
    <row r="69" spans="2:5" s="5" customFormat="1" hidden="1" x14ac:dyDescent="0.25">
      <c r="B69" t="e">
        <f>Competitors!#REF!</f>
        <v>#REF!</v>
      </c>
      <c r="C69" t="e">
        <f>Competitors!#REF!</f>
        <v>#REF!</v>
      </c>
      <c r="D69" s="13" t="e">
        <f>Competitors!#REF!</f>
        <v>#REF!</v>
      </c>
      <c r="E69" s="13" t="e">
        <f>SUM((VLOOKUP(B69, Rankings!C:E,3,FALSE)),(VLOOKUP(C69, Rankings!C:E,3,FALSE)),(VLOOKUP(D69, Rankings!C:E,3,FALSE)))</f>
        <v>#REF!</v>
      </c>
    </row>
    <row r="70" spans="2:5" s="5" customFormat="1" hidden="1" x14ac:dyDescent="0.25">
      <c r="B70" t="e">
        <f>Competitors!#REF!</f>
        <v>#REF!</v>
      </c>
      <c r="C70" t="e">
        <f>Competitors!#REF!</f>
        <v>#REF!</v>
      </c>
      <c r="D70" s="13" t="e">
        <f>Competitors!#REF!</f>
        <v>#REF!</v>
      </c>
      <c r="E70" s="13" t="e">
        <f>SUM((VLOOKUP(B70, Rankings!C:E,3,FALSE)),(VLOOKUP(C70, Rankings!C:E,3,FALSE)),(VLOOKUP(D70, Rankings!C:E,3,FALSE)))</f>
        <v>#REF!</v>
      </c>
    </row>
    <row r="71" spans="2:5" s="5" customFormat="1" hidden="1" x14ac:dyDescent="0.25">
      <c r="B71" t="str">
        <f>Competitors!A51</f>
        <v>Andrea Lugli</v>
      </c>
      <c r="C71" t="str">
        <f>Competitors!A51</f>
        <v>Andrea Lugli</v>
      </c>
      <c r="D71" s="13" t="str">
        <f>Competitors!A51</f>
        <v>Andrea Lugli</v>
      </c>
      <c r="E71" s="13" t="e">
        <f>SUM((VLOOKUP(B71, Rankings!C:E,3,FALSE)),(VLOOKUP(C71, Rankings!C:E,3,FALSE)),(VLOOKUP(D71, Rankings!C:E,3,FALSE)))</f>
        <v>#VALUE!</v>
      </c>
    </row>
    <row r="72" spans="2:5" s="5" customFormat="1" hidden="1" x14ac:dyDescent="0.25">
      <c r="B72" t="str">
        <f>Competitors!A52</f>
        <v>Andrea Marciano</v>
      </c>
      <c r="C72" t="str">
        <f>Competitors!A52</f>
        <v>Andrea Marciano</v>
      </c>
      <c r="D72" s="13" t="str">
        <f>Competitors!A52</f>
        <v>Andrea Marciano</v>
      </c>
      <c r="E72" s="13" t="e">
        <f>SUM((VLOOKUP(B72, Rankings!C:E,3,FALSE)),(VLOOKUP(C72, Rankings!C:E,3,FALSE)),(VLOOKUP(D72, Rankings!C:E,3,FALSE)))</f>
        <v>#VALUE!</v>
      </c>
    </row>
    <row r="73" spans="2:5" s="5" customFormat="1" hidden="1" x14ac:dyDescent="0.25">
      <c r="B73" t="str">
        <f>Competitors!A53</f>
        <v>Andrea Meola</v>
      </c>
      <c r="C73" t="str">
        <f>Competitors!A53</f>
        <v>Andrea Meola</v>
      </c>
      <c r="D73" s="13" t="str">
        <f>Competitors!A53</f>
        <v>Andrea Meola</v>
      </c>
      <c r="E73" s="13" t="e">
        <f>SUM((VLOOKUP(B73, Rankings!C:E,3,FALSE)),(VLOOKUP(C73, Rankings!C:E,3,FALSE)),(VLOOKUP(D73, Rankings!C:E,3,FALSE)))</f>
        <v>#VALUE!</v>
      </c>
    </row>
    <row r="74" spans="2:5" s="5" customFormat="1" hidden="1" x14ac:dyDescent="0.25">
      <c r="B74" t="str">
        <f>Competitors!A54</f>
        <v>Andrea Pecchiari</v>
      </c>
      <c r="C74" t="str">
        <f>Competitors!A54</f>
        <v>Andrea Pecchiari</v>
      </c>
      <c r="D74" s="13" t="str">
        <f>Competitors!A54</f>
        <v>Andrea Pecchiari</v>
      </c>
      <c r="E74" s="13" t="e">
        <f>SUM((VLOOKUP(B74, Rankings!C:E,3,FALSE)),(VLOOKUP(C74, Rankings!C:E,3,FALSE)),(VLOOKUP(D74, Rankings!C:E,3,FALSE)))</f>
        <v>#VALUE!</v>
      </c>
    </row>
    <row r="75" spans="2:5" s="5" customFormat="1" hidden="1" x14ac:dyDescent="0.25">
      <c r="B75" t="str">
        <f>Competitors!A55</f>
        <v>Andrea Piemontese</v>
      </c>
      <c r="C75" t="str">
        <f>Competitors!A55</f>
        <v>Andrea Piemontese</v>
      </c>
      <c r="D75" s="13" t="str">
        <f>Competitors!A55</f>
        <v>Andrea Piemontese</v>
      </c>
      <c r="E75" s="13" t="e">
        <f>SUM((VLOOKUP(B75, Rankings!C:E,3,FALSE)),(VLOOKUP(C75, Rankings!C:E,3,FALSE)),(VLOOKUP(D75, Rankings!C:E,3,FALSE)))</f>
        <v>#VALUE!</v>
      </c>
    </row>
    <row r="76" spans="2:5" s="5" customFormat="1" hidden="1" x14ac:dyDescent="0.25">
      <c r="B76" t="str">
        <f>Competitors!A56</f>
        <v>Andrea Pietrangeli</v>
      </c>
      <c r="C76" t="str">
        <f>Competitors!A56</f>
        <v>Andrea Pietrangeli</v>
      </c>
      <c r="D76" s="13" t="str">
        <f>Competitors!A56</f>
        <v>Andrea Pietrangeli</v>
      </c>
      <c r="E76" s="13" t="e">
        <f>SUM((VLOOKUP(B76, Rankings!C:E,3,FALSE)),(VLOOKUP(C76, Rankings!C:E,3,FALSE)),(VLOOKUP(D76, Rankings!C:E,3,FALSE)))</f>
        <v>#VALUE!</v>
      </c>
    </row>
    <row r="77" spans="2:5" s="5" customFormat="1" hidden="1" x14ac:dyDescent="0.25">
      <c r="B77" t="str">
        <f>Competitors!A57</f>
        <v>Andrea Poli</v>
      </c>
      <c r="C77" t="str">
        <f>Competitors!A57</f>
        <v>Andrea Poli</v>
      </c>
      <c r="D77" s="13" t="str">
        <f>Competitors!A57</f>
        <v>Andrea Poli</v>
      </c>
      <c r="E77" s="13" t="e">
        <f>SUM((VLOOKUP(B77, Rankings!C:E,3,FALSE)),(VLOOKUP(C77, Rankings!C:E,3,FALSE)),(VLOOKUP(D77, Rankings!C:E,3,FALSE)))</f>
        <v>#VALUE!</v>
      </c>
    </row>
    <row r="78" spans="2:5" s="5" customFormat="1" hidden="1" x14ac:dyDescent="0.25">
      <c r="B78" t="str">
        <f>Competitors!A58</f>
        <v>Andrea Rimatori</v>
      </c>
      <c r="C78" t="str">
        <f>Competitors!A58</f>
        <v>Andrea Rimatori</v>
      </c>
      <c r="D78" s="13" t="str">
        <f>Competitors!A58</f>
        <v>Andrea Rimatori</v>
      </c>
      <c r="E78" s="13" t="e">
        <f>SUM((VLOOKUP(B78, Rankings!C:E,3,FALSE)),(VLOOKUP(C78, Rankings!C:E,3,FALSE)),(VLOOKUP(D78, Rankings!C:E,3,FALSE)))</f>
        <v>#VALUE!</v>
      </c>
    </row>
    <row r="79" spans="2:5" s="5" customFormat="1" hidden="1" x14ac:dyDescent="0.25">
      <c r="B79" t="str">
        <f>Competitors!A59</f>
        <v>Andrea Sarti</v>
      </c>
      <c r="C79" t="str">
        <f>Competitors!A59</f>
        <v>Andrea Sarti</v>
      </c>
      <c r="D79" s="13" t="str">
        <f>Competitors!A59</f>
        <v>Andrea Sarti</v>
      </c>
      <c r="E79" s="13" t="e">
        <f>SUM((VLOOKUP(B79, Rankings!C:E,3,FALSE)),(VLOOKUP(C79, Rankings!C:E,3,FALSE)),(VLOOKUP(D79, Rankings!C:E,3,FALSE)))</f>
        <v>#VALUE!</v>
      </c>
    </row>
    <row r="80" spans="2:5" s="5" customFormat="1" hidden="1" x14ac:dyDescent="0.25">
      <c r="B80" t="str">
        <f>Competitors!A60</f>
        <v>Andrea Stazi</v>
      </c>
      <c r="C80" t="str">
        <f>Competitors!A60</f>
        <v>Andrea Stazi</v>
      </c>
      <c r="D80" s="13" t="str">
        <f>Competitors!A60</f>
        <v>Andrea Stazi</v>
      </c>
      <c r="E80" s="13" t="e">
        <f>SUM((VLOOKUP(B80, Rankings!C:E,3,FALSE)),(VLOOKUP(C80, Rankings!C:E,3,FALSE)),(VLOOKUP(D80, Rankings!C:E,3,FALSE)))</f>
        <v>#VALUE!</v>
      </c>
    </row>
    <row r="81" spans="2:5" s="5" customFormat="1" hidden="1" x14ac:dyDescent="0.25">
      <c r="B81" t="str">
        <f>Competitors!A61</f>
        <v>Andreas Bochmann</v>
      </c>
      <c r="C81" t="str">
        <f>Competitors!A61</f>
        <v>Andreas Bochmann</v>
      </c>
      <c r="D81" s="13" t="str">
        <f>Competitors!A61</f>
        <v>Andreas Bochmann</v>
      </c>
      <c r="E81" s="13" t="e">
        <f>SUM((VLOOKUP(B81, Rankings!C:E,3,FALSE)),(VLOOKUP(C81, Rankings!C:E,3,FALSE)),(VLOOKUP(D81, Rankings!C:E,3,FALSE)))</f>
        <v>#VALUE!</v>
      </c>
    </row>
    <row r="82" spans="2:5" s="5" customFormat="1" hidden="1" x14ac:dyDescent="0.25">
      <c r="B82" t="str">
        <f>Competitors!A62</f>
        <v>Andreas Jaderyd</v>
      </c>
      <c r="C82" t="str">
        <f>Competitors!A62</f>
        <v>Andreas Jaderyd</v>
      </c>
      <c r="D82" s="13" t="str">
        <f>Competitors!A62</f>
        <v>Andreas Jaderyd</v>
      </c>
      <c r="E82" s="13" t="e">
        <f>SUM((VLOOKUP(B82, Rankings!C:E,3,FALSE)),(VLOOKUP(C82, Rankings!C:E,3,FALSE)),(VLOOKUP(D82, Rankings!C:E,3,FALSE)))</f>
        <v>#VALUE!</v>
      </c>
    </row>
    <row r="83" spans="2:5" s="5" customFormat="1" hidden="1" x14ac:dyDescent="0.25">
      <c r="B83" t="str">
        <f>Competitors!A63</f>
        <v>Andreas Nogay</v>
      </c>
      <c r="C83" t="str">
        <f>Competitors!A63</f>
        <v>Andreas Nogay</v>
      </c>
      <c r="D83" s="13" t="str">
        <f>Competitors!A63</f>
        <v>Andreas Nogay</v>
      </c>
      <c r="E83" s="13" t="e">
        <f>SUM((VLOOKUP(B83, Rankings!C:E,3,FALSE)),(VLOOKUP(C83, Rankings!C:E,3,FALSE)),(VLOOKUP(D83, Rankings!C:E,3,FALSE)))</f>
        <v>#VALUE!</v>
      </c>
    </row>
    <row r="84" spans="2:5" s="5" customFormat="1" hidden="1" x14ac:dyDescent="0.25">
      <c r="B84" t="str">
        <f>Competitors!A64</f>
        <v>Andres Rivera</v>
      </c>
      <c r="C84" t="str">
        <f>Competitors!A64</f>
        <v>Andres Rivera</v>
      </c>
      <c r="D84" s="13" t="str">
        <f>Competitors!A64</f>
        <v>Andres Rivera</v>
      </c>
      <c r="E84" s="13" t="e">
        <f>SUM((VLOOKUP(B84, Rankings!C:E,3,FALSE)),(VLOOKUP(C84, Rankings!C:E,3,FALSE)),(VLOOKUP(D84, Rankings!C:E,3,FALSE)))</f>
        <v>#VALUE!</v>
      </c>
    </row>
    <row r="85" spans="2:5" s="5" customFormat="1" hidden="1" x14ac:dyDescent="0.25">
      <c r="B85" t="str">
        <f>Competitors!A65</f>
        <v>Andres Serna</v>
      </c>
      <c r="C85" t="str">
        <f>Competitors!A65</f>
        <v>Andres Serna</v>
      </c>
      <c r="D85" s="13" t="str">
        <f>Competitors!A65</f>
        <v>Andres Serna</v>
      </c>
      <c r="E85" s="13" t="e">
        <f>SUM((VLOOKUP(B85, Rankings!C:E,3,FALSE)),(VLOOKUP(C85, Rankings!C:E,3,FALSE)),(VLOOKUP(D85, Rankings!C:E,3,FALSE)))</f>
        <v>#VALUE!</v>
      </c>
    </row>
    <row r="86" spans="2:5" s="5" customFormat="1" hidden="1" x14ac:dyDescent="0.25">
      <c r="B86" t="str">
        <f>Competitors!A66</f>
        <v>Andrew Lemann</v>
      </c>
      <c r="C86" t="str">
        <f>Competitors!A66</f>
        <v>Andrew Lemann</v>
      </c>
      <c r="D86" s="13" t="str">
        <f>Competitors!A66</f>
        <v>Andrew Lemann</v>
      </c>
      <c r="E86" s="13" t="e">
        <f>SUM((VLOOKUP(B86, Rankings!C:E,3,FALSE)),(VLOOKUP(C86, Rankings!C:E,3,FALSE)),(VLOOKUP(D86, Rankings!C:E,3,FALSE)))</f>
        <v>#VALUE!</v>
      </c>
    </row>
    <row r="87" spans="2:5" s="5" customFormat="1" hidden="1" x14ac:dyDescent="0.25">
      <c r="B87" t="str">
        <f>Competitors!A67</f>
        <v>Andrew Quinn</v>
      </c>
      <c r="C87" t="str">
        <f>Competitors!A67</f>
        <v>Andrew Quinn</v>
      </c>
      <c r="D87" s="13" t="str">
        <f>Competitors!A67</f>
        <v>Andrew Quinn</v>
      </c>
      <c r="E87" s="13" t="e">
        <f>SUM((VLOOKUP(B87, Rankings!C:E,3,FALSE)),(VLOOKUP(C87, Rankings!C:E,3,FALSE)),(VLOOKUP(D87, Rankings!C:E,3,FALSE)))</f>
        <v>#VALUE!</v>
      </c>
    </row>
    <row r="88" spans="2:5" s="5" customFormat="1" hidden="1" x14ac:dyDescent="0.25">
      <c r="B88" t="str">
        <f>Competitors!A68</f>
        <v>Andrew Van Lanen</v>
      </c>
      <c r="C88" t="str">
        <f>Competitors!A68</f>
        <v>Andrew Van Lanen</v>
      </c>
      <c r="D88" s="13" t="str">
        <f>Competitors!A68</f>
        <v>Andrew Van Lanen</v>
      </c>
      <c r="E88" s="13" t="e">
        <f>SUM((VLOOKUP(B88, Rankings!C:E,3,FALSE)),(VLOOKUP(C88, Rankings!C:E,3,FALSE)),(VLOOKUP(D88, Rankings!C:E,3,FALSE)))</f>
        <v>#VALUE!</v>
      </c>
    </row>
    <row r="89" spans="2:5" s="5" customFormat="1" hidden="1" x14ac:dyDescent="0.25">
      <c r="B89" t="str">
        <f>Competitors!A69</f>
        <v>Andy Absolom</v>
      </c>
      <c r="C89" t="str">
        <f>Competitors!A69</f>
        <v>Andy Absolom</v>
      </c>
      <c r="D89" s="13" t="str">
        <f>Competitors!A69</f>
        <v>Andy Absolom</v>
      </c>
      <c r="E89" s="13" t="e">
        <f>SUM((VLOOKUP(B89, Rankings!C:E,3,FALSE)),(VLOOKUP(C89, Rankings!C:E,3,FALSE)),(VLOOKUP(D89, Rankings!C:E,3,FALSE)))</f>
        <v>#VALUE!</v>
      </c>
    </row>
    <row r="90" spans="2:5" s="5" customFormat="1" hidden="1" x14ac:dyDescent="0.25">
      <c r="B90" t="str">
        <f>Competitors!A70</f>
        <v>Angela Goeller</v>
      </c>
      <c r="C90" t="str">
        <f>Competitors!A70</f>
        <v>Angela Goeller</v>
      </c>
      <c r="D90" s="13" t="str">
        <f>Competitors!A70</f>
        <v>Angela Goeller</v>
      </c>
      <c r="E90" s="13" t="e">
        <f>SUM((VLOOKUP(B90, Rankings!C:E,3,FALSE)),(VLOOKUP(C90, Rankings!C:E,3,FALSE)),(VLOOKUP(D90, Rankings!C:E,3,FALSE)))</f>
        <v>#VALUE!</v>
      </c>
    </row>
    <row r="91" spans="2:5" s="5" customFormat="1" hidden="1" x14ac:dyDescent="0.25">
      <c r="B91" t="str">
        <f>Competitors!A71</f>
        <v>Angela Polla Cusma</v>
      </c>
      <c r="C91" t="str">
        <f>Competitors!A71</f>
        <v>Angela Polla Cusma</v>
      </c>
      <c r="D91" s="13" t="str">
        <f>Competitors!A71</f>
        <v>Angela Polla Cusma</v>
      </c>
      <c r="E91" s="13" t="e">
        <f>SUM((VLOOKUP(B91, Rankings!C:E,3,FALSE)),(VLOOKUP(C91, Rankings!C:E,3,FALSE)),(VLOOKUP(D91, Rankings!C:E,3,FALSE)))</f>
        <v>#VALUE!</v>
      </c>
    </row>
    <row r="92" spans="2:5" s="5" customFormat="1" hidden="1" x14ac:dyDescent="0.25">
      <c r="B92" t="str">
        <f>Competitors!A72</f>
        <v>Angelo Mancarella</v>
      </c>
      <c r="C92" t="str">
        <f>Competitors!A72</f>
        <v>Angelo Mancarella</v>
      </c>
      <c r="D92" s="13" t="str">
        <f>Competitors!A72</f>
        <v>Angelo Mancarella</v>
      </c>
      <c r="E92" s="13" t="e">
        <f>SUM((VLOOKUP(B92, Rankings!C:E,3,FALSE)),(VLOOKUP(C92, Rankings!C:E,3,FALSE)),(VLOOKUP(D92, Rankings!C:E,3,FALSE)))</f>
        <v>#VALUE!</v>
      </c>
    </row>
    <row r="93" spans="2:5" s="5" customFormat="1" hidden="1" x14ac:dyDescent="0.25">
      <c r="B93" t="str">
        <f>Competitors!A73</f>
        <v>Angelo Trevino</v>
      </c>
      <c r="C93" t="str">
        <f>Competitors!A73</f>
        <v>Angelo Trevino</v>
      </c>
      <c r="D93" s="13" t="str">
        <f>Competitors!A73</f>
        <v>Angelo Trevino</v>
      </c>
      <c r="E93" s="13" t="e">
        <f>SUM((VLOOKUP(B93, Rankings!C:E,3,FALSE)),(VLOOKUP(C93, Rankings!C:E,3,FALSE)),(VLOOKUP(D93, Rankings!C:E,3,FALSE)))</f>
        <v>#VALUE!</v>
      </c>
    </row>
    <row r="94" spans="2:5" s="5" customFormat="1" hidden="1" x14ac:dyDescent="0.25">
      <c r="B94" t="str">
        <f>Competitors!A74</f>
        <v>Anna Bragagnolo</v>
      </c>
      <c r="C94" t="str">
        <f>Competitors!A74</f>
        <v>Anna Bragagnolo</v>
      </c>
      <c r="D94" s="13" t="str">
        <f>Competitors!A74</f>
        <v>Anna Bragagnolo</v>
      </c>
      <c r="E94" s="13" t="e">
        <f>SUM((VLOOKUP(B94, Rankings!C:E,3,FALSE)),(VLOOKUP(C94, Rankings!C:E,3,FALSE)),(VLOOKUP(D94, Rankings!C:E,3,FALSE)))</f>
        <v>#VALUE!</v>
      </c>
    </row>
    <row r="95" spans="2:5" s="5" customFormat="1" hidden="1" x14ac:dyDescent="0.25">
      <c r="B95" t="str">
        <f>Competitors!A75</f>
        <v>Anna Duran-Korzycka</v>
      </c>
      <c r="C95" t="str">
        <f>Competitors!A75</f>
        <v>Anna Duran-Korzycka</v>
      </c>
      <c r="D95" s="13" t="str">
        <f>Competitors!A75</f>
        <v>Anna Duran-Korzycka</v>
      </c>
      <c r="E95" s="13" t="e">
        <f>SUM((VLOOKUP(B95, Rankings!C:E,3,FALSE)),(VLOOKUP(C95, Rankings!C:E,3,FALSE)),(VLOOKUP(D95, Rankings!C:E,3,FALSE)))</f>
        <v>#VALUE!</v>
      </c>
    </row>
    <row r="96" spans="2:5" s="5" customFormat="1" hidden="1" x14ac:dyDescent="0.25">
      <c r="B96" t="str">
        <f>Competitors!A76</f>
        <v>Anna Longoni</v>
      </c>
      <c r="C96" t="str">
        <f>Competitors!A76</f>
        <v>Anna Longoni</v>
      </c>
      <c r="D96" s="13" t="str">
        <f>Competitors!A76</f>
        <v>Anna Longoni</v>
      </c>
      <c r="E96" s="13" t="e">
        <f>SUM((VLOOKUP(B96, Rankings!C:E,3,FALSE)),(VLOOKUP(C96, Rankings!C:E,3,FALSE)),(VLOOKUP(D96, Rankings!C:E,3,FALSE)))</f>
        <v>#VALUE!</v>
      </c>
    </row>
    <row r="97" spans="2:5" s="5" customFormat="1" hidden="1" x14ac:dyDescent="0.25">
      <c r="B97" t="str">
        <f>Competitors!A77</f>
        <v>Anna Merlo</v>
      </c>
      <c r="C97" t="str">
        <f>Competitors!A77</f>
        <v>Anna Merlo</v>
      </c>
      <c r="D97" s="13" t="str">
        <f>Competitors!A77</f>
        <v>Anna Merlo</v>
      </c>
      <c r="E97" s="13" t="e">
        <f>SUM((VLOOKUP(B97, Rankings!C:E,3,FALSE)),(VLOOKUP(C97, Rankings!C:E,3,FALSE)),(VLOOKUP(D97, Rankings!C:E,3,FALSE)))</f>
        <v>#VALUE!</v>
      </c>
    </row>
    <row r="98" spans="2:5" s="5" customFormat="1" hidden="1" x14ac:dyDescent="0.25">
      <c r="B98" t="str">
        <f>Competitors!A78</f>
        <v>Anna Strait</v>
      </c>
      <c r="C98" t="str">
        <f>Competitors!A78</f>
        <v>Anna Strait</v>
      </c>
      <c r="D98" s="13" t="str">
        <f>Competitors!A78</f>
        <v>Anna Strait</v>
      </c>
      <c r="E98" s="13" t="e">
        <f>SUM((VLOOKUP(B98, Rankings!C:E,3,FALSE)),(VLOOKUP(C98, Rankings!C:E,3,FALSE)),(VLOOKUP(D98, Rankings!C:E,3,FALSE)))</f>
        <v>#VALUE!</v>
      </c>
    </row>
    <row r="99" spans="2:5" s="5" customFormat="1" hidden="1" x14ac:dyDescent="0.25">
      <c r="B99" t="str">
        <f>Competitors!A79</f>
        <v>Annalisa Bergonzoni</v>
      </c>
      <c r="C99" t="str">
        <f>Competitors!A79</f>
        <v>Annalisa Bergonzoni</v>
      </c>
      <c r="D99" s="13" t="str">
        <f>Competitors!A79</f>
        <v>Annalisa Bergonzoni</v>
      </c>
      <c r="E99" s="13" t="e">
        <f>SUM((VLOOKUP(B99, Rankings!C:E,3,FALSE)),(VLOOKUP(C99, Rankings!C:E,3,FALSE)),(VLOOKUP(D99, Rankings!C:E,3,FALSE)))</f>
        <v>#VALUE!</v>
      </c>
    </row>
    <row r="100" spans="2:5" s="5" customFormat="1" hidden="1" x14ac:dyDescent="0.25">
      <c r="B100" t="str">
        <f>Competitors!A80</f>
        <v>Ann-Charlotte Johansson</v>
      </c>
      <c r="C100" t="str">
        <f>Competitors!A80</f>
        <v>Ann-Charlotte Johansson</v>
      </c>
      <c r="D100" s="13" t="str">
        <f>Competitors!A80</f>
        <v>Ann-Charlotte Johansson</v>
      </c>
      <c r="E100" s="13" t="e">
        <f>SUM((VLOOKUP(B100, Rankings!C:E,3,FALSE)),(VLOOKUP(C100, Rankings!C:E,3,FALSE)),(VLOOKUP(D100, Rankings!C:E,3,FALSE)))</f>
        <v>#VALUE!</v>
      </c>
    </row>
    <row r="101" spans="2:5" s="5" customFormat="1" hidden="1" x14ac:dyDescent="0.25">
      <c r="B101" t="str">
        <f>Competitors!A81</f>
        <v>Anne Goh</v>
      </c>
      <c r="C101" t="str">
        <f>Competitors!A81</f>
        <v>Anne Goh</v>
      </c>
      <c r="D101" s="13" t="str">
        <f>Competitors!A81</f>
        <v>Anne Goh</v>
      </c>
      <c r="E101" s="13" t="e">
        <f>SUM((VLOOKUP(B101, Rankings!C:E,3,FALSE)),(VLOOKUP(C101, Rankings!C:E,3,FALSE)),(VLOOKUP(D101, Rankings!C:E,3,FALSE)))</f>
        <v>#VALUE!</v>
      </c>
    </row>
    <row r="102" spans="2:5" s="5" customFormat="1" hidden="1" x14ac:dyDescent="0.25">
      <c r="B102" t="str">
        <f>Competitors!A82</f>
        <v>Anton Capellmann</v>
      </c>
      <c r="C102" t="str">
        <f>Competitors!A82</f>
        <v>Anton Capellmann</v>
      </c>
      <c r="D102" s="13" t="str">
        <f>Competitors!A82</f>
        <v>Anton Capellmann</v>
      </c>
      <c r="E102" s="13" t="e">
        <f>SUM((VLOOKUP(B102, Rankings!C:E,3,FALSE)),(VLOOKUP(C102, Rankings!C:E,3,FALSE)),(VLOOKUP(D102, Rankings!C:E,3,FALSE)))</f>
        <v>#VALUE!</v>
      </c>
    </row>
    <row r="103" spans="2:5" s="5" customFormat="1" hidden="1" x14ac:dyDescent="0.25">
      <c r="B103" t="str">
        <f>Competitors!A83</f>
        <v>Anton Kappling</v>
      </c>
      <c r="C103" t="str">
        <f>Competitors!A83</f>
        <v>Anton Kappling</v>
      </c>
      <c r="D103" s="13" t="str">
        <f>Competitors!A83</f>
        <v>Anton Kappling</v>
      </c>
      <c r="E103" s="13" t="e">
        <f>SUM((VLOOKUP(B103, Rankings!C:E,3,FALSE)),(VLOOKUP(C103, Rankings!C:E,3,FALSE)),(VLOOKUP(D103, Rankings!C:E,3,FALSE)))</f>
        <v>#VALUE!</v>
      </c>
    </row>
    <row r="104" spans="2:5" s="5" customFormat="1" hidden="1" x14ac:dyDescent="0.25">
      <c r="B104" t="str">
        <f>Competitors!A84</f>
        <v>Anton Lindh</v>
      </c>
      <c r="C104" t="str">
        <f>Competitors!A84</f>
        <v>Anton Lindh</v>
      </c>
      <c r="D104" s="13" t="str">
        <f>Competitors!A84</f>
        <v>Anton Lindh</v>
      </c>
      <c r="E104" s="13" t="e">
        <f>SUM((VLOOKUP(B104, Rankings!C:E,3,FALSE)),(VLOOKUP(C104, Rankings!C:E,3,FALSE)),(VLOOKUP(D104, Rankings!C:E,3,FALSE)))</f>
        <v>#VALUE!</v>
      </c>
    </row>
    <row r="105" spans="2:5" s="5" customFormat="1" hidden="1" x14ac:dyDescent="0.25">
      <c r="B105" t="str">
        <f>Competitors!A85</f>
        <v>Antonio Attanasio</v>
      </c>
      <c r="C105" t="str">
        <f>Competitors!A85</f>
        <v>Antonio Attanasio</v>
      </c>
      <c r="D105" s="13" t="str">
        <f>Competitors!A85</f>
        <v>Antonio Attanasio</v>
      </c>
      <c r="E105" s="13" t="e">
        <f>SUM((VLOOKUP(B105, Rankings!C:E,3,FALSE)),(VLOOKUP(C105, Rankings!C:E,3,FALSE)),(VLOOKUP(D105, Rankings!C:E,3,FALSE)))</f>
        <v>#VALUE!</v>
      </c>
    </row>
    <row r="106" spans="2:5" s="5" customFormat="1" hidden="1" x14ac:dyDescent="0.25">
      <c r="B106" t="str">
        <f>Competitors!A86</f>
        <v>Antonio Caporale</v>
      </c>
      <c r="C106" t="str">
        <f>Competitors!A86</f>
        <v>Antonio Caporale</v>
      </c>
      <c r="D106" s="13" t="str">
        <f>Competitors!A86</f>
        <v>Antonio Caporale</v>
      </c>
      <c r="E106" s="13" t="e">
        <f>SUM((VLOOKUP(B106, Rankings!C:E,3,FALSE)),(VLOOKUP(C106, Rankings!C:E,3,FALSE)),(VLOOKUP(D106, Rankings!C:E,3,FALSE)))</f>
        <v>#VALUE!</v>
      </c>
    </row>
    <row r="107" spans="2:5" s="5" customFormat="1" hidden="1" x14ac:dyDescent="0.25">
      <c r="B107" t="str">
        <f>Competitors!A87</f>
        <v>Antonio Iannettone</v>
      </c>
      <c r="C107" t="str">
        <f>Competitors!A87</f>
        <v>Antonio Iannettone</v>
      </c>
      <c r="D107" s="13" t="str">
        <f>Competitors!A87</f>
        <v>Antonio Iannettone</v>
      </c>
      <c r="E107" s="13" t="e">
        <f>SUM((VLOOKUP(B107, Rankings!C:E,3,FALSE)),(VLOOKUP(C107, Rankings!C:E,3,FALSE)),(VLOOKUP(D107, Rankings!C:E,3,FALSE)))</f>
        <v>#VALUE!</v>
      </c>
    </row>
    <row r="108" spans="2:5" s="5" customFormat="1" hidden="1" x14ac:dyDescent="0.25">
      <c r="B108" t="str">
        <f>Competitors!A88</f>
        <v>Antonio Piccione Cusmá</v>
      </c>
      <c r="C108" t="str">
        <f>Competitors!A88</f>
        <v>Antonio Piccione Cusmá</v>
      </c>
      <c r="D108" s="13" t="str">
        <f>Competitors!A88</f>
        <v>Antonio Piccione Cusmá</v>
      </c>
      <c r="E108" s="13" t="e">
        <f>SUM((VLOOKUP(B108, Rankings!C:E,3,FALSE)),(VLOOKUP(C108, Rankings!C:E,3,FALSE)),(VLOOKUP(D108, Rankings!C:E,3,FALSE)))</f>
        <v>#VALUE!</v>
      </c>
    </row>
    <row r="109" spans="2:5" s="5" customFormat="1" hidden="1" x14ac:dyDescent="0.25">
      <c r="B109" t="str">
        <f>Competitors!A89</f>
        <v>Ari Kloke</v>
      </c>
      <c r="C109" t="str">
        <f>Competitors!A89</f>
        <v>Ari Kloke</v>
      </c>
      <c r="D109" s="13" t="str">
        <f>Competitors!A89</f>
        <v>Ari Kloke</v>
      </c>
      <c r="E109" s="13" t="e">
        <f>SUM((VLOOKUP(B109, Rankings!C:E,3,FALSE)),(VLOOKUP(C109, Rankings!C:E,3,FALSE)),(VLOOKUP(D109, Rankings!C:E,3,FALSE)))</f>
        <v>#VALUE!</v>
      </c>
    </row>
    <row r="110" spans="2:5" s="5" customFormat="1" hidden="1" x14ac:dyDescent="0.25">
      <c r="B110" t="str">
        <f>Competitors!A90</f>
        <v>Aria Andarizig</v>
      </c>
      <c r="C110" t="str">
        <f>Competitors!A90</f>
        <v>Aria Andarizig</v>
      </c>
      <c r="D110" s="13" t="str">
        <f>Competitors!A90</f>
        <v>Aria Andarizig</v>
      </c>
      <c r="E110" s="13" t="e">
        <f>SUM((VLOOKUP(B110, Rankings!C:E,3,FALSE)),(VLOOKUP(C110, Rankings!C:E,3,FALSE)),(VLOOKUP(D110, Rankings!C:E,3,FALSE)))</f>
        <v>#VALUE!</v>
      </c>
    </row>
    <row r="111" spans="2:5" s="5" customFormat="1" hidden="1" x14ac:dyDescent="0.25">
      <c r="B111" t="str">
        <f>Competitors!A91</f>
        <v>Arnon Avitzur</v>
      </c>
      <c r="C111" t="str">
        <f>Competitors!A91</f>
        <v>Arnon Avitzur</v>
      </c>
      <c r="D111" s="13" t="str">
        <f>Competitors!A91</f>
        <v>Arnon Avitzur</v>
      </c>
      <c r="E111" s="13" t="e">
        <f>SUM((VLOOKUP(B111, Rankings!C:E,3,FALSE)),(VLOOKUP(C111, Rankings!C:E,3,FALSE)),(VLOOKUP(D111, Rankings!C:E,3,FALSE)))</f>
        <v>#VALUE!</v>
      </c>
    </row>
    <row r="112" spans="2:5" s="5" customFormat="1" hidden="1" x14ac:dyDescent="0.25">
      <c r="B112" t="str">
        <f>Competitors!A92</f>
        <v>Art Viger</v>
      </c>
      <c r="C112" t="str">
        <f>Competitors!A92</f>
        <v>Art Viger</v>
      </c>
      <c r="D112" s="13" t="str">
        <f>Competitors!A92</f>
        <v>Art Viger</v>
      </c>
      <c r="E112" s="13" t="e">
        <f>SUM((VLOOKUP(B112, Rankings!C:E,3,FALSE)),(VLOOKUP(C112, Rankings!C:E,3,FALSE)),(VLOOKUP(D112, Rankings!C:E,3,FALSE)))</f>
        <v>#VALUE!</v>
      </c>
    </row>
    <row r="113" spans="2:5" s="5" customFormat="1" hidden="1" x14ac:dyDescent="0.25">
      <c r="B113" t="str">
        <f>Competitors!A93</f>
        <v>Arthur Coddington</v>
      </c>
      <c r="C113" t="str">
        <f>Competitors!A93</f>
        <v>Arthur Coddington</v>
      </c>
      <c r="D113" s="13" t="str">
        <f>Competitors!A93</f>
        <v>Arthur Coddington</v>
      </c>
      <c r="E113" s="13" t="e">
        <f>SUM((VLOOKUP(B113, Rankings!C:E,3,FALSE)),(VLOOKUP(C113, Rankings!C:E,3,FALSE)),(VLOOKUP(D113, Rankings!C:E,3,FALSE)))</f>
        <v>#VALUE!</v>
      </c>
    </row>
    <row r="114" spans="2:5" s="5" customFormat="1" hidden="1" x14ac:dyDescent="0.25">
      <c r="B114" t="str">
        <f>Competitors!A94</f>
        <v>Austin Borcherding</v>
      </c>
      <c r="C114" t="str">
        <f>Competitors!A94</f>
        <v>Austin Borcherding</v>
      </c>
      <c r="D114" s="13" t="str">
        <f>Competitors!A94</f>
        <v>Austin Borcherding</v>
      </c>
      <c r="E114" s="13" t="e">
        <f>SUM((VLOOKUP(B114, Rankings!C:E,3,FALSE)),(VLOOKUP(C114, Rankings!C:E,3,FALSE)),(VLOOKUP(D114, Rankings!C:E,3,FALSE)))</f>
        <v>#VALUE!</v>
      </c>
    </row>
    <row r="115" spans="2:5" s="5" customFormat="1" hidden="1" x14ac:dyDescent="0.25">
      <c r="B115" t="str">
        <f>Competitors!A95</f>
        <v>Avery Jenkins</v>
      </c>
      <c r="C115" t="str">
        <f>Competitors!A95</f>
        <v>Avery Jenkins</v>
      </c>
      <c r="D115" s="13" t="str">
        <f>Competitors!A95</f>
        <v>Avery Jenkins</v>
      </c>
      <c r="E115" s="13" t="e">
        <f>SUM((VLOOKUP(B115, Rankings!C:E,3,FALSE)),(VLOOKUP(C115, Rankings!C:E,3,FALSE)),(VLOOKUP(D115, Rankings!C:E,3,FALSE)))</f>
        <v>#VALUE!</v>
      </c>
    </row>
    <row r="116" spans="2:5" s="5" customFormat="1" hidden="1" x14ac:dyDescent="0.25">
      <c r="B116" t="str">
        <f>Competitors!A96</f>
        <v>Avihiy Haim</v>
      </c>
      <c r="C116" t="str">
        <f>Competitors!A96</f>
        <v>Avihiy Haim</v>
      </c>
      <c r="D116" s="13" t="str">
        <f>Competitors!A96</f>
        <v>Avihiy Haim</v>
      </c>
      <c r="E116" s="13" t="e">
        <f>SUM((VLOOKUP(B116, Rankings!C:E,3,FALSE)),(VLOOKUP(C116, Rankings!C:E,3,FALSE)),(VLOOKUP(D116, Rankings!C:E,3,FALSE)))</f>
        <v>#VALUE!</v>
      </c>
    </row>
    <row r="117" spans="2:5" s="5" customFormat="1" hidden="1" x14ac:dyDescent="0.25">
      <c r="B117" t="str">
        <f>Competitors!A97</f>
        <v>Aya Ichikawa</v>
      </c>
      <c r="C117" t="str">
        <f>Competitors!A97</f>
        <v>Aya Ichikawa</v>
      </c>
      <c r="D117" s="13" t="str">
        <f>Competitors!A97</f>
        <v>Aya Ichikawa</v>
      </c>
      <c r="E117" s="13" t="e">
        <f>SUM((VLOOKUP(B117, Rankings!C:E,3,FALSE)),(VLOOKUP(C117, Rankings!C:E,3,FALSE)),(VLOOKUP(D117, Rankings!C:E,3,FALSE)))</f>
        <v>#VALUE!</v>
      </c>
    </row>
    <row r="118" spans="2:5" s="5" customFormat="1" hidden="1" x14ac:dyDescent="0.25">
      <c r="B118" t="str">
        <f>Competitors!A98</f>
        <v>Ayal Benin</v>
      </c>
      <c r="C118" t="str">
        <f>Competitors!A98</f>
        <v>Ayal Benin</v>
      </c>
      <c r="D118" s="13" t="str">
        <f>Competitors!A98</f>
        <v>Ayal Benin</v>
      </c>
      <c r="E118" s="13" t="e">
        <f>SUM((VLOOKUP(B118, Rankings!C:E,3,FALSE)),(VLOOKUP(C118, Rankings!C:E,3,FALSE)),(VLOOKUP(D118, Rankings!C:E,3,FALSE)))</f>
        <v>#VALUE!</v>
      </c>
    </row>
    <row r="119" spans="2:5" s="5" customFormat="1" hidden="1" x14ac:dyDescent="0.25">
      <c r="B119" t="str">
        <f>Competitors!A99</f>
        <v>Bailey Bonaci</v>
      </c>
      <c r="C119" t="str">
        <f>Competitors!A99</f>
        <v>Bailey Bonaci</v>
      </c>
      <c r="D119" s="13" t="str">
        <f>Competitors!A99</f>
        <v>Bailey Bonaci</v>
      </c>
      <c r="E119" s="13" t="e">
        <f>SUM((VLOOKUP(B119, Rankings!C:E,3,FALSE)),(VLOOKUP(C119, Rankings!C:E,3,FALSE)),(VLOOKUP(D119, Rankings!C:E,3,FALSE)))</f>
        <v>#VALUE!</v>
      </c>
    </row>
    <row r="120" spans="2:5" s="5" customFormat="1" hidden="1" x14ac:dyDescent="0.25">
      <c r="B120" t="str">
        <f>Competitors!A100</f>
        <v>Balu Major</v>
      </c>
      <c r="C120" t="str">
        <f>Competitors!A100</f>
        <v>Balu Major</v>
      </c>
      <c r="D120" s="13" t="str">
        <f>Competitors!A100</f>
        <v>Balu Major</v>
      </c>
      <c r="E120" s="13" t="e">
        <f>SUM((VLOOKUP(B120, Rankings!C:E,3,FALSE)),(VLOOKUP(C120, Rankings!C:E,3,FALSE)),(VLOOKUP(D120, Rankings!C:E,3,FALSE)))</f>
        <v>#VALUE!</v>
      </c>
    </row>
    <row r="121" spans="2:5" s="5" customFormat="1" hidden="1" x14ac:dyDescent="0.25">
      <c r="B121" t="str">
        <f>Competitors!A101</f>
        <v>Bar Bendek</v>
      </c>
      <c r="C121" t="str">
        <f>Competitors!A101</f>
        <v>Bar Bendek</v>
      </c>
      <c r="D121" s="13" t="str">
        <f>Competitors!A101</f>
        <v>Bar Bendek</v>
      </c>
      <c r="E121" s="13" t="e">
        <f>SUM((VLOOKUP(B121, Rankings!C:E,3,FALSE)),(VLOOKUP(C121, Rankings!C:E,3,FALSE)),(VLOOKUP(D121, Rankings!C:E,3,FALSE)))</f>
        <v>#VALUE!</v>
      </c>
    </row>
    <row r="122" spans="2:5" s="5" customFormat="1" hidden="1" x14ac:dyDescent="0.25">
      <c r="B122" t="str">
        <f>Competitors!A102</f>
        <v>Bart Lodewijk</v>
      </c>
      <c r="C122" t="str">
        <f>Competitors!A102</f>
        <v>Bart Lodewijk</v>
      </c>
      <c r="D122" s="13" t="str">
        <f>Competitors!A102</f>
        <v>Bart Lodewijk</v>
      </c>
      <c r="E122" s="13" t="e">
        <f>SUM((VLOOKUP(B122, Rankings!C:E,3,FALSE)),(VLOOKUP(C122, Rankings!C:E,3,FALSE)),(VLOOKUP(D122, Rankings!C:E,3,FALSE)))</f>
        <v>#VALUE!</v>
      </c>
    </row>
    <row r="123" spans="2:5" s="5" customFormat="1" hidden="1" x14ac:dyDescent="0.25">
      <c r="B123" t="str">
        <f>Competitors!A103</f>
        <v>Bartek Dusowski</v>
      </c>
      <c r="C123" t="str">
        <f>Competitors!A103</f>
        <v>Bartek Dusowski</v>
      </c>
      <c r="D123" s="13" t="str">
        <f>Competitors!A103</f>
        <v>Bartek Dusowski</v>
      </c>
      <c r="E123" s="13" t="e">
        <f>SUM((VLOOKUP(B123, Rankings!C:E,3,FALSE)),(VLOOKUP(C123, Rankings!C:E,3,FALSE)),(VLOOKUP(D123, Rankings!C:E,3,FALSE)))</f>
        <v>#VALUE!</v>
      </c>
    </row>
    <row r="124" spans="2:5" s="5" customFormat="1" hidden="1" x14ac:dyDescent="0.25">
      <c r="B124" t="str">
        <f>Competitors!A104</f>
        <v>Beka Namchevadze</v>
      </c>
      <c r="C124" t="str">
        <f>Competitors!A104</f>
        <v>Beka Namchevadze</v>
      </c>
      <c r="D124" s="13" t="str">
        <f>Competitors!A104</f>
        <v>Beka Namchevadze</v>
      </c>
      <c r="E124" s="13" t="e">
        <f>SUM((VLOOKUP(B124, Rankings!C:E,3,FALSE)),(VLOOKUP(C124, Rankings!C:E,3,FALSE)),(VLOOKUP(D124, Rankings!C:E,3,FALSE)))</f>
        <v>#VALUE!</v>
      </c>
    </row>
    <row r="125" spans="2:5" s="5" customFormat="1" hidden="1" x14ac:dyDescent="0.25">
      <c r="B125" t="str">
        <f>Competitors!A105</f>
        <v>Ben Singer</v>
      </c>
      <c r="C125" t="str">
        <f>Competitors!A105</f>
        <v>Ben Singer</v>
      </c>
      <c r="D125" s="13" t="str">
        <f>Competitors!A105</f>
        <v>Ben Singer</v>
      </c>
      <c r="E125" s="13" t="e">
        <f>SUM((VLOOKUP(B125, Rankings!C:E,3,FALSE)),(VLOOKUP(C125, Rankings!C:E,3,FALSE)),(VLOOKUP(D125, Rankings!C:E,3,FALSE)))</f>
        <v>#VALUE!</v>
      </c>
    </row>
    <row r="126" spans="2:5" s="5" customFormat="1" hidden="1" x14ac:dyDescent="0.25">
      <c r="B126" t="str">
        <f>Competitors!A106</f>
        <v>Benedicte Audet</v>
      </c>
      <c r="C126" t="str">
        <f>Competitors!A106</f>
        <v>Benedicte Audet</v>
      </c>
      <c r="D126" s="13" t="str">
        <f>Competitors!A106</f>
        <v>Benedicte Audet</v>
      </c>
      <c r="E126" s="13" t="e">
        <f>SUM((VLOOKUP(B126, Rankings!C:E,3,FALSE)),(VLOOKUP(C126, Rankings!C:E,3,FALSE)),(VLOOKUP(D126, Rankings!C:E,3,FALSE)))</f>
        <v>#VALUE!</v>
      </c>
    </row>
    <row r="127" spans="2:5" s="5" customFormat="1" hidden="1" x14ac:dyDescent="0.25">
      <c r="B127" t="str">
        <f>Competitors!A107</f>
        <v>Benedigt Becker</v>
      </c>
      <c r="C127" t="str">
        <f>Competitors!A107</f>
        <v>Benedigt Becker</v>
      </c>
      <c r="D127" s="13" t="str">
        <f>Competitors!A107</f>
        <v>Benedigt Becker</v>
      </c>
      <c r="E127" s="13" t="e">
        <f>SUM((VLOOKUP(B127, Rankings!C:E,3,FALSE)),(VLOOKUP(C127, Rankings!C:E,3,FALSE)),(VLOOKUP(D127, Rankings!C:E,3,FALSE)))</f>
        <v>#VALUE!</v>
      </c>
    </row>
    <row r="128" spans="2:5" s="5" customFormat="1" hidden="1" x14ac:dyDescent="0.25">
      <c r="B128" t="str">
        <f>Competitors!A108</f>
        <v>Benjamin Edelmann</v>
      </c>
      <c r="C128" t="str">
        <f>Competitors!A108</f>
        <v>Benjamin Edelmann</v>
      </c>
      <c r="D128" s="13" t="str">
        <f>Competitors!A108</f>
        <v>Benjamin Edelmann</v>
      </c>
      <c r="E128" s="13" t="e">
        <f>SUM((VLOOKUP(B128, Rankings!C:E,3,FALSE)),(VLOOKUP(C128, Rankings!C:E,3,FALSE)),(VLOOKUP(D128, Rankings!C:E,3,FALSE)))</f>
        <v>#VALUE!</v>
      </c>
    </row>
    <row r="129" spans="2:5" s="5" customFormat="1" hidden="1" x14ac:dyDescent="0.25">
      <c r="B129" t="str">
        <f>Competitors!A109</f>
        <v>Benni Sing</v>
      </c>
      <c r="C129" t="str">
        <f>Competitors!A109</f>
        <v>Benni Sing</v>
      </c>
      <c r="D129" s="13" t="str">
        <f>Competitors!A109</f>
        <v>Benni Sing</v>
      </c>
      <c r="E129" s="13" t="e">
        <f>SUM((VLOOKUP(B129, Rankings!C:E,3,FALSE)),(VLOOKUP(C129, Rankings!C:E,3,FALSE)),(VLOOKUP(D129, Rankings!C:E,3,FALSE)))</f>
        <v>#VALUE!</v>
      </c>
    </row>
    <row r="130" spans="2:5" s="5" customFormat="1" hidden="1" x14ac:dyDescent="0.25">
      <c r="B130" t="str">
        <f>Competitors!A110</f>
        <v>Bernie Murray</v>
      </c>
      <c r="C130" t="str">
        <f>Competitors!A110</f>
        <v>Bernie Murray</v>
      </c>
      <c r="D130" s="13" t="str">
        <f>Competitors!A110</f>
        <v>Bernie Murray</v>
      </c>
      <c r="E130" s="13" t="e">
        <f>SUM((VLOOKUP(B130, Rankings!C:E,3,FALSE)),(VLOOKUP(C130, Rankings!C:E,3,FALSE)),(VLOOKUP(D130, Rankings!C:E,3,FALSE)))</f>
        <v>#VALUE!</v>
      </c>
    </row>
    <row r="131" spans="2:5" s="5" customFormat="1" hidden="1" x14ac:dyDescent="0.25">
      <c r="B131" t="str">
        <f>Competitors!A111</f>
        <v>Beth Verish</v>
      </c>
      <c r="C131" t="str">
        <f>Competitors!A111</f>
        <v>Beth Verish</v>
      </c>
      <c r="D131" s="13" t="str">
        <f>Competitors!A111</f>
        <v>Beth Verish</v>
      </c>
      <c r="E131" s="13" t="e">
        <f>SUM((VLOOKUP(B131, Rankings!C:E,3,FALSE)),(VLOOKUP(C131, Rankings!C:E,3,FALSE)),(VLOOKUP(D131, Rankings!C:E,3,FALSE)))</f>
        <v>#VALUE!</v>
      </c>
    </row>
    <row r="132" spans="2:5" s="5" customFormat="1" hidden="1" x14ac:dyDescent="0.25">
      <c r="B132" t="str">
        <f>Competitors!A112</f>
        <v>Bethany Sanchez</v>
      </c>
      <c r="C132" t="str">
        <f>Competitors!A112</f>
        <v>Bethany Sanchez</v>
      </c>
      <c r="D132" s="13" t="str">
        <f>Competitors!A112</f>
        <v>Bethany Sanchez</v>
      </c>
      <c r="E132" s="13" t="e">
        <f>SUM((VLOOKUP(B132, Rankings!C:E,3,FALSE)),(VLOOKUP(C132, Rankings!C:E,3,FALSE)),(VLOOKUP(D132, Rankings!C:E,3,FALSE)))</f>
        <v>#VALUE!</v>
      </c>
    </row>
    <row r="133" spans="2:5" s="5" customFormat="1" hidden="1" x14ac:dyDescent="0.25">
      <c r="B133" t="str">
        <f>Competitors!A113</f>
        <v>Bianca Strunz</v>
      </c>
      <c r="C133" t="str">
        <f>Competitors!A113</f>
        <v>Bianca Strunz</v>
      </c>
      <c r="D133" s="13" t="str">
        <f>Competitors!A113</f>
        <v>Bianca Strunz</v>
      </c>
      <c r="E133" s="13" t="e">
        <f>SUM((VLOOKUP(B133, Rankings!C:E,3,FALSE)),(VLOOKUP(C133, Rankings!C:E,3,FALSE)),(VLOOKUP(D133, Rankings!C:E,3,FALSE)))</f>
        <v>#VALUE!</v>
      </c>
    </row>
    <row r="134" spans="2:5" s="5" customFormat="1" hidden="1" x14ac:dyDescent="0.25">
      <c r="B134" t="str">
        <f>Competitors!A114</f>
        <v>Bill Chetel</v>
      </c>
      <c r="C134" t="str">
        <f>Competitors!A114</f>
        <v>Bill Chetel</v>
      </c>
      <c r="D134" s="13" t="str">
        <f>Competitors!A114</f>
        <v>Bill Chetel</v>
      </c>
      <c r="E134" s="13" t="e">
        <f>SUM((VLOOKUP(B134, Rankings!C:E,3,FALSE)),(VLOOKUP(C134, Rankings!C:E,3,FALSE)),(VLOOKUP(D134, Rankings!C:E,3,FALSE)))</f>
        <v>#VALUE!</v>
      </c>
    </row>
    <row r="135" spans="2:5" s="5" customFormat="1" hidden="1" x14ac:dyDescent="0.25">
      <c r="B135" t="str">
        <f>Competitors!A115</f>
        <v>Bill Wright</v>
      </c>
      <c r="C135" t="str">
        <f>Competitors!A115</f>
        <v>Bill Wright</v>
      </c>
      <c r="D135" s="13" t="str">
        <f>Competitors!A115</f>
        <v>Bill Wright</v>
      </c>
      <c r="E135" s="13" t="e">
        <f>SUM((VLOOKUP(B135, Rankings!C:E,3,FALSE)),(VLOOKUP(C135, Rankings!C:E,3,FALSE)),(VLOOKUP(D135, Rankings!C:E,3,FALSE)))</f>
        <v>#VALUE!</v>
      </c>
    </row>
    <row r="136" spans="2:5" s="5" customFormat="1" hidden="1" x14ac:dyDescent="0.25">
      <c r="B136" t="str">
        <f>Competitors!A116</f>
        <v>Billy Caplin</v>
      </c>
      <c r="C136" t="str">
        <f>Competitors!A116</f>
        <v>Billy Caplin</v>
      </c>
      <c r="D136" s="13" t="str">
        <f>Competitors!A116</f>
        <v>Billy Caplin</v>
      </c>
      <c r="E136" s="13" t="e">
        <f>SUM((VLOOKUP(B136, Rankings!C:E,3,FALSE)),(VLOOKUP(C136, Rankings!C:E,3,FALSE)),(VLOOKUP(D136, Rankings!C:E,3,FALSE)))</f>
        <v>#VALUE!</v>
      </c>
    </row>
    <row r="137" spans="2:5" s="5" customFormat="1" hidden="1" x14ac:dyDescent="0.25">
      <c r="B137" t="str">
        <f>Competitors!A117</f>
        <v>Billy Kaplan</v>
      </c>
      <c r="C137" t="str">
        <f>Competitors!A117</f>
        <v>Billy Kaplan</v>
      </c>
      <c r="D137" s="13" t="str">
        <f>Competitors!A117</f>
        <v>Billy Kaplan</v>
      </c>
      <c r="E137" s="13" t="e">
        <f>SUM((VLOOKUP(B137, Rankings!C:E,3,FALSE)),(VLOOKUP(C137, Rankings!C:E,3,FALSE)),(VLOOKUP(D137, Rankings!C:E,3,FALSE)))</f>
        <v>#VALUE!</v>
      </c>
    </row>
    <row r="138" spans="2:5" s="5" customFormat="1" hidden="1" x14ac:dyDescent="0.25">
      <c r="B138" t="str">
        <f>Competitors!A118</f>
        <v>Birger Schmidt</v>
      </c>
      <c r="C138" t="str">
        <f>Competitors!A118</f>
        <v>Birger Schmidt</v>
      </c>
      <c r="D138" s="13" t="str">
        <f>Competitors!A118</f>
        <v>Birger Schmidt</v>
      </c>
      <c r="E138" s="13" t="e">
        <f>SUM((VLOOKUP(B138, Rankings!C:E,3,FALSE)),(VLOOKUP(C138, Rankings!C:E,3,FALSE)),(VLOOKUP(D138, Rankings!C:E,3,FALSE)))</f>
        <v>#VALUE!</v>
      </c>
    </row>
    <row r="139" spans="2:5" s="5" customFormat="1" hidden="1" x14ac:dyDescent="0.25">
      <c r="B139" t="str">
        <f>Competitors!A119</f>
        <v>Birgit Lenger</v>
      </c>
      <c r="C139" t="str">
        <f>Competitors!A119</f>
        <v>Birgit Lenger</v>
      </c>
      <c r="D139" s="13" t="str">
        <f>Competitors!A119</f>
        <v>Birgit Lenger</v>
      </c>
      <c r="E139" s="13" t="e">
        <f>SUM((VLOOKUP(B139, Rankings!C:E,3,FALSE)),(VLOOKUP(C139, Rankings!C:E,3,FALSE)),(VLOOKUP(D139, Rankings!C:E,3,FALSE)))</f>
        <v>#VALUE!</v>
      </c>
    </row>
    <row r="140" spans="2:5" s="5" customFormat="1" hidden="1" x14ac:dyDescent="0.25">
      <c r="B140" t="str">
        <f>Competitors!A120</f>
        <v>Björn Ahlström</v>
      </c>
      <c r="C140" t="str">
        <f>Competitors!A120</f>
        <v>Björn Ahlström</v>
      </c>
      <c r="D140" s="13" t="str">
        <f>Competitors!A120</f>
        <v>Björn Ahlström</v>
      </c>
      <c r="E140" s="13" t="e">
        <f>SUM((VLOOKUP(B140, Rankings!C:E,3,FALSE)),(VLOOKUP(C140, Rankings!C:E,3,FALSE)),(VLOOKUP(D140, Rankings!C:E,3,FALSE)))</f>
        <v>#VALUE!</v>
      </c>
    </row>
    <row r="141" spans="2:5" s="5" customFormat="1" hidden="1" x14ac:dyDescent="0.25">
      <c r="B141" t="str">
        <f>Competitors!A121</f>
        <v>Bjorn Tiggis</v>
      </c>
      <c r="C141" t="str">
        <f>Competitors!A121</f>
        <v>Bjorn Tiggis</v>
      </c>
      <c r="D141" s="13" t="str">
        <f>Competitors!A121</f>
        <v>Bjorn Tiggis</v>
      </c>
      <c r="E141" s="13" t="e">
        <f>SUM((VLOOKUP(B141, Rankings!C:E,3,FALSE)),(VLOOKUP(C141, Rankings!C:E,3,FALSE)),(VLOOKUP(D141, Rankings!C:E,3,FALSE)))</f>
        <v>#VALUE!</v>
      </c>
    </row>
    <row r="142" spans="2:5" s="5" customFormat="1" hidden="1" x14ac:dyDescent="0.25">
      <c r="B142" t="str">
        <f>Competitors!A122</f>
        <v>Blake Herrschaft</v>
      </c>
      <c r="C142" t="str">
        <f>Competitors!A122</f>
        <v>Blake Herrschaft</v>
      </c>
      <c r="D142" s="13" t="str">
        <f>Competitors!A122</f>
        <v>Blake Herrschaft</v>
      </c>
      <c r="E142" s="13" t="e">
        <f>SUM((VLOOKUP(B142, Rankings!C:E,3,FALSE)),(VLOOKUP(C142, Rankings!C:E,3,FALSE)),(VLOOKUP(D142, Rankings!C:E,3,FALSE)))</f>
        <v>#VALUE!</v>
      </c>
    </row>
    <row r="143" spans="2:5" s="5" customFormat="1" hidden="1" x14ac:dyDescent="0.25">
      <c r="B143" t="str">
        <f>Competitors!A123</f>
        <v>Bob Boulware</v>
      </c>
      <c r="C143" t="str">
        <f>Competitors!A123</f>
        <v>Bob Boulware</v>
      </c>
      <c r="D143" s="13" t="str">
        <f>Competitors!A123</f>
        <v>Bob Boulware</v>
      </c>
      <c r="E143" s="13" t="e">
        <f>SUM((VLOOKUP(B143, Rankings!C:E,3,FALSE)),(VLOOKUP(C143, Rankings!C:E,3,FALSE)),(VLOOKUP(D143, Rankings!C:E,3,FALSE)))</f>
        <v>#VALUE!</v>
      </c>
    </row>
    <row r="144" spans="2:5" s="5" customFormat="1" hidden="1" x14ac:dyDescent="0.25">
      <c r="B144" t="str">
        <f>Competitors!A124</f>
        <v>Bob Coleman</v>
      </c>
      <c r="C144" t="str">
        <f>Competitors!A124</f>
        <v>Bob Coleman</v>
      </c>
      <c r="D144" s="13" t="str">
        <f>Competitors!A124</f>
        <v>Bob Coleman</v>
      </c>
      <c r="E144" s="13" t="e">
        <f>SUM((VLOOKUP(B144, Rankings!C:E,3,FALSE)),(VLOOKUP(C144, Rankings!C:E,3,FALSE)),(VLOOKUP(D144, Rankings!C:E,3,FALSE)))</f>
        <v>#VALUE!</v>
      </c>
    </row>
    <row r="145" spans="2:5" s="5" customFormat="1" hidden="1" x14ac:dyDescent="0.25">
      <c r="B145" t="str">
        <f>Competitors!A125</f>
        <v>Bob Cooksey</v>
      </c>
      <c r="C145" t="str">
        <f>Competitors!A125</f>
        <v>Bob Cooksey</v>
      </c>
      <c r="D145" s="13" t="str">
        <f>Competitors!A125</f>
        <v>Bob Cooksey</v>
      </c>
      <c r="E145" s="13" t="e">
        <f>SUM((VLOOKUP(B145, Rankings!C:E,3,FALSE)),(VLOOKUP(C145, Rankings!C:E,3,FALSE)),(VLOOKUP(D145, Rankings!C:E,3,FALSE)))</f>
        <v>#VALUE!</v>
      </c>
    </row>
    <row r="146" spans="2:5" s="5" customFormat="1" hidden="1" x14ac:dyDescent="0.25">
      <c r="B146" t="str">
        <f>Competitors!A126</f>
        <v>Bob Gossett</v>
      </c>
      <c r="C146" t="str">
        <f>Competitors!A126</f>
        <v>Bob Gossett</v>
      </c>
      <c r="D146" s="13" t="str">
        <f>Competitors!A126</f>
        <v>Bob Gossett</v>
      </c>
      <c r="E146" s="13" t="e">
        <f>SUM((VLOOKUP(B146, Rankings!C:E,3,FALSE)),(VLOOKUP(C146, Rankings!C:E,3,FALSE)),(VLOOKUP(D146, Rankings!C:E,3,FALSE)))</f>
        <v>#VALUE!</v>
      </c>
    </row>
    <row r="147" spans="2:5" s="5" customFormat="1" hidden="1" x14ac:dyDescent="0.25">
      <c r="B147" t="str">
        <f>Competitors!A127</f>
        <v>Bobbo Karlsson</v>
      </c>
      <c r="C147" t="str">
        <f>Competitors!A127</f>
        <v>Bobbo Karlsson</v>
      </c>
      <c r="D147" s="13" t="str">
        <f>Competitors!A127</f>
        <v>Bobbo Karlsson</v>
      </c>
      <c r="E147" s="13" t="e">
        <f>SUM((VLOOKUP(B147, Rankings!C:E,3,FALSE)),(VLOOKUP(C147, Rankings!C:E,3,FALSE)),(VLOOKUP(D147, Rankings!C:E,3,FALSE)))</f>
        <v>#VALUE!</v>
      </c>
    </row>
    <row r="148" spans="2:5" s="5" customFormat="1" hidden="1" x14ac:dyDescent="0.25">
      <c r="B148" t="str">
        <f>Competitors!A128</f>
        <v>Boguslaw Bul</v>
      </c>
      <c r="C148" t="str">
        <f>Competitors!A128</f>
        <v>Boguslaw Bul</v>
      </c>
      <c r="D148" s="13" t="str">
        <f>Competitors!A128</f>
        <v>Boguslaw Bul</v>
      </c>
      <c r="E148" s="13" t="e">
        <f>SUM((VLOOKUP(B148, Rankings!C:E,3,FALSE)),(VLOOKUP(C148, Rankings!C:E,3,FALSE)),(VLOOKUP(D148, Rankings!C:E,3,FALSE)))</f>
        <v>#VALUE!</v>
      </c>
    </row>
    <row r="149" spans="2:5" s="5" customFormat="1" hidden="1" x14ac:dyDescent="0.25">
      <c r="B149" t="str">
        <f>Competitors!A129</f>
        <v>Brad Bishop</v>
      </c>
      <c r="C149" t="str">
        <f>Competitors!A129</f>
        <v>Brad Bishop</v>
      </c>
      <c r="D149" s="13" t="str">
        <f>Competitors!A129</f>
        <v>Brad Bishop</v>
      </c>
      <c r="E149" s="13" t="e">
        <f>SUM((VLOOKUP(B149, Rankings!C:E,3,FALSE)),(VLOOKUP(C149, Rankings!C:E,3,FALSE)),(VLOOKUP(D149, Rankings!C:E,3,FALSE)))</f>
        <v>#VALUE!</v>
      </c>
    </row>
    <row r="150" spans="2:5" s="5" customFormat="1" hidden="1" x14ac:dyDescent="0.25">
      <c r="B150" t="str">
        <f>Competitors!A130</f>
        <v>Brad Keller</v>
      </c>
      <c r="C150" t="str">
        <f>Competitors!A130</f>
        <v>Brad Keller</v>
      </c>
      <c r="D150" s="13" t="str">
        <f>Competitors!A130</f>
        <v>Brad Keller</v>
      </c>
      <c r="E150" s="13" t="e">
        <f>SUM((VLOOKUP(B150, Rankings!C:E,3,FALSE)),(VLOOKUP(C150, Rankings!C:E,3,FALSE)),(VLOOKUP(D150, Rankings!C:E,3,FALSE)))</f>
        <v>#VALUE!</v>
      </c>
    </row>
    <row r="151" spans="2:5" s="5" customFormat="1" hidden="1" x14ac:dyDescent="0.25">
      <c r="B151" t="str">
        <f>Competitors!A131</f>
        <v>Bram Maassen</v>
      </c>
      <c r="C151" t="str">
        <f>Competitors!A131</f>
        <v>Bram Maassen</v>
      </c>
      <c r="D151" s="13" t="str">
        <f>Competitors!A131</f>
        <v>Bram Maassen</v>
      </c>
      <c r="E151" s="13" t="e">
        <f>SUM((VLOOKUP(B151, Rankings!C:E,3,FALSE)),(VLOOKUP(C151, Rankings!C:E,3,FALSE)),(VLOOKUP(D151, Rankings!C:E,3,FALSE)))</f>
        <v>#VALUE!</v>
      </c>
    </row>
    <row r="152" spans="2:5" s="5" customFormat="1" hidden="1" x14ac:dyDescent="0.25">
      <c r="B152" t="str">
        <f>Competitors!A132</f>
        <v>Brett Schramek</v>
      </c>
      <c r="C152" t="str">
        <f>Competitors!A132</f>
        <v>Brett Schramek</v>
      </c>
      <c r="D152" s="13" t="str">
        <f>Competitors!A132</f>
        <v>Brett Schramek</v>
      </c>
      <c r="E152" s="13" t="e">
        <f>SUM((VLOOKUP(B152, Rankings!C:E,3,FALSE)),(VLOOKUP(C152, Rankings!C:E,3,FALSE)),(VLOOKUP(D152, Rankings!C:E,3,FALSE)))</f>
        <v>#VALUE!</v>
      </c>
    </row>
    <row r="153" spans="2:5" s="5" customFormat="1" hidden="1" x14ac:dyDescent="0.25">
      <c r="B153" t="str">
        <f>Competitors!A133</f>
        <v>Brian Boate</v>
      </c>
      <c r="C153" t="str">
        <f>Competitors!A133</f>
        <v>Brian Boate</v>
      </c>
      <c r="D153" s="13" t="str">
        <f>Competitors!A133</f>
        <v>Brian Boate</v>
      </c>
      <c r="E153" s="13" t="e">
        <f>SUM((VLOOKUP(B153, Rankings!C:E,3,FALSE)),(VLOOKUP(C153, Rankings!C:E,3,FALSE)),(VLOOKUP(D153, Rankings!C:E,3,FALSE)))</f>
        <v>#VALUE!</v>
      </c>
    </row>
    <row r="154" spans="2:5" s="5" customFormat="1" hidden="1" x14ac:dyDescent="0.25">
      <c r="B154" t="str">
        <f>Competitors!A134</f>
        <v>Brian McElwain</v>
      </c>
      <c r="C154" t="str">
        <f>Competitors!A134</f>
        <v>Brian McElwain</v>
      </c>
      <c r="D154" s="13" t="str">
        <f>Competitors!A134</f>
        <v>Brian McElwain</v>
      </c>
      <c r="E154" s="13" t="e">
        <f>SUM((VLOOKUP(B154, Rankings!C:E,3,FALSE)),(VLOOKUP(C154, Rankings!C:E,3,FALSE)),(VLOOKUP(D154, Rankings!C:E,3,FALSE)))</f>
        <v>#VALUE!</v>
      </c>
    </row>
    <row r="155" spans="2:5" s="5" customFormat="1" hidden="1" x14ac:dyDescent="0.25">
      <c r="B155" t="str">
        <f>Competitors!A135</f>
        <v>Bruce Page</v>
      </c>
      <c r="C155" t="str">
        <f>Competitors!A135</f>
        <v>Bruce Page</v>
      </c>
      <c r="D155" s="13" t="str">
        <f>Competitors!A135</f>
        <v>Bruce Page</v>
      </c>
      <c r="E155" s="13" t="e">
        <f>SUM((VLOOKUP(B155, Rankings!C:E,3,FALSE)),(VLOOKUP(C155, Rankings!C:E,3,FALSE)),(VLOOKUP(D155, Rankings!C:E,3,FALSE)))</f>
        <v>#VALUE!</v>
      </c>
    </row>
    <row r="156" spans="2:5" s="5" customFormat="1" hidden="1" x14ac:dyDescent="0.25">
      <c r="B156" t="str">
        <f>Competitors!A136</f>
        <v>Bryan Steffen</v>
      </c>
      <c r="C156" t="str">
        <f>Competitors!A136</f>
        <v>Bryan Steffen</v>
      </c>
      <c r="D156" s="13" t="str">
        <f>Competitors!A136</f>
        <v>Bryan Steffen</v>
      </c>
      <c r="E156" s="13" t="e">
        <f>SUM((VLOOKUP(B156, Rankings!C:E,3,FALSE)),(VLOOKUP(C156, Rankings!C:E,3,FALSE)),(VLOOKUP(D156, Rankings!C:E,3,FALSE)))</f>
        <v>#VALUE!</v>
      </c>
    </row>
    <row r="157" spans="2:5" s="5" customFormat="1" hidden="1" x14ac:dyDescent="0.25">
      <c r="B157" t="str">
        <f>Competitors!A137</f>
        <v>Cade Loving</v>
      </c>
      <c r="C157" t="str">
        <f>Competitors!A137</f>
        <v>Cade Loving</v>
      </c>
      <c r="D157" s="13" t="str">
        <f>Competitors!A137</f>
        <v>Cade Loving</v>
      </c>
      <c r="E157" s="13" t="e">
        <f>SUM((VLOOKUP(B157, Rankings!C:E,3,FALSE)),(VLOOKUP(C157, Rankings!C:E,3,FALSE)),(VLOOKUP(D157, Rankings!C:E,3,FALSE)))</f>
        <v>#VALUE!</v>
      </c>
    </row>
    <row r="158" spans="2:5" s="5" customFormat="1" hidden="1" x14ac:dyDescent="0.25">
      <c r="B158" t="str">
        <f>Competitors!A138</f>
        <v>Caleb DePaola</v>
      </c>
      <c r="C158" t="str">
        <f>Competitors!A138</f>
        <v>Caleb DePaola</v>
      </c>
      <c r="D158" s="13" t="str">
        <f>Competitors!A138</f>
        <v>Caleb DePaola</v>
      </c>
      <c r="E158" s="13" t="e">
        <f>SUM((VLOOKUP(B158, Rankings!C:E,3,FALSE)),(VLOOKUP(C158, Rankings!C:E,3,FALSE)),(VLOOKUP(D158, Rankings!C:E,3,FALSE)))</f>
        <v>#VALUE!</v>
      </c>
    </row>
    <row r="159" spans="2:5" s="5" customFormat="1" hidden="1" x14ac:dyDescent="0.25">
      <c r="B159" t="str">
        <f>Competitors!A139</f>
        <v>Carl Dobson</v>
      </c>
      <c r="C159" t="str">
        <f>Competitors!A139</f>
        <v>Carl Dobson</v>
      </c>
      <c r="D159" s="13" t="str">
        <f>Competitors!A139</f>
        <v>Carl Dobson</v>
      </c>
      <c r="E159" s="13" t="e">
        <f>SUM((VLOOKUP(B159, Rankings!C:E,3,FALSE)),(VLOOKUP(C159, Rankings!C:E,3,FALSE)),(VLOOKUP(D159, Rankings!C:E,3,FALSE)))</f>
        <v>#VALUE!</v>
      </c>
    </row>
    <row r="160" spans="2:5" s="5" customFormat="1" hidden="1" x14ac:dyDescent="0.25">
      <c r="B160" t="str">
        <f>Competitors!A140</f>
        <v>Carl Emerson</v>
      </c>
      <c r="C160" t="str">
        <f>Competitors!A140</f>
        <v>Carl Emerson</v>
      </c>
      <c r="D160" s="13" t="str">
        <f>Competitors!A140</f>
        <v>Carl Emerson</v>
      </c>
      <c r="E160" s="13" t="e">
        <f>SUM((VLOOKUP(B160, Rankings!C:E,3,FALSE)),(VLOOKUP(C160, Rankings!C:E,3,FALSE)),(VLOOKUP(D160, Rankings!C:E,3,FALSE)))</f>
        <v>#VALUE!</v>
      </c>
    </row>
    <row r="161" spans="2:5" s="5" customFormat="1" hidden="1" x14ac:dyDescent="0.25">
      <c r="B161" t="str">
        <f>Competitors!A141</f>
        <v>Carlo Lupin</v>
      </c>
      <c r="C161" t="str">
        <f>Competitors!A141</f>
        <v>Carlo Lupin</v>
      </c>
      <c r="D161" s="13" t="str">
        <f>Competitors!A141</f>
        <v>Carlo Lupin</v>
      </c>
      <c r="E161" s="13" t="e">
        <f>SUM((VLOOKUP(B161, Rankings!C:E,3,FALSE)),(VLOOKUP(C161, Rankings!C:E,3,FALSE)),(VLOOKUP(D161, Rankings!C:E,3,FALSE)))</f>
        <v>#VALUE!</v>
      </c>
    </row>
    <row r="162" spans="2:5" s="5" customFormat="1" hidden="1" x14ac:dyDescent="0.25">
      <c r="B162" t="str">
        <f>Competitors!A142</f>
        <v>Carlo Perrone</v>
      </c>
      <c r="C162" t="str">
        <f>Competitors!A142</f>
        <v>Carlo Perrone</v>
      </c>
      <c r="D162" s="13" t="str">
        <f>Competitors!A142</f>
        <v>Carlo Perrone</v>
      </c>
      <c r="E162" s="13" t="e">
        <f>SUM((VLOOKUP(B162, Rankings!C:E,3,FALSE)),(VLOOKUP(C162, Rankings!C:E,3,FALSE)),(VLOOKUP(D162, Rankings!C:E,3,FALSE)))</f>
        <v>#VALUE!</v>
      </c>
    </row>
    <row r="163" spans="2:5" s="5" customFormat="1" hidden="1" x14ac:dyDescent="0.25">
      <c r="B163" t="str">
        <f>Competitors!A143</f>
        <v>Carlotta Berini</v>
      </c>
      <c r="C163" t="str">
        <f>Competitors!A143</f>
        <v>Carlotta Berini</v>
      </c>
      <c r="D163" s="13" t="str">
        <f>Competitors!A143</f>
        <v>Carlotta Berini</v>
      </c>
      <c r="E163" s="13" t="e">
        <f>SUM((VLOOKUP(B163, Rankings!C:E,3,FALSE)),(VLOOKUP(C163, Rankings!C:E,3,FALSE)),(VLOOKUP(D163, Rankings!C:E,3,FALSE)))</f>
        <v>#VALUE!</v>
      </c>
    </row>
    <row r="164" spans="2:5" s="5" customFormat="1" hidden="1" x14ac:dyDescent="0.25">
      <c r="B164" t="str">
        <f>Competitors!A144</f>
        <v>Carolyn Hubbard</v>
      </c>
      <c r="C164" t="str">
        <f>Competitors!A144</f>
        <v>Carolyn Hubbard</v>
      </c>
      <c r="D164" s="13" t="str">
        <f>Competitors!A144</f>
        <v>Carolyn Hubbard</v>
      </c>
      <c r="E164" s="13" t="e">
        <f>SUM((VLOOKUP(B164, Rankings!C:E,3,FALSE)),(VLOOKUP(C164, Rankings!C:E,3,FALSE)),(VLOOKUP(D164, Rankings!C:E,3,FALSE)))</f>
        <v>#VALUE!</v>
      </c>
    </row>
    <row r="165" spans="2:5" s="5" customFormat="1" hidden="1" x14ac:dyDescent="0.25">
      <c r="B165" t="str">
        <f>Competitors!A145</f>
        <v>Carsten Heim</v>
      </c>
      <c r="C165" t="str">
        <f>Competitors!A145</f>
        <v>Carsten Heim</v>
      </c>
      <c r="D165" s="13" t="str">
        <f>Competitors!A145</f>
        <v>Carsten Heim</v>
      </c>
      <c r="E165" s="13" t="e">
        <f>SUM((VLOOKUP(B165, Rankings!C:E,3,FALSE)),(VLOOKUP(C165, Rankings!C:E,3,FALSE)),(VLOOKUP(D165, Rankings!C:E,3,FALSE)))</f>
        <v>#VALUE!</v>
      </c>
    </row>
    <row r="166" spans="2:5" s="5" customFormat="1" hidden="1" x14ac:dyDescent="0.25">
      <c r="B166" t="str">
        <f>Competitors!A146</f>
        <v>Cedrik Stevens</v>
      </c>
      <c r="C166" t="str">
        <f>Competitors!A146</f>
        <v>Cedrik Stevens</v>
      </c>
      <c r="D166" s="13" t="str">
        <f>Competitors!A146</f>
        <v>Cedrik Stevens</v>
      </c>
      <c r="E166" s="13" t="e">
        <f>SUM((VLOOKUP(B166, Rankings!C:E,3,FALSE)),(VLOOKUP(C166, Rankings!C:E,3,FALSE)),(VLOOKUP(D166, Rankings!C:E,3,FALSE)))</f>
        <v>#VALUE!</v>
      </c>
    </row>
    <row r="167" spans="2:5" s="5" customFormat="1" hidden="1" x14ac:dyDescent="0.25">
      <c r="B167" t="str">
        <f>Competitors!A147</f>
        <v>Char Powell</v>
      </c>
      <c r="C167" t="str">
        <f>Competitors!A147</f>
        <v>Char Powell</v>
      </c>
      <c r="D167" s="13" t="str">
        <f>Competitors!A147</f>
        <v>Char Powell</v>
      </c>
      <c r="E167" s="13" t="e">
        <f>SUM((VLOOKUP(B167, Rankings!C:E,3,FALSE)),(VLOOKUP(C167, Rankings!C:E,3,FALSE)),(VLOOKUP(D167, Rankings!C:E,3,FALSE)))</f>
        <v>#VALUE!</v>
      </c>
    </row>
    <row r="168" spans="2:5" s="5" customFormat="1" hidden="1" x14ac:dyDescent="0.25">
      <c r="B168" t="str">
        <f>Competitors!A148</f>
        <v>Charles Logan</v>
      </c>
      <c r="C168" t="str">
        <f>Competitors!A148</f>
        <v>Charles Logan</v>
      </c>
      <c r="D168" s="13" t="str">
        <f>Competitors!A148</f>
        <v>Charles Logan</v>
      </c>
      <c r="E168" s="13" t="e">
        <f>SUM((VLOOKUP(B168, Rankings!C:E,3,FALSE)),(VLOOKUP(C168, Rankings!C:E,3,FALSE)),(VLOOKUP(D168, Rankings!C:E,3,FALSE)))</f>
        <v>#VALUE!</v>
      </c>
    </row>
    <row r="169" spans="2:5" s="5" customFormat="1" hidden="1" x14ac:dyDescent="0.25">
      <c r="B169" t="str">
        <f>Competitors!A149</f>
        <v>Charlie Richards IV</v>
      </c>
      <c r="C169" t="str">
        <f>Competitors!A149</f>
        <v>Charlie Richards IV</v>
      </c>
      <c r="D169" s="13" t="str">
        <f>Competitors!A149</f>
        <v>Charlie Richards IV</v>
      </c>
      <c r="E169" s="13" t="e">
        <f>SUM((VLOOKUP(B169, Rankings!C:E,3,FALSE)),(VLOOKUP(C169, Rankings!C:E,3,FALSE)),(VLOOKUP(D169, Rankings!C:E,3,FALSE)))</f>
        <v>#VALUE!</v>
      </c>
    </row>
    <row r="170" spans="2:5" s="5" customFormat="1" hidden="1" x14ac:dyDescent="0.25">
      <c r="B170" t="str">
        <f>Competitors!A150</f>
        <v>Charlotte DePaola</v>
      </c>
      <c r="C170" t="str">
        <f>Competitors!A150</f>
        <v>Charlotte DePaola</v>
      </c>
      <c r="D170" s="13" t="str">
        <f>Competitors!A150</f>
        <v>Charlotte DePaola</v>
      </c>
      <c r="E170" s="13" t="e">
        <f>SUM((VLOOKUP(B170, Rankings!C:E,3,FALSE)),(VLOOKUP(C170, Rankings!C:E,3,FALSE)),(VLOOKUP(D170, Rankings!C:E,3,FALSE)))</f>
        <v>#VALUE!</v>
      </c>
    </row>
    <row r="171" spans="2:5" s="5" customFormat="1" hidden="1" x14ac:dyDescent="0.25">
      <c r="B171" t="str">
        <f>Competitors!A151</f>
        <v>Charly Katzenmaier</v>
      </c>
      <c r="C171" t="str">
        <f>Competitors!A151</f>
        <v>Charly Katzenmaier</v>
      </c>
      <c r="D171" s="13" t="str">
        <f>Competitors!A151</f>
        <v>Charly Katzenmaier</v>
      </c>
      <c r="E171" s="13" t="e">
        <f>SUM((VLOOKUP(B171, Rankings!C:E,3,FALSE)),(VLOOKUP(C171, Rankings!C:E,3,FALSE)),(VLOOKUP(D171, Rankings!C:E,3,FALSE)))</f>
        <v>#VALUE!</v>
      </c>
    </row>
    <row r="172" spans="2:5" s="5" customFormat="1" hidden="1" x14ac:dyDescent="0.25">
      <c r="B172" t="str">
        <f>Competitors!A152</f>
        <v>Chip Bell</v>
      </c>
      <c r="C172" t="str">
        <f>Competitors!A152</f>
        <v>Chip Bell</v>
      </c>
      <c r="D172" s="13" t="str">
        <f>Competitors!A152</f>
        <v>Chip Bell</v>
      </c>
      <c r="E172" s="13" t="e">
        <f>SUM((VLOOKUP(B172, Rankings!C:E,3,FALSE)),(VLOOKUP(C172, Rankings!C:E,3,FALSE)),(VLOOKUP(D172, Rankings!C:E,3,FALSE)))</f>
        <v>#VALUE!</v>
      </c>
    </row>
    <row r="173" spans="2:5" s="5" customFormat="1" hidden="1" x14ac:dyDescent="0.25">
      <c r="B173" t="str">
        <f>Competitors!A153</f>
        <v>Chris Baker</v>
      </c>
      <c r="C173" t="str">
        <f>Competitors!A153</f>
        <v>Chris Baker</v>
      </c>
      <c r="D173" s="13" t="str">
        <f>Competitors!A153</f>
        <v>Chris Baker</v>
      </c>
      <c r="E173" s="13" t="e">
        <f>SUM((VLOOKUP(B173, Rankings!C:E,3,FALSE)),(VLOOKUP(C173, Rankings!C:E,3,FALSE)),(VLOOKUP(D173, Rankings!C:E,3,FALSE)))</f>
        <v>#VALUE!</v>
      </c>
    </row>
    <row r="174" spans="2:5" s="5" customFormat="1" hidden="1" x14ac:dyDescent="0.25">
      <c r="B174" t="str">
        <f>Competitors!A154</f>
        <v>Chris Bellaj</v>
      </c>
      <c r="C174" t="str">
        <f>Competitors!A154</f>
        <v>Chris Bellaj</v>
      </c>
      <c r="D174" s="13" t="str">
        <f>Competitors!A154</f>
        <v>Chris Bellaj</v>
      </c>
      <c r="E174" s="13" t="e">
        <f>SUM((VLOOKUP(B174, Rankings!C:E,3,FALSE)),(VLOOKUP(C174, Rankings!C:E,3,FALSE)),(VLOOKUP(D174, Rankings!C:E,3,FALSE)))</f>
        <v>#VALUE!</v>
      </c>
    </row>
    <row r="175" spans="2:5" s="5" customFormat="1" hidden="1" x14ac:dyDescent="0.25">
      <c r="B175" t="str">
        <f>Competitors!A155</f>
        <v>Chris DePaola</v>
      </c>
      <c r="C175" t="str">
        <f>Competitors!A155</f>
        <v>Chris DePaola</v>
      </c>
      <c r="D175" s="13" t="str">
        <f>Competitors!A155</f>
        <v>Chris DePaola</v>
      </c>
      <c r="E175" s="13" t="e">
        <f>SUM((VLOOKUP(B175, Rankings!C:E,3,FALSE)),(VLOOKUP(C175, Rankings!C:E,3,FALSE)),(VLOOKUP(D175, Rankings!C:E,3,FALSE)))</f>
        <v>#VALUE!</v>
      </c>
    </row>
    <row r="176" spans="2:5" s="5" customFormat="1" hidden="1" x14ac:dyDescent="0.25">
      <c r="B176" t="str">
        <f>Competitors!A156</f>
        <v>Chris Dunaway</v>
      </c>
      <c r="C176" t="str">
        <f>Competitors!A156</f>
        <v>Chris Dunaway</v>
      </c>
      <c r="D176" s="13" t="str">
        <f>Competitors!A156</f>
        <v>Chris Dunaway</v>
      </c>
      <c r="E176" s="13" t="e">
        <f>SUM((VLOOKUP(B176, Rankings!C:E,3,FALSE)),(VLOOKUP(C176, Rankings!C:E,3,FALSE)),(VLOOKUP(D176, Rankings!C:E,3,FALSE)))</f>
        <v>#VALUE!</v>
      </c>
    </row>
    <row r="177" spans="2:5" s="5" customFormat="1" hidden="1" x14ac:dyDescent="0.25">
      <c r="B177" t="str">
        <f>Competitors!A157</f>
        <v>Chris Hill</v>
      </c>
      <c r="C177" t="str">
        <f>Competitors!A157</f>
        <v>Chris Hill</v>
      </c>
      <c r="D177" s="13" t="str">
        <f>Competitors!A157</f>
        <v>Chris Hill</v>
      </c>
      <c r="E177" s="13" t="e">
        <f>SUM((VLOOKUP(B177, Rankings!C:E,3,FALSE)),(VLOOKUP(C177, Rankings!C:E,3,FALSE)),(VLOOKUP(D177, Rankings!C:E,3,FALSE)))</f>
        <v>#VALUE!</v>
      </c>
    </row>
    <row r="178" spans="2:5" s="5" customFormat="1" hidden="1" x14ac:dyDescent="0.25">
      <c r="B178" t="str">
        <f>Competitors!A158</f>
        <v>Chris Horn</v>
      </c>
      <c r="C178" t="str">
        <f>Competitors!A158</f>
        <v>Chris Horn</v>
      </c>
      <c r="D178" s="13" t="str">
        <f>Competitors!A158</f>
        <v>Chris Horn</v>
      </c>
      <c r="E178" s="13" t="e">
        <f>SUM((VLOOKUP(B178, Rankings!C:E,3,FALSE)),(VLOOKUP(C178, Rankings!C:E,3,FALSE)),(VLOOKUP(D178, Rankings!C:E,3,FALSE)))</f>
        <v>#VALUE!</v>
      </c>
    </row>
    <row r="179" spans="2:5" s="5" customFormat="1" hidden="1" x14ac:dyDescent="0.25">
      <c r="B179" t="str">
        <f>Competitors!A159</f>
        <v>Chris Korn</v>
      </c>
      <c r="C179" t="str">
        <f>Competitors!A159</f>
        <v>Chris Korn</v>
      </c>
      <c r="D179" s="13" t="str">
        <f>Competitors!A159</f>
        <v>Chris Korn</v>
      </c>
      <c r="E179" s="13" t="e">
        <f>SUM((VLOOKUP(B179, Rankings!C:E,3,FALSE)),(VLOOKUP(C179, Rankings!C:E,3,FALSE)),(VLOOKUP(D179, Rankings!C:E,3,FALSE)))</f>
        <v>#VALUE!</v>
      </c>
    </row>
    <row r="180" spans="2:5" s="5" customFormat="1" hidden="1" x14ac:dyDescent="0.25">
      <c r="B180" t="str">
        <f>Competitors!A160</f>
        <v>Chris Koslowski</v>
      </c>
      <c r="C180" t="str">
        <f>Competitors!A160</f>
        <v>Chris Koslowski</v>
      </c>
      <c r="D180" s="13" t="str">
        <f>Competitors!A160</f>
        <v>Chris Koslowski</v>
      </c>
      <c r="E180" s="13" t="e">
        <f>SUM((VLOOKUP(B180, Rankings!C:E,3,FALSE)),(VLOOKUP(C180, Rankings!C:E,3,FALSE)),(VLOOKUP(D180, Rankings!C:E,3,FALSE)))</f>
        <v>#VALUE!</v>
      </c>
    </row>
    <row r="181" spans="2:5" s="5" customFormat="1" hidden="1" x14ac:dyDescent="0.25">
      <c r="B181" t="str">
        <f>Competitors!A161</f>
        <v>Chris Reynolds</v>
      </c>
      <c r="C181" t="str">
        <f>Competitors!A161</f>
        <v>Chris Reynolds</v>
      </c>
      <c r="D181" s="13" t="str">
        <f>Competitors!A161</f>
        <v>Chris Reynolds</v>
      </c>
      <c r="E181" s="13" t="e">
        <f>SUM((VLOOKUP(B181, Rankings!C:E,3,FALSE)),(VLOOKUP(C181, Rankings!C:E,3,FALSE)),(VLOOKUP(D181, Rankings!C:E,3,FALSE)))</f>
        <v>#VALUE!</v>
      </c>
    </row>
    <row r="182" spans="2:5" s="5" customFormat="1" hidden="1" x14ac:dyDescent="0.25">
      <c r="B182" t="str">
        <f>Competitors!A162</f>
        <v>Chris Ryan</v>
      </c>
      <c r="C182" t="str">
        <f>Competitors!A162</f>
        <v>Chris Ryan</v>
      </c>
      <c r="D182" s="13" t="str">
        <f>Competitors!A162</f>
        <v>Chris Ryan</v>
      </c>
      <c r="E182" s="13" t="e">
        <f>SUM((VLOOKUP(B182, Rankings!C:E,3,FALSE)),(VLOOKUP(C182, Rankings!C:E,3,FALSE)),(VLOOKUP(D182, Rankings!C:E,3,FALSE)))</f>
        <v>#VALUE!</v>
      </c>
    </row>
    <row r="183" spans="2:5" s="5" customFormat="1" hidden="1" x14ac:dyDescent="0.25">
      <c r="B183" t="str">
        <f>Competitors!A163</f>
        <v>Chris Sieben</v>
      </c>
      <c r="C183" t="str">
        <f>Competitors!A163</f>
        <v>Chris Sieben</v>
      </c>
      <c r="D183" s="13" t="str">
        <f>Competitors!A163</f>
        <v>Chris Sieben</v>
      </c>
      <c r="E183" s="13" t="e">
        <f>SUM((VLOOKUP(B183, Rankings!C:E,3,FALSE)),(VLOOKUP(C183, Rankings!C:E,3,FALSE)),(VLOOKUP(D183, Rankings!C:E,3,FALSE)))</f>
        <v>#VALUE!</v>
      </c>
    </row>
    <row r="184" spans="2:5" s="5" customFormat="1" hidden="1" x14ac:dyDescent="0.25">
      <c r="B184" t="str">
        <f>Competitors!A164</f>
        <v>Christian Grau</v>
      </c>
      <c r="C184" t="str">
        <f>Competitors!A164</f>
        <v>Christian Grau</v>
      </c>
      <c r="D184" s="13" t="str">
        <f>Competitors!A164</f>
        <v>Christian Grau</v>
      </c>
      <c r="E184" s="13" t="e">
        <f>SUM((VLOOKUP(B184, Rankings!C:E,3,FALSE)),(VLOOKUP(C184, Rankings!C:E,3,FALSE)),(VLOOKUP(D184, Rankings!C:E,3,FALSE)))</f>
        <v>#VALUE!</v>
      </c>
    </row>
    <row r="185" spans="2:5" s="5" customFormat="1" hidden="1" x14ac:dyDescent="0.25">
      <c r="B185" t="str">
        <f>Competitors!A167</f>
        <v>Christina Kunze</v>
      </c>
      <c r="C185" t="str">
        <f>Competitors!A167</f>
        <v>Christina Kunze</v>
      </c>
      <c r="D185" s="13" t="str">
        <f>Competitors!A167</f>
        <v>Christina Kunze</v>
      </c>
      <c r="E185" s="13" t="e">
        <f>SUM((VLOOKUP(B185, Rankings!C:E,3,FALSE)),(VLOOKUP(C185, Rankings!C:E,3,FALSE)),(VLOOKUP(D185, Rankings!C:E,3,FALSE)))</f>
        <v>#VALUE!</v>
      </c>
    </row>
    <row r="186" spans="2:5" s="5" customFormat="1" hidden="1" x14ac:dyDescent="0.25">
      <c r="B186" t="str">
        <f>Competitors!A168</f>
        <v>Christoph Brack</v>
      </c>
      <c r="C186" t="str">
        <f>Competitors!A168</f>
        <v>Christoph Brack</v>
      </c>
      <c r="D186" s="13" t="str">
        <f>Competitors!A168</f>
        <v>Christoph Brack</v>
      </c>
      <c r="E186" s="13" t="e">
        <f>SUM((VLOOKUP(B186, Rankings!C:E,3,FALSE)),(VLOOKUP(C186, Rankings!C:E,3,FALSE)),(VLOOKUP(D186, Rankings!C:E,3,FALSE)))</f>
        <v>#VALUE!</v>
      </c>
    </row>
    <row r="187" spans="2:5" s="5" customFormat="1" hidden="1" x14ac:dyDescent="0.25">
      <c r="B187" t="str">
        <f>Competitors!A169</f>
        <v>Christophe Legendre</v>
      </c>
      <c r="C187" t="str">
        <f>Competitors!A169</f>
        <v>Christophe Legendre</v>
      </c>
      <c r="D187" s="13" t="str">
        <f>Competitors!A169</f>
        <v>Christophe Legendre</v>
      </c>
      <c r="E187" s="13" t="e">
        <f>SUM((VLOOKUP(B187, Rankings!C:E,3,FALSE)),(VLOOKUP(C187, Rankings!C:E,3,FALSE)),(VLOOKUP(D187, Rankings!C:E,3,FALSE)))</f>
        <v>#VALUE!</v>
      </c>
    </row>
    <row r="188" spans="2:5" s="5" customFormat="1" hidden="1" x14ac:dyDescent="0.25">
      <c r="B188" t="str">
        <f>Competitors!A170</f>
        <v>Chuck Richard</v>
      </c>
      <c r="C188" t="str">
        <f>Competitors!A170</f>
        <v>Chuck Richard</v>
      </c>
      <c r="D188" s="13" t="str">
        <f>Competitors!A170</f>
        <v>Chuck Richard</v>
      </c>
      <c r="E188" s="13" t="e">
        <f>SUM((VLOOKUP(B188, Rankings!C:E,3,FALSE)),(VLOOKUP(C188, Rankings!C:E,3,FALSE)),(VLOOKUP(D188, Rankings!C:E,3,FALSE)))</f>
        <v>#VALUE!</v>
      </c>
    </row>
    <row r="189" spans="2:5" s="5" customFormat="1" hidden="1" x14ac:dyDescent="0.25">
      <c r="B189" t="str">
        <f>Competitors!A171</f>
        <v>Cindy St. Mary</v>
      </c>
      <c r="C189" t="str">
        <f>Competitors!A171</f>
        <v>Cindy St. Mary</v>
      </c>
      <c r="D189" s="13" t="str">
        <f>Competitors!A171</f>
        <v>Cindy St. Mary</v>
      </c>
      <c r="E189" s="13" t="e">
        <f>SUM((VLOOKUP(B189, Rankings!C:E,3,FALSE)),(VLOOKUP(C189, Rankings!C:E,3,FALSE)),(VLOOKUP(D189, Rankings!C:E,3,FALSE)))</f>
        <v>#VALUE!</v>
      </c>
    </row>
    <row r="190" spans="2:5" s="5" customFormat="1" hidden="1" x14ac:dyDescent="0.25">
      <c r="B190" t="str">
        <f>Competitors!A172</f>
        <v>Claudio Cigna</v>
      </c>
      <c r="C190" t="str">
        <f>Competitors!A172</f>
        <v>Claudio Cigna</v>
      </c>
      <c r="D190" s="13" t="str">
        <f>Competitors!A172</f>
        <v>Claudio Cigna</v>
      </c>
      <c r="E190" s="13" t="e">
        <f>SUM((VLOOKUP(B190, Rankings!C:E,3,FALSE)),(VLOOKUP(C190, Rankings!C:E,3,FALSE)),(VLOOKUP(D190, Rankings!C:E,3,FALSE)))</f>
        <v>#VALUE!</v>
      </c>
    </row>
    <row r="191" spans="2:5" s="5" customFormat="1" hidden="1" x14ac:dyDescent="0.25">
      <c r="B191"/>
      <c r="C191" s="6"/>
      <c r="D191" s="7"/>
      <c r="E191" s="13" t="e">
        <f>SUM((VLOOKUP(B191, Rankings!C:E,3,FALSE)),(VLOOKUP(C191, Rankings!C:E,3,FALSE)),(VLOOKUP(D191, Rankings!C:E,3,FALSE)))</f>
        <v>#N/A</v>
      </c>
    </row>
    <row r="192" spans="2:5" s="5" customFormat="1" hidden="1" x14ac:dyDescent="0.25">
      <c r="B192"/>
      <c r="C192" s="6"/>
      <c r="D192" s="7"/>
      <c r="E192" s="13" t="e">
        <f>SUM((VLOOKUP(B192, Rankings!C:E,3,FALSE)),(VLOOKUP(C192, Rankings!C:E,3,FALSE)),(VLOOKUP(D192, Rankings!C:E,3,FALSE)))</f>
        <v>#N/A</v>
      </c>
    </row>
    <row r="193" spans="2:5" s="5" customFormat="1" hidden="1" x14ac:dyDescent="0.25">
      <c r="B193"/>
      <c r="C193" s="6"/>
      <c r="D193" s="7"/>
      <c r="E193" s="13" t="e">
        <f>SUM((VLOOKUP(B193, Rankings!C:E,3,FALSE)),(VLOOKUP(C193, Rankings!C:E,3,FALSE)),(VLOOKUP(D193, Rankings!C:E,3,FALSE)))</f>
        <v>#N/A</v>
      </c>
    </row>
    <row r="194" spans="2:5" s="5" customFormat="1" hidden="1" x14ac:dyDescent="0.25">
      <c r="B194"/>
      <c r="C194" s="6"/>
      <c r="D194" s="7"/>
      <c r="E194" s="13" t="e">
        <f>SUM((VLOOKUP(B194, Rankings!C:E,3,FALSE)),(VLOOKUP(C194, Rankings!C:E,3,FALSE)),(VLOOKUP(D194, Rankings!C:E,3,FALSE)))</f>
        <v>#N/A</v>
      </c>
    </row>
    <row r="195" spans="2:5" s="5" customFormat="1" hidden="1" x14ac:dyDescent="0.25">
      <c r="B195"/>
      <c r="C195" s="6"/>
      <c r="D195" s="7"/>
      <c r="E195" s="13" t="e">
        <f>SUM((VLOOKUP(B195, Rankings!C:E,3,FALSE)),(VLOOKUP(C195, Rankings!C:E,3,FALSE)),(VLOOKUP(D195, Rankings!C:E,3,FALSE)))</f>
        <v>#N/A</v>
      </c>
    </row>
    <row r="196" spans="2:5" s="5" customFormat="1" hidden="1" x14ac:dyDescent="0.25">
      <c r="B196"/>
      <c r="C196" s="6"/>
      <c r="D196" s="7"/>
      <c r="E196" s="13" t="e">
        <f>SUM((VLOOKUP(B196, Rankings!C:E,3,FALSE)),(VLOOKUP(C196, Rankings!C:E,3,FALSE)),(VLOOKUP(D196, Rankings!C:E,3,FALSE)))</f>
        <v>#N/A</v>
      </c>
    </row>
    <row r="197" spans="2:5" s="5" customFormat="1" hidden="1" x14ac:dyDescent="0.25">
      <c r="B197"/>
      <c r="C197" s="6"/>
      <c r="D197" s="7"/>
      <c r="E197" s="13" t="e">
        <f>SUM((VLOOKUP(B197, Rankings!C:E,3,FALSE)),(VLOOKUP(C197, Rankings!C:E,3,FALSE)),(VLOOKUP(D197, Rankings!C:E,3,FALSE)))</f>
        <v>#N/A</v>
      </c>
    </row>
    <row r="198" spans="2:5" s="5" customFormat="1" hidden="1" x14ac:dyDescent="0.25">
      <c r="B198"/>
      <c r="C198" s="6"/>
      <c r="D198" s="7"/>
      <c r="E198" s="13" t="e">
        <f>SUM((VLOOKUP(B198, Rankings!C:E,3,FALSE)),(VLOOKUP(C198, Rankings!C:E,3,FALSE)),(VLOOKUP(D198, Rankings!C:E,3,FALSE)))</f>
        <v>#N/A</v>
      </c>
    </row>
    <row r="199" spans="2:5" s="5" customFormat="1" hidden="1" x14ac:dyDescent="0.25">
      <c r="B199"/>
      <c r="C199" s="6"/>
      <c r="D199" s="7"/>
      <c r="E199" s="13" t="e">
        <f>SUM((VLOOKUP(B199, Rankings!C:E,3,FALSE)),(VLOOKUP(C199, Rankings!C:E,3,FALSE)),(VLOOKUP(D199, Rankings!C:E,3,FALSE)))</f>
        <v>#N/A</v>
      </c>
    </row>
    <row r="200" spans="2:5" s="5" customFormat="1" hidden="1" x14ac:dyDescent="0.25">
      <c r="B200"/>
      <c r="C200" s="6"/>
      <c r="D200" s="7"/>
      <c r="E200" s="13" t="e">
        <f>SUM((VLOOKUP(B200, Rankings!C:E,3,FALSE)),(VLOOKUP(C200, Rankings!C:E,3,FALSE)),(VLOOKUP(D200, Rankings!C:E,3,FALSE)))</f>
        <v>#N/A</v>
      </c>
    </row>
    <row r="201" spans="2:5" s="5" customFormat="1" hidden="1" x14ac:dyDescent="0.25">
      <c r="B201"/>
      <c r="C201" s="6"/>
      <c r="D201" s="7"/>
      <c r="E201" s="13" t="e">
        <f>SUM((VLOOKUP(B201, Rankings!C:E,3,FALSE)),(VLOOKUP(C201, Rankings!C:E,3,FALSE)),(VLOOKUP(D201, Rankings!C:E,3,FALSE)))</f>
        <v>#N/A</v>
      </c>
    </row>
    <row r="202" spans="2:5" s="5" customFormat="1" hidden="1" x14ac:dyDescent="0.25">
      <c r="B202"/>
      <c r="C202" s="6"/>
      <c r="D202" s="7"/>
      <c r="E202" s="13" t="e">
        <f>SUM((VLOOKUP(B202, Rankings!C:E,3,FALSE)),(VLOOKUP(C202, Rankings!C:E,3,FALSE)),(VLOOKUP(D202, Rankings!C:E,3,FALSE)))</f>
        <v>#N/A</v>
      </c>
    </row>
    <row r="203" spans="2:5" s="5" customFormat="1" hidden="1" x14ac:dyDescent="0.25">
      <c r="B203"/>
      <c r="C203" s="6"/>
      <c r="D203" s="7"/>
      <c r="E203" s="13" t="e">
        <f>SUM((VLOOKUP(B203, Rankings!C:E,3,FALSE)),(VLOOKUP(C203, Rankings!C:E,3,FALSE)),(VLOOKUP(D203, Rankings!C:E,3,FALSE)))</f>
        <v>#N/A</v>
      </c>
    </row>
    <row r="204" spans="2:5" s="5" customFormat="1" hidden="1" x14ac:dyDescent="0.25">
      <c r="B204"/>
      <c r="C204" s="6"/>
      <c r="D204" s="7"/>
      <c r="E204" s="13" t="e">
        <f>SUM((VLOOKUP(B204, Rankings!C:E,3,FALSE)),(VLOOKUP(C204, Rankings!C:E,3,FALSE)),(VLOOKUP(D204, Rankings!C:E,3,FALSE)))</f>
        <v>#N/A</v>
      </c>
    </row>
    <row r="205" spans="2:5" s="5" customFormat="1" hidden="1" x14ac:dyDescent="0.25">
      <c r="B205"/>
      <c r="C205" s="6"/>
      <c r="D205" s="7"/>
      <c r="E205" s="13" t="e">
        <f>SUM((VLOOKUP(B205, Rankings!C:E,3,FALSE)),(VLOOKUP(C205, Rankings!C:E,3,FALSE)),(VLOOKUP(D205, Rankings!C:E,3,FALSE)))</f>
        <v>#N/A</v>
      </c>
    </row>
    <row r="206" spans="2:5" s="5" customFormat="1" hidden="1" x14ac:dyDescent="0.25">
      <c r="B206"/>
      <c r="C206" s="6"/>
      <c r="D206" s="7"/>
      <c r="E206" s="13" t="e">
        <f>SUM((VLOOKUP(B206, Rankings!C:E,3,FALSE)),(VLOOKUP(C206, Rankings!C:E,3,FALSE)),(VLOOKUP(D206, Rankings!C:E,3,FALSE)))</f>
        <v>#N/A</v>
      </c>
    </row>
    <row r="207" spans="2:5" s="5" customFormat="1" hidden="1" x14ac:dyDescent="0.25">
      <c r="B207"/>
      <c r="C207" s="6"/>
      <c r="D207" s="7"/>
      <c r="E207" s="13" t="e">
        <f>SUM((VLOOKUP(B207, Rankings!C:E,3,FALSE)),(VLOOKUP(C207, Rankings!C:E,3,FALSE)),(VLOOKUP(D207, Rankings!C:E,3,FALSE)))</f>
        <v>#N/A</v>
      </c>
    </row>
    <row r="208" spans="2:5" s="5" customFormat="1" hidden="1" x14ac:dyDescent="0.25">
      <c r="B208"/>
      <c r="C208" s="6"/>
      <c r="D208" s="7"/>
      <c r="E208" s="13" t="e">
        <f>SUM((VLOOKUP(B208, Rankings!C:E,3,FALSE)),(VLOOKUP(C208, Rankings!C:E,3,FALSE)),(VLOOKUP(D208, Rankings!C:E,3,FALSE)))</f>
        <v>#N/A</v>
      </c>
    </row>
    <row r="209" spans="2:5" s="5" customFormat="1" hidden="1" x14ac:dyDescent="0.25">
      <c r="B209"/>
      <c r="C209" s="6"/>
      <c r="D209" s="7"/>
      <c r="E209" s="13" t="e">
        <f>SUM((VLOOKUP(B209, Rankings!C:E,3,FALSE)),(VLOOKUP(C209, Rankings!C:E,3,FALSE)),(VLOOKUP(D209, Rankings!C:E,3,FALSE)))</f>
        <v>#N/A</v>
      </c>
    </row>
    <row r="210" spans="2:5" s="5" customFormat="1" hidden="1" x14ac:dyDescent="0.25">
      <c r="B210"/>
      <c r="C210" s="6"/>
      <c r="D210" s="7"/>
      <c r="E210" s="13" t="e">
        <f>SUM((VLOOKUP(B210, Rankings!C:E,3,FALSE)),(VLOOKUP(C210, Rankings!C:E,3,FALSE)),(VLOOKUP(D210, Rankings!C:E,3,FALSE)))</f>
        <v>#N/A</v>
      </c>
    </row>
    <row r="211" spans="2:5" s="5" customFormat="1" hidden="1" x14ac:dyDescent="0.25">
      <c r="B211"/>
      <c r="C211" s="6"/>
      <c r="D211" s="7"/>
      <c r="E211" s="13" t="e">
        <f>SUM((VLOOKUP(B211, Rankings!C:E,3,FALSE)),(VLOOKUP(C211, Rankings!C:E,3,FALSE)),(VLOOKUP(D211, Rankings!C:E,3,FALSE)))</f>
        <v>#N/A</v>
      </c>
    </row>
    <row r="212" spans="2:5" s="5" customFormat="1" hidden="1" x14ac:dyDescent="0.25">
      <c r="B212"/>
      <c r="C212" s="6"/>
      <c r="D212" s="7"/>
      <c r="E212" s="13" t="e">
        <f>SUM((VLOOKUP(B212, Rankings!C:E,3,FALSE)),(VLOOKUP(C212, Rankings!C:E,3,FALSE)),(VLOOKUP(D212, Rankings!C:E,3,FALSE)))</f>
        <v>#N/A</v>
      </c>
    </row>
    <row r="213" spans="2:5" s="5" customFormat="1" hidden="1" x14ac:dyDescent="0.25">
      <c r="B213"/>
      <c r="C213" s="6"/>
      <c r="D213" s="7"/>
      <c r="E213" s="13" t="e">
        <f>SUM((VLOOKUP(B213, Rankings!C:E,3,FALSE)),(VLOOKUP(C213, Rankings!C:E,3,FALSE)),(VLOOKUP(D213, Rankings!C:E,3,FALSE)))</f>
        <v>#N/A</v>
      </c>
    </row>
    <row r="214" spans="2:5" s="5" customFormat="1" hidden="1" x14ac:dyDescent="0.25">
      <c r="B214"/>
      <c r="C214" s="6"/>
      <c r="D214" s="7"/>
      <c r="E214" s="13" t="e">
        <f>SUM((VLOOKUP(B214, Rankings!C:E,3,FALSE)),(VLOOKUP(C214, Rankings!C:E,3,FALSE)),(VLOOKUP(D214, Rankings!C:E,3,FALSE)))</f>
        <v>#N/A</v>
      </c>
    </row>
    <row r="215" spans="2:5" s="5" customFormat="1" hidden="1" x14ac:dyDescent="0.25">
      <c r="B215"/>
      <c r="C215" s="6"/>
      <c r="D215" s="7"/>
      <c r="E215" s="13" t="e">
        <f>SUM((VLOOKUP(B215, Rankings!C:E,3,FALSE)),(VLOOKUP(C215, Rankings!C:E,3,FALSE)),(VLOOKUP(D215, Rankings!C:E,3,FALSE)))</f>
        <v>#N/A</v>
      </c>
    </row>
    <row r="216" spans="2:5" s="5" customFormat="1" hidden="1" x14ac:dyDescent="0.25">
      <c r="B216"/>
      <c r="C216" s="6"/>
      <c r="D216" s="7"/>
      <c r="E216" s="13" t="e">
        <f>SUM((VLOOKUP(B216, Rankings!C:E,3,FALSE)),(VLOOKUP(C216, Rankings!C:E,3,FALSE)),(VLOOKUP(D216, Rankings!C:E,3,FALSE)))</f>
        <v>#N/A</v>
      </c>
    </row>
    <row r="217" spans="2:5" s="5" customFormat="1" hidden="1" x14ac:dyDescent="0.25">
      <c r="B217"/>
      <c r="C217" s="6"/>
      <c r="D217" s="7"/>
      <c r="E217" s="13" t="e">
        <f>SUM((VLOOKUP(B217, Rankings!C:E,3,FALSE)),(VLOOKUP(C217, Rankings!C:E,3,FALSE)),(VLOOKUP(D217, Rankings!C:E,3,FALSE)))</f>
        <v>#N/A</v>
      </c>
    </row>
    <row r="218" spans="2:5" s="5" customFormat="1" hidden="1" x14ac:dyDescent="0.25">
      <c r="B218"/>
      <c r="C218" s="6"/>
      <c r="D218" s="7"/>
      <c r="E218" s="13" t="e">
        <f>SUM((VLOOKUP(B218, Rankings!C:E,3,FALSE)),(VLOOKUP(C218, Rankings!C:E,3,FALSE)),(VLOOKUP(D218, Rankings!C:E,3,FALSE)))</f>
        <v>#N/A</v>
      </c>
    </row>
    <row r="219" spans="2:5" s="5" customFormat="1" hidden="1" x14ac:dyDescent="0.25">
      <c r="B219"/>
      <c r="C219" s="6"/>
      <c r="D219" s="7"/>
      <c r="E219" s="13" t="e">
        <f>SUM((VLOOKUP(B219, Rankings!C:E,3,FALSE)),(VLOOKUP(C219, Rankings!C:E,3,FALSE)),(VLOOKUP(D219, Rankings!C:E,3,FALSE)))</f>
        <v>#N/A</v>
      </c>
    </row>
    <row r="220" spans="2:5" s="5" customFormat="1" hidden="1" x14ac:dyDescent="0.25">
      <c r="B220"/>
      <c r="C220" s="6"/>
      <c r="D220" s="7"/>
      <c r="E220" s="13" t="e">
        <f>SUM((VLOOKUP(B220, Rankings!C:E,3,FALSE)),(VLOOKUP(C220, Rankings!C:E,3,FALSE)),(VLOOKUP(D220, Rankings!C:E,3,FALSE)))</f>
        <v>#N/A</v>
      </c>
    </row>
    <row r="221" spans="2:5" s="5" customFormat="1" hidden="1" x14ac:dyDescent="0.25">
      <c r="B221"/>
      <c r="C221" s="6"/>
      <c r="D221" s="7"/>
      <c r="E221" s="13" t="e">
        <f>SUM((VLOOKUP(B221, Rankings!C:E,3,FALSE)),(VLOOKUP(C221, Rankings!C:E,3,FALSE)),(VLOOKUP(D221, Rankings!C:E,3,FALSE)))</f>
        <v>#N/A</v>
      </c>
    </row>
    <row r="222" spans="2:5" s="5" customFormat="1" hidden="1" x14ac:dyDescent="0.25">
      <c r="B222"/>
      <c r="C222" s="6"/>
      <c r="D222" s="7"/>
      <c r="E222" s="13" t="e">
        <f>SUM((VLOOKUP(B222, Rankings!C:E,3,FALSE)),(VLOOKUP(C222, Rankings!C:E,3,FALSE)),(VLOOKUP(D222, Rankings!C:E,3,FALSE)))</f>
        <v>#N/A</v>
      </c>
    </row>
    <row r="223" spans="2:5" s="5" customFormat="1" hidden="1" x14ac:dyDescent="0.25">
      <c r="B223"/>
      <c r="C223" s="6"/>
      <c r="D223" s="7"/>
      <c r="E223" s="13" t="e">
        <f>SUM((VLOOKUP(B223, Rankings!C:E,3,FALSE)),(VLOOKUP(C223, Rankings!C:E,3,FALSE)),(VLOOKUP(D223, Rankings!C:E,3,FALSE)))</f>
        <v>#N/A</v>
      </c>
    </row>
    <row r="224" spans="2:5" s="5" customFormat="1" hidden="1" x14ac:dyDescent="0.25">
      <c r="B224"/>
      <c r="C224" s="6"/>
      <c r="D224" s="7"/>
      <c r="E224" s="13" t="e">
        <f>SUM((VLOOKUP(B224, Rankings!C:E,3,FALSE)),(VLOOKUP(C224, Rankings!C:E,3,FALSE)),(VLOOKUP(D224, Rankings!C:E,3,FALSE)))</f>
        <v>#N/A</v>
      </c>
    </row>
    <row r="225" spans="2:5" s="5" customFormat="1" hidden="1" x14ac:dyDescent="0.25">
      <c r="B225"/>
      <c r="C225" s="6"/>
      <c r="D225" s="7"/>
      <c r="E225" s="13" t="e">
        <f>SUM((VLOOKUP(B225, Rankings!C:E,3,FALSE)),(VLOOKUP(C225, Rankings!C:E,3,FALSE)),(VLOOKUP(D225, Rankings!C:E,3,FALSE)))</f>
        <v>#N/A</v>
      </c>
    </row>
    <row r="226" spans="2:5" s="5" customFormat="1" hidden="1" x14ac:dyDescent="0.25">
      <c r="B226"/>
      <c r="C226" s="6"/>
      <c r="D226" s="7"/>
      <c r="E226" s="13" t="e">
        <f>SUM((VLOOKUP(B226, Rankings!C:E,3,FALSE)),(VLOOKUP(C226, Rankings!C:E,3,FALSE)),(VLOOKUP(D226, Rankings!C:E,3,FALSE)))</f>
        <v>#N/A</v>
      </c>
    </row>
    <row r="227" spans="2:5" s="5" customFormat="1" hidden="1" x14ac:dyDescent="0.25">
      <c r="B227"/>
      <c r="C227" s="6"/>
      <c r="D227" s="7"/>
      <c r="E227" s="13" t="e">
        <f>SUM((VLOOKUP(B227, Rankings!C:E,3,FALSE)),(VLOOKUP(C227, Rankings!C:E,3,FALSE)),(VLOOKUP(D227, Rankings!C:E,3,FALSE)))</f>
        <v>#N/A</v>
      </c>
    </row>
    <row r="228" spans="2:5" s="5" customFormat="1" hidden="1" x14ac:dyDescent="0.25">
      <c r="B228"/>
      <c r="C228" s="6"/>
      <c r="D228" s="7"/>
      <c r="E228" s="13" t="e">
        <f>SUM((VLOOKUP(B228, Rankings!C:E,3,FALSE)),(VLOOKUP(C228, Rankings!C:E,3,FALSE)),(VLOOKUP(D228, Rankings!C:E,3,FALSE)))</f>
        <v>#N/A</v>
      </c>
    </row>
    <row r="229" spans="2:5" s="5" customFormat="1" hidden="1" x14ac:dyDescent="0.25">
      <c r="B229"/>
      <c r="C229" s="6"/>
      <c r="D229" s="7"/>
      <c r="E229" s="13" t="e">
        <f>SUM((VLOOKUP(B229, Rankings!C:E,3,FALSE)),(VLOOKUP(C229, Rankings!C:E,3,FALSE)),(VLOOKUP(D229, Rankings!C:E,3,FALSE)))</f>
        <v>#N/A</v>
      </c>
    </row>
    <row r="230" spans="2:5" s="5" customFormat="1" hidden="1" x14ac:dyDescent="0.25">
      <c r="B230"/>
      <c r="C230" s="6"/>
      <c r="D230" s="7"/>
      <c r="E230" s="13" t="e">
        <f>SUM((VLOOKUP(B230, Rankings!C:E,3,FALSE)),(VLOOKUP(C230, Rankings!C:E,3,FALSE)),(VLOOKUP(D230, Rankings!C:E,3,FALSE)))</f>
        <v>#N/A</v>
      </c>
    </row>
    <row r="231" spans="2:5" s="5" customFormat="1" hidden="1" x14ac:dyDescent="0.25">
      <c r="B231"/>
      <c r="C231" s="6"/>
      <c r="D231" s="7"/>
      <c r="E231" s="13" t="e">
        <f>SUM((VLOOKUP(B231, Rankings!C:E,3,FALSE)),(VLOOKUP(C231, Rankings!C:E,3,FALSE)),(VLOOKUP(D231, Rankings!C:E,3,FALSE)))</f>
        <v>#N/A</v>
      </c>
    </row>
    <row r="232" spans="2:5" s="5" customFormat="1" hidden="1" x14ac:dyDescent="0.25">
      <c r="B232"/>
      <c r="C232" s="6"/>
      <c r="D232" s="7"/>
      <c r="E232" s="13" t="e">
        <f>SUM((VLOOKUP(B232, Rankings!C:E,3,FALSE)),(VLOOKUP(C232, Rankings!C:E,3,FALSE)),(VLOOKUP(D232, Rankings!C:E,3,FALSE)))</f>
        <v>#N/A</v>
      </c>
    </row>
    <row r="233" spans="2:5" s="5" customFormat="1" hidden="1" x14ac:dyDescent="0.25">
      <c r="B233"/>
      <c r="C233" s="6"/>
      <c r="D233" s="7"/>
      <c r="E233" s="13" t="e">
        <f>SUM((VLOOKUP(B233, Rankings!C:E,3,FALSE)),(VLOOKUP(C233, Rankings!C:E,3,FALSE)),(VLOOKUP(D233, Rankings!C:E,3,FALSE)))</f>
        <v>#N/A</v>
      </c>
    </row>
    <row r="234" spans="2:5" s="5" customFormat="1" hidden="1" x14ac:dyDescent="0.25">
      <c r="B234"/>
      <c r="C234" s="6"/>
      <c r="D234" s="7"/>
      <c r="E234" s="13" t="e">
        <f>SUM((VLOOKUP(B234, Rankings!C:E,3,FALSE)),(VLOOKUP(C234, Rankings!C:E,3,FALSE)),(VLOOKUP(D234, Rankings!C:E,3,FALSE)))</f>
        <v>#N/A</v>
      </c>
    </row>
    <row r="235" spans="2:5" s="5" customFormat="1" hidden="1" x14ac:dyDescent="0.25">
      <c r="B235"/>
      <c r="C235" s="6"/>
      <c r="D235" s="7"/>
      <c r="E235" s="13" t="e">
        <f>SUM((VLOOKUP(B235, Rankings!C:E,3,FALSE)),(VLOOKUP(C235, Rankings!C:E,3,FALSE)),(VLOOKUP(D235, Rankings!C:E,3,FALSE)))</f>
        <v>#N/A</v>
      </c>
    </row>
    <row r="236" spans="2:5" s="5" customFormat="1" hidden="1" x14ac:dyDescent="0.25">
      <c r="B236"/>
      <c r="C236" s="6"/>
      <c r="D236" s="7"/>
      <c r="E236" s="13" t="e">
        <f>SUM((VLOOKUP(B236, Rankings!C:E,3,FALSE)),(VLOOKUP(C236, Rankings!C:E,3,FALSE)),(VLOOKUP(D236, Rankings!C:E,3,FALSE)))</f>
        <v>#N/A</v>
      </c>
    </row>
    <row r="237" spans="2:5" s="5" customFormat="1" hidden="1" x14ac:dyDescent="0.25">
      <c r="B237"/>
      <c r="C237" s="6"/>
      <c r="D237" s="7"/>
      <c r="E237" s="13" t="e">
        <f>SUM((VLOOKUP(B237, Rankings!C:E,3,FALSE)),(VLOOKUP(C237, Rankings!C:E,3,FALSE)),(VLOOKUP(D237, Rankings!C:E,3,FALSE)))</f>
        <v>#N/A</v>
      </c>
    </row>
    <row r="238" spans="2:5" s="5" customFormat="1" hidden="1" x14ac:dyDescent="0.25">
      <c r="B238"/>
      <c r="C238" s="6"/>
      <c r="D238" s="7"/>
      <c r="E238" s="13" t="e">
        <f>SUM((VLOOKUP(B238, Rankings!C:E,3,FALSE)),(VLOOKUP(C238, Rankings!C:E,3,FALSE)),(VLOOKUP(D238, Rankings!C:E,3,FALSE)))</f>
        <v>#N/A</v>
      </c>
    </row>
    <row r="239" spans="2:5" s="5" customFormat="1" hidden="1" x14ac:dyDescent="0.25">
      <c r="B239"/>
      <c r="C239" s="6"/>
      <c r="D239" s="7"/>
      <c r="E239" s="13" t="e">
        <f>SUM((VLOOKUP(B239, Rankings!C:E,3,FALSE)),(VLOOKUP(C239, Rankings!C:E,3,FALSE)),(VLOOKUP(D239, Rankings!C:E,3,FALSE)))</f>
        <v>#N/A</v>
      </c>
    </row>
    <row r="240" spans="2:5" s="5" customFormat="1" hidden="1" x14ac:dyDescent="0.25">
      <c r="B240"/>
      <c r="C240" s="6"/>
      <c r="D240" s="7"/>
      <c r="E240" s="13" t="e">
        <f>SUM((VLOOKUP(B240, Rankings!C:E,3,FALSE)),(VLOOKUP(C240, Rankings!C:E,3,FALSE)),(VLOOKUP(D240, Rankings!C:E,3,FALSE)))</f>
        <v>#N/A</v>
      </c>
    </row>
    <row r="241" spans="2:5" s="5" customFormat="1" hidden="1" x14ac:dyDescent="0.25">
      <c r="B241"/>
      <c r="C241" s="6"/>
      <c r="D241" s="7"/>
      <c r="E241" s="13" t="e">
        <f>SUM((VLOOKUP(B241, Rankings!C:E,3,FALSE)),(VLOOKUP(C241, Rankings!C:E,3,FALSE)),(VLOOKUP(D241, Rankings!C:E,3,FALSE)))</f>
        <v>#N/A</v>
      </c>
    </row>
    <row r="242" spans="2:5" s="5" customFormat="1" hidden="1" x14ac:dyDescent="0.25">
      <c r="B242"/>
      <c r="C242" s="6"/>
      <c r="D242" s="7"/>
      <c r="E242" s="13" t="e">
        <f>SUM((VLOOKUP(B242, Rankings!C:E,3,FALSE)),(VLOOKUP(C242, Rankings!C:E,3,FALSE)),(VLOOKUP(D242, Rankings!C:E,3,FALSE)))</f>
        <v>#N/A</v>
      </c>
    </row>
    <row r="243" spans="2:5" s="5" customFormat="1" hidden="1" x14ac:dyDescent="0.25">
      <c r="B243"/>
      <c r="C243" s="6"/>
      <c r="D243" s="7"/>
      <c r="E243" s="13" t="e">
        <f>SUM((VLOOKUP(B243, Rankings!C:E,3,FALSE)),(VLOOKUP(C243, Rankings!C:E,3,FALSE)),(VLOOKUP(D243, Rankings!C:E,3,FALSE)))</f>
        <v>#N/A</v>
      </c>
    </row>
    <row r="244" spans="2:5" s="5" customFormat="1" hidden="1" x14ac:dyDescent="0.25">
      <c r="B244"/>
      <c r="C244" s="6"/>
      <c r="D244" s="7"/>
      <c r="E244" s="13" t="e">
        <f>SUM((VLOOKUP(B244, Rankings!C:E,3,FALSE)),(VLOOKUP(C244, Rankings!C:E,3,FALSE)),(VLOOKUP(D244, Rankings!C:E,3,FALSE)))</f>
        <v>#N/A</v>
      </c>
    </row>
    <row r="245" spans="2:5" s="5" customFormat="1" hidden="1" x14ac:dyDescent="0.25">
      <c r="B245"/>
      <c r="C245" s="6"/>
      <c r="D245" s="7"/>
      <c r="E245" s="13" t="e">
        <f>SUM((VLOOKUP(B245, Rankings!C:E,3,FALSE)),(VLOOKUP(C245, Rankings!C:E,3,FALSE)),(VLOOKUP(D245, Rankings!C:E,3,FALSE)))</f>
        <v>#N/A</v>
      </c>
    </row>
    <row r="246" spans="2:5" s="5" customFormat="1" hidden="1" x14ac:dyDescent="0.25">
      <c r="B246"/>
      <c r="C246" s="6"/>
      <c r="D246" s="7"/>
      <c r="E246" s="13" t="e">
        <f>SUM((VLOOKUP(B246, Rankings!C:E,3,FALSE)),(VLOOKUP(C246, Rankings!C:E,3,FALSE)),(VLOOKUP(D246, Rankings!C:E,3,FALSE)))</f>
        <v>#N/A</v>
      </c>
    </row>
    <row r="247" spans="2:5" s="5" customFormat="1" hidden="1" x14ac:dyDescent="0.25">
      <c r="B247"/>
      <c r="C247" s="6"/>
      <c r="D247" s="7"/>
      <c r="E247" s="13" t="e">
        <f>SUM((VLOOKUP(B247, Rankings!C:E,3,FALSE)),(VLOOKUP(C247, Rankings!C:E,3,FALSE)),(VLOOKUP(D247, Rankings!C:E,3,FALSE)))</f>
        <v>#N/A</v>
      </c>
    </row>
    <row r="248" spans="2:5" s="5" customFormat="1" hidden="1" x14ac:dyDescent="0.25">
      <c r="B248"/>
      <c r="C248" s="6"/>
      <c r="D248" s="7"/>
      <c r="E248" s="13" t="e">
        <f>SUM((VLOOKUP(B248, Rankings!C:E,3,FALSE)),(VLOOKUP(C248, Rankings!C:E,3,FALSE)),(VLOOKUP(D248, Rankings!C:E,3,FALSE)))</f>
        <v>#N/A</v>
      </c>
    </row>
    <row r="249" spans="2:5" s="5" customFormat="1" hidden="1" x14ac:dyDescent="0.25">
      <c r="B249"/>
      <c r="C249" s="6"/>
      <c r="D249" s="7"/>
      <c r="E249" s="13" t="e">
        <f>SUM((VLOOKUP(B249, Rankings!C:E,3,FALSE)),(VLOOKUP(C249, Rankings!C:E,3,FALSE)),(VLOOKUP(D249, Rankings!C:E,3,FALSE)))</f>
        <v>#N/A</v>
      </c>
    </row>
    <row r="250" spans="2:5" s="5" customFormat="1" hidden="1" x14ac:dyDescent="0.25">
      <c r="B250"/>
      <c r="C250" s="6"/>
      <c r="D250" s="7"/>
      <c r="E250" s="13" t="e">
        <f>SUM((VLOOKUP(B250, Rankings!C:E,3,FALSE)),(VLOOKUP(C250, Rankings!C:E,3,FALSE)),(VLOOKUP(D250, Rankings!C:E,3,FALSE)))</f>
        <v>#N/A</v>
      </c>
    </row>
    <row r="251" spans="2:5" s="5" customFormat="1" hidden="1" x14ac:dyDescent="0.25">
      <c r="B251"/>
      <c r="C251" s="6"/>
      <c r="D251" s="7"/>
      <c r="E251" s="13" t="e">
        <f>SUM((VLOOKUP(B251, Rankings!C:E,3,FALSE)),(VLOOKUP(C251, Rankings!C:E,3,FALSE)),(VLOOKUP(D251, Rankings!C:E,3,FALSE)))</f>
        <v>#N/A</v>
      </c>
    </row>
    <row r="252" spans="2:5" s="5" customFormat="1" hidden="1" x14ac:dyDescent="0.25">
      <c r="B252"/>
      <c r="C252" s="6"/>
      <c r="D252" s="7"/>
      <c r="E252" s="13" t="e">
        <f>SUM((VLOOKUP(B252, Rankings!C:E,3,FALSE)),(VLOOKUP(C252, Rankings!C:E,3,FALSE)),(VLOOKUP(D252, Rankings!C:E,3,FALSE)))</f>
        <v>#N/A</v>
      </c>
    </row>
    <row r="253" spans="2:5" s="5" customFormat="1" hidden="1" x14ac:dyDescent="0.25">
      <c r="B253"/>
      <c r="C253" s="6"/>
      <c r="D253" s="7"/>
      <c r="E253" s="13" t="e">
        <f>SUM((VLOOKUP(B253, Rankings!C:E,3,FALSE)),(VLOOKUP(C253, Rankings!C:E,3,FALSE)),(VLOOKUP(D253, Rankings!C:E,3,FALSE)))</f>
        <v>#N/A</v>
      </c>
    </row>
    <row r="254" spans="2:5" s="5" customFormat="1" hidden="1" x14ac:dyDescent="0.25">
      <c r="B254"/>
      <c r="C254" s="6"/>
      <c r="D254" s="7"/>
      <c r="E254" s="13" t="e">
        <f>SUM((VLOOKUP(B254, Rankings!C:E,3,FALSE)),(VLOOKUP(C254, Rankings!C:E,3,FALSE)),(VLOOKUP(D254, Rankings!C:E,3,FALSE)))</f>
        <v>#N/A</v>
      </c>
    </row>
    <row r="255" spans="2:5" s="5" customFormat="1" hidden="1" x14ac:dyDescent="0.25">
      <c r="B255"/>
      <c r="C255" s="6"/>
      <c r="D255" s="7"/>
      <c r="E255" s="13" t="e">
        <f>SUM((VLOOKUP(B255, Rankings!C:E,3,FALSE)),(VLOOKUP(C255, Rankings!C:E,3,FALSE)),(VLOOKUP(D255, Rankings!C:E,3,FALSE)))</f>
        <v>#N/A</v>
      </c>
    </row>
    <row r="256" spans="2:5" s="5" customFormat="1" hidden="1" x14ac:dyDescent="0.25">
      <c r="B256"/>
      <c r="C256" s="6"/>
      <c r="D256" s="7"/>
      <c r="E256" s="13" t="e">
        <f>SUM((VLOOKUP(B256, Rankings!C:E,3,FALSE)),(VLOOKUP(C256, Rankings!C:E,3,FALSE)),(VLOOKUP(D256, Rankings!C:E,3,FALSE)))</f>
        <v>#N/A</v>
      </c>
    </row>
    <row r="257" spans="2:5" s="5" customFormat="1" hidden="1" x14ac:dyDescent="0.25">
      <c r="B257"/>
      <c r="C257" s="6"/>
      <c r="D257" s="7"/>
      <c r="E257" s="13" t="e">
        <f>SUM((VLOOKUP(B257, Rankings!C:E,3,FALSE)),(VLOOKUP(C257, Rankings!C:E,3,FALSE)),(VLOOKUP(D257, Rankings!C:E,3,FALSE)))</f>
        <v>#N/A</v>
      </c>
    </row>
    <row r="258" spans="2:5" s="5" customFormat="1" hidden="1" x14ac:dyDescent="0.25">
      <c r="B258"/>
      <c r="C258" s="6"/>
      <c r="D258" s="7"/>
      <c r="E258" s="13" t="e">
        <f>SUM((VLOOKUP(B258, Rankings!C:E,3,FALSE)),(VLOOKUP(C258, Rankings!C:E,3,FALSE)),(VLOOKUP(D258, Rankings!C:E,3,FALSE)))</f>
        <v>#N/A</v>
      </c>
    </row>
    <row r="259" spans="2:5" s="5" customFormat="1" hidden="1" x14ac:dyDescent="0.25">
      <c r="B259"/>
      <c r="C259" s="6"/>
      <c r="D259" s="7"/>
      <c r="E259" s="13" t="e">
        <f>SUM((VLOOKUP(B259, Rankings!C:E,3,FALSE)),(VLOOKUP(C259, Rankings!C:E,3,FALSE)),(VLOOKUP(D259, Rankings!C:E,3,FALSE)))</f>
        <v>#N/A</v>
      </c>
    </row>
    <row r="260" spans="2:5" s="5" customFormat="1" hidden="1" x14ac:dyDescent="0.25">
      <c r="B260"/>
      <c r="C260" s="6"/>
      <c r="D260" s="7"/>
      <c r="E260" s="13" t="e">
        <f>SUM((VLOOKUP(B260, Rankings!C:E,3,FALSE)),(VLOOKUP(C260, Rankings!C:E,3,FALSE)),(VLOOKUP(D260, Rankings!C:E,3,FALSE)))</f>
        <v>#N/A</v>
      </c>
    </row>
    <row r="261" spans="2:5" s="5" customFormat="1" hidden="1" x14ac:dyDescent="0.25">
      <c r="B261"/>
      <c r="C261" s="6"/>
      <c r="D261" s="7"/>
      <c r="E261" s="13" t="e">
        <f>SUM((VLOOKUP(B261, Rankings!C:E,3,FALSE)),(VLOOKUP(C261, Rankings!C:E,3,FALSE)),(VLOOKUP(D261, Rankings!C:E,3,FALSE)))</f>
        <v>#N/A</v>
      </c>
    </row>
    <row r="262" spans="2:5" s="5" customFormat="1" hidden="1" x14ac:dyDescent="0.25">
      <c r="B262"/>
      <c r="C262" s="6"/>
      <c r="D262" s="7"/>
      <c r="E262" s="13" t="e">
        <f>SUM((VLOOKUP(B262, Rankings!C:E,3,FALSE)),(VLOOKUP(C262, Rankings!C:E,3,FALSE)),(VLOOKUP(D262, Rankings!C:E,3,FALSE)))</f>
        <v>#N/A</v>
      </c>
    </row>
    <row r="263" spans="2:5" s="5" customFormat="1" hidden="1" x14ac:dyDescent="0.25">
      <c r="B263"/>
      <c r="C263" s="6"/>
      <c r="D263" s="7"/>
      <c r="E263" s="13" t="e">
        <f>SUM((VLOOKUP(B263, Rankings!C:E,3,FALSE)),(VLOOKUP(C263, Rankings!C:E,3,FALSE)),(VLOOKUP(D263, Rankings!C:E,3,FALSE)))</f>
        <v>#N/A</v>
      </c>
    </row>
    <row r="264" spans="2:5" s="5" customFormat="1" hidden="1" x14ac:dyDescent="0.25">
      <c r="B264"/>
      <c r="C264" s="6"/>
      <c r="D264" s="7"/>
      <c r="E264" s="13" t="e">
        <f>SUM((VLOOKUP(B264, Rankings!C:E,3,FALSE)),(VLOOKUP(C264, Rankings!C:E,3,FALSE)),(VLOOKUP(D264, Rankings!C:E,3,FALSE)))</f>
        <v>#N/A</v>
      </c>
    </row>
    <row r="265" spans="2:5" s="5" customFormat="1" hidden="1" x14ac:dyDescent="0.25">
      <c r="B265"/>
      <c r="C265" s="6"/>
      <c r="D265" s="7"/>
      <c r="E265" s="13" t="e">
        <f>SUM((VLOOKUP(B265, Rankings!C:E,3,FALSE)),(VLOOKUP(C265, Rankings!C:E,3,FALSE)),(VLOOKUP(D265, Rankings!C:E,3,FALSE)))</f>
        <v>#N/A</v>
      </c>
    </row>
    <row r="266" spans="2:5" s="5" customFormat="1" hidden="1" x14ac:dyDescent="0.25">
      <c r="B266"/>
      <c r="C266" s="6"/>
      <c r="D266" s="7"/>
      <c r="E266" s="13" t="e">
        <f>SUM((VLOOKUP(B266, Rankings!C:E,3,FALSE)),(VLOOKUP(C266, Rankings!C:E,3,FALSE)),(VLOOKUP(D266, Rankings!C:E,3,FALSE)))</f>
        <v>#N/A</v>
      </c>
    </row>
    <row r="267" spans="2:5" s="5" customFormat="1" hidden="1" x14ac:dyDescent="0.25">
      <c r="B267"/>
      <c r="C267" s="6"/>
      <c r="D267" s="7"/>
      <c r="E267" s="13" t="e">
        <f>SUM((VLOOKUP(B267, Rankings!C:E,3,FALSE)),(VLOOKUP(C267, Rankings!C:E,3,FALSE)),(VLOOKUP(D267, Rankings!C:E,3,FALSE)))</f>
        <v>#N/A</v>
      </c>
    </row>
    <row r="268" spans="2:5" s="5" customFormat="1" hidden="1" x14ac:dyDescent="0.25">
      <c r="B268"/>
      <c r="C268" s="6"/>
      <c r="D268" s="7"/>
      <c r="E268" s="13" t="e">
        <f>SUM((VLOOKUP(B268, Rankings!C:E,3,FALSE)),(VLOOKUP(C268, Rankings!C:E,3,FALSE)),(VLOOKUP(D268, Rankings!C:E,3,FALSE)))</f>
        <v>#N/A</v>
      </c>
    </row>
    <row r="269" spans="2:5" s="5" customFormat="1" hidden="1" x14ac:dyDescent="0.25">
      <c r="B269"/>
      <c r="C269" s="6"/>
      <c r="D269" s="7"/>
      <c r="E269" s="13" t="e">
        <f>SUM((VLOOKUP(B269, Rankings!C:E,3,FALSE)),(VLOOKUP(C269, Rankings!C:E,3,FALSE)),(VLOOKUP(D269, Rankings!C:E,3,FALSE)))</f>
        <v>#N/A</v>
      </c>
    </row>
    <row r="270" spans="2:5" s="5" customFormat="1" hidden="1" x14ac:dyDescent="0.25">
      <c r="B270"/>
      <c r="C270" s="6"/>
      <c r="D270" s="7"/>
      <c r="E270" s="13" t="e">
        <f>SUM((VLOOKUP(B270, Rankings!C:E,3,FALSE)),(VLOOKUP(C270, Rankings!C:E,3,FALSE)),(VLOOKUP(D270, Rankings!C:E,3,FALSE)))</f>
        <v>#N/A</v>
      </c>
    </row>
    <row r="271" spans="2:5" s="5" customFormat="1" hidden="1" x14ac:dyDescent="0.25">
      <c r="B271"/>
      <c r="C271" s="6"/>
      <c r="D271" s="7"/>
      <c r="E271" s="13" t="e">
        <f>SUM((VLOOKUP(B271, Rankings!C:E,3,FALSE)),(VLOOKUP(C271, Rankings!C:E,3,FALSE)),(VLOOKUP(D271, Rankings!C:E,3,FALSE)))</f>
        <v>#N/A</v>
      </c>
    </row>
    <row r="272" spans="2:5" s="5" customFormat="1" hidden="1" x14ac:dyDescent="0.25">
      <c r="B272"/>
      <c r="C272" s="6"/>
      <c r="D272" s="7"/>
      <c r="E272" s="13" t="e">
        <f>SUM((VLOOKUP(B272, Rankings!C:E,3,FALSE)),(VLOOKUP(C272, Rankings!C:E,3,FALSE)),(VLOOKUP(D272, Rankings!C:E,3,FALSE)))</f>
        <v>#N/A</v>
      </c>
    </row>
    <row r="273" spans="2:5" s="5" customFormat="1" hidden="1" x14ac:dyDescent="0.25">
      <c r="B273"/>
      <c r="C273" s="6"/>
      <c r="D273" s="7"/>
      <c r="E273" s="13" t="e">
        <f>SUM((VLOOKUP(B273, Rankings!C:E,3,FALSE)),(VLOOKUP(C273, Rankings!C:E,3,FALSE)),(VLOOKUP(D273, Rankings!C:E,3,FALSE)))</f>
        <v>#N/A</v>
      </c>
    </row>
    <row r="274" spans="2:5" s="5" customFormat="1" hidden="1" x14ac:dyDescent="0.25">
      <c r="B274"/>
      <c r="C274" s="6"/>
      <c r="D274" s="7"/>
      <c r="E274" s="13" t="e">
        <f>SUM((VLOOKUP(B274, Rankings!C:E,3,FALSE)),(VLOOKUP(C274, Rankings!C:E,3,FALSE)),(VLOOKUP(D274, Rankings!C:E,3,FALSE)))</f>
        <v>#N/A</v>
      </c>
    </row>
    <row r="275" spans="2:5" s="5" customFormat="1" hidden="1" x14ac:dyDescent="0.25">
      <c r="B275"/>
      <c r="C275" s="6"/>
      <c r="D275" s="7"/>
      <c r="E275" s="13" t="e">
        <f>SUM((VLOOKUP(B275, Rankings!C:E,3,FALSE)),(VLOOKUP(C275, Rankings!C:E,3,FALSE)),(VLOOKUP(D275, Rankings!C:E,3,FALSE)))</f>
        <v>#N/A</v>
      </c>
    </row>
    <row r="276" spans="2:5" s="5" customFormat="1" hidden="1" x14ac:dyDescent="0.25">
      <c r="B276"/>
      <c r="C276" s="6"/>
      <c r="D276" s="7"/>
      <c r="E276" s="13" t="e">
        <f>SUM((VLOOKUP(B276, Rankings!C:E,3,FALSE)),(VLOOKUP(C276, Rankings!C:E,3,FALSE)),(VLOOKUP(D276, Rankings!C:E,3,FALSE)))</f>
        <v>#N/A</v>
      </c>
    </row>
    <row r="277" spans="2:5" s="5" customFormat="1" hidden="1" x14ac:dyDescent="0.25">
      <c r="B277"/>
      <c r="C277" s="6"/>
      <c r="D277" s="7"/>
      <c r="E277" s="13" t="e">
        <f>SUM((VLOOKUP(B277, Rankings!C:E,3,FALSE)),(VLOOKUP(C277, Rankings!C:E,3,FALSE)),(VLOOKUP(D277, Rankings!C:E,3,FALSE)))</f>
        <v>#N/A</v>
      </c>
    </row>
    <row r="278" spans="2:5" s="5" customFormat="1" hidden="1" x14ac:dyDescent="0.25">
      <c r="B278"/>
      <c r="C278" s="6"/>
      <c r="D278" s="7"/>
      <c r="E278" s="13" t="e">
        <f>SUM((VLOOKUP(B278, Rankings!C:E,3,FALSE)),(VLOOKUP(C278, Rankings!C:E,3,FALSE)),(VLOOKUP(D278, Rankings!C:E,3,FALSE)))</f>
        <v>#N/A</v>
      </c>
    </row>
    <row r="279" spans="2:5" s="5" customFormat="1" hidden="1" x14ac:dyDescent="0.25">
      <c r="B279"/>
      <c r="C279" s="6"/>
      <c r="D279" s="7"/>
      <c r="E279" s="13" t="e">
        <f>SUM((VLOOKUP(B279, Rankings!C:E,3,FALSE)),(VLOOKUP(C279, Rankings!C:E,3,FALSE)),(VLOOKUP(D279, Rankings!C:E,3,FALSE)))</f>
        <v>#N/A</v>
      </c>
    </row>
    <row r="280" spans="2:5" s="5" customFormat="1" hidden="1" x14ac:dyDescent="0.25">
      <c r="B280"/>
      <c r="C280" s="6"/>
      <c r="D280" s="7"/>
      <c r="E280" s="13" t="e">
        <f>SUM((VLOOKUP(B280, Rankings!C:E,3,FALSE)),(VLOOKUP(C280, Rankings!C:E,3,FALSE)),(VLOOKUP(D280, Rankings!C:E,3,FALSE)))</f>
        <v>#N/A</v>
      </c>
    </row>
    <row r="281" spans="2:5" s="5" customFormat="1" hidden="1" x14ac:dyDescent="0.25">
      <c r="B281"/>
      <c r="C281" s="6"/>
      <c r="D281" s="7"/>
      <c r="E281" s="13" t="e">
        <f>SUM((VLOOKUP(B281, Rankings!C:E,3,FALSE)),(VLOOKUP(C281, Rankings!C:E,3,FALSE)),(VLOOKUP(D281, Rankings!C:E,3,FALSE)))</f>
        <v>#N/A</v>
      </c>
    </row>
    <row r="282" spans="2:5" s="5" customFormat="1" hidden="1" x14ac:dyDescent="0.25">
      <c r="B282"/>
      <c r="C282" s="6"/>
      <c r="D282" s="7"/>
      <c r="E282" s="13" t="e">
        <f>SUM((VLOOKUP(B282, Rankings!C:E,3,FALSE)),(VLOOKUP(C282, Rankings!C:E,3,FALSE)),(VLOOKUP(D282, Rankings!C:E,3,FALSE)))</f>
        <v>#N/A</v>
      </c>
    </row>
    <row r="283" spans="2:5" s="5" customFormat="1" hidden="1" x14ac:dyDescent="0.25">
      <c r="B283"/>
      <c r="C283" s="6"/>
      <c r="D283" s="7"/>
      <c r="E283" s="13" t="e">
        <f>SUM((VLOOKUP(B283, Rankings!C:E,3,FALSE)),(VLOOKUP(C283, Rankings!C:E,3,FALSE)),(VLOOKUP(D283, Rankings!C:E,3,FALSE)))</f>
        <v>#N/A</v>
      </c>
    </row>
    <row r="284" spans="2:5" s="5" customFormat="1" hidden="1" x14ac:dyDescent="0.25">
      <c r="B284"/>
      <c r="C284" s="6"/>
      <c r="D284" s="7"/>
      <c r="E284" s="13" t="e">
        <f>SUM((VLOOKUP(B284, Rankings!C:E,3,FALSE)),(VLOOKUP(C284, Rankings!C:E,3,FALSE)),(VLOOKUP(D284, Rankings!C:E,3,FALSE)))</f>
        <v>#N/A</v>
      </c>
    </row>
    <row r="285" spans="2:5" s="5" customFormat="1" hidden="1" x14ac:dyDescent="0.25">
      <c r="B285"/>
      <c r="C285" s="6"/>
      <c r="D285" s="7"/>
      <c r="E285" s="13" t="e">
        <f>SUM((VLOOKUP(B285, Rankings!C:E,3,FALSE)),(VLOOKUP(C285, Rankings!C:E,3,FALSE)),(VLOOKUP(D285, Rankings!C:E,3,FALSE)))</f>
        <v>#N/A</v>
      </c>
    </row>
    <row r="286" spans="2:5" s="5" customFormat="1" hidden="1" x14ac:dyDescent="0.25">
      <c r="B286"/>
      <c r="C286" s="6"/>
      <c r="D286" s="7"/>
      <c r="E286" s="13" t="e">
        <f>SUM((VLOOKUP(B286, Rankings!C:E,3,FALSE)),(VLOOKUP(C286, Rankings!C:E,3,FALSE)),(VLOOKUP(D286, Rankings!C:E,3,FALSE)))</f>
        <v>#N/A</v>
      </c>
    </row>
    <row r="287" spans="2:5" s="5" customFormat="1" hidden="1" x14ac:dyDescent="0.25">
      <c r="B287"/>
      <c r="C287" s="6"/>
      <c r="D287" s="7"/>
      <c r="E287" s="13" t="e">
        <f>SUM((VLOOKUP(B287, Rankings!C:E,3,FALSE)),(VLOOKUP(C287, Rankings!C:E,3,FALSE)),(VLOOKUP(D287, Rankings!C:E,3,FALSE)))</f>
        <v>#N/A</v>
      </c>
    </row>
    <row r="288" spans="2:5" s="5" customFormat="1" hidden="1" x14ac:dyDescent="0.25">
      <c r="B288"/>
      <c r="C288" s="6"/>
      <c r="D288" s="7"/>
      <c r="E288" s="13" t="e">
        <f>SUM((VLOOKUP(B288, Rankings!C:E,3,FALSE)),(VLOOKUP(C288, Rankings!C:E,3,FALSE)),(VLOOKUP(D288, Rankings!C:E,3,FALSE)))</f>
        <v>#N/A</v>
      </c>
    </row>
    <row r="289" spans="2:5" s="5" customFormat="1" hidden="1" x14ac:dyDescent="0.25">
      <c r="B289"/>
      <c r="C289" s="6"/>
      <c r="D289" s="7"/>
      <c r="E289" s="13" t="e">
        <f>SUM((VLOOKUP(B289, Rankings!C:E,3,FALSE)),(VLOOKUP(C289, Rankings!C:E,3,FALSE)),(VLOOKUP(D289, Rankings!C:E,3,FALSE)))</f>
        <v>#N/A</v>
      </c>
    </row>
    <row r="290" spans="2:5" s="5" customFormat="1" hidden="1" x14ac:dyDescent="0.25">
      <c r="B290"/>
      <c r="C290" s="6"/>
      <c r="D290" s="7"/>
      <c r="E290" s="13" t="e">
        <f>SUM((VLOOKUP(B290, Rankings!C:E,3,FALSE)),(VLOOKUP(C290, Rankings!C:E,3,FALSE)),(VLOOKUP(D290, Rankings!C:E,3,FALSE)))</f>
        <v>#N/A</v>
      </c>
    </row>
    <row r="291" spans="2:5" s="5" customFormat="1" hidden="1" x14ac:dyDescent="0.25">
      <c r="B291"/>
      <c r="C291" s="6"/>
      <c r="D291" s="7"/>
      <c r="E291" s="13" t="e">
        <f>SUM((VLOOKUP(B291, Rankings!C:E,3,FALSE)),(VLOOKUP(C291, Rankings!C:E,3,FALSE)),(VLOOKUP(D291, Rankings!C:E,3,FALSE)))</f>
        <v>#N/A</v>
      </c>
    </row>
    <row r="292" spans="2:5" s="5" customFormat="1" hidden="1" x14ac:dyDescent="0.25">
      <c r="B292"/>
      <c r="C292" s="6"/>
      <c r="D292" s="7"/>
      <c r="E292" s="13" t="e">
        <f>SUM((VLOOKUP(B292, Rankings!C:E,3,FALSE)),(VLOOKUP(C292, Rankings!C:E,3,FALSE)),(VLOOKUP(D292, Rankings!C:E,3,FALSE)))</f>
        <v>#N/A</v>
      </c>
    </row>
    <row r="293" spans="2:5" s="5" customFormat="1" hidden="1" x14ac:dyDescent="0.25">
      <c r="B293"/>
      <c r="C293" s="6"/>
      <c r="D293" s="7"/>
      <c r="E293" s="13" t="e">
        <f>SUM((VLOOKUP(B293, Rankings!C:E,3,FALSE)),(VLOOKUP(C293, Rankings!C:E,3,FALSE)),(VLOOKUP(D293, Rankings!C:E,3,FALSE)))</f>
        <v>#N/A</v>
      </c>
    </row>
    <row r="294" spans="2:5" s="5" customFormat="1" hidden="1" x14ac:dyDescent="0.25">
      <c r="B294"/>
      <c r="C294" s="6"/>
      <c r="D294" s="7"/>
      <c r="E294" s="13" t="e">
        <f>SUM((VLOOKUP(B294, Rankings!C:E,3,FALSE)),(VLOOKUP(C294, Rankings!C:E,3,FALSE)),(VLOOKUP(D294, Rankings!C:E,3,FALSE)))</f>
        <v>#N/A</v>
      </c>
    </row>
    <row r="295" spans="2:5" s="5" customFormat="1" hidden="1" x14ac:dyDescent="0.25">
      <c r="B295"/>
      <c r="C295" s="6"/>
      <c r="D295" s="7"/>
      <c r="E295" s="13" t="e">
        <f>SUM((VLOOKUP(B295, Rankings!C:E,3,FALSE)),(VLOOKUP(C295, Rankings!C:E,3,FALSE)),(VLOOKUP(D295, Rankings!C:E,3,FALSE)))</f>
        <v>#N/A</v>
      </c>
    </row>
    <row r="296" spans="2:5" s="5" customFormat="1" hidden="1" x14ac:dyDescent="0.25">
      <c r="B296"/>
      <c r="C296" s="6"/>
      <c r="D296" s="7"/>
      <c r="E296" s="13" t="e">
        <f>SUM((VLOOKUP(B296, Rankings!C:E,3,FALSE)),(VLOOKUP(C296, Rankings!C:E,3,FALSE)),(VLOOKUP(D296, Rankings!C:E,3,FALSE)))</f>
        <v>#N/A</v>
      </c>
    </row>
    <row r="297" spans="2:5" s="5" customFormat="1" hidden="1" x14ac:dyDescent="0.25">
      <c r="B297"/>
      <c r="C297" s="6"/>
      <c r="D297" s="7"/>
      <c r="E297" s="13" t="e">
        <f>SUM((VLOOKUP(B297, Rankings!C:E,3,FALSE)),(VLOOKUP(C297, Rankings!C:E,3,FALSE)),(VLOOKUP(D297, Rankings!C:E,3,FALSE)))</f>
        <v>#N/A</v>
      </c>
    </row>
    <row r="298" spans="2:5" s="5" customFormat="1" hidden="1" x14ac:dyDescent="0.25">
      <c r="B298"/>
      <c r="C298" s="6"/>
      <c r="D298" s="7"/>
      <c r="E298" s="13" t="e">
        <f>SUM((VLOOKUP(B298, Rankings!C:E,3,FALSE)),(VLOOKUP(C298, Rankings!C:E,3,FALSE)),(VLOOKUP(D298, Rankings!C:E,3,FALSE)))</f>
        <v>#N/A</v>
      </c>
    </row>
    <row r="299" spans="2:5" s="5" customFormat="1" hidden="1" x14ac:dyDescent="0.25">
      <c r="B299"/>
      <c r="C299" s="6"/>
      <c r="D299" s="7"/>
      <c r="E299" s="13" t="e">
        <f>SUM((VLOOKUP(B299, Rankings!C:E,3,FALSE)),(VLOOKUP(C299, Rankings!C:E,3,FALSE)),(VLOOKUP(D299, Rankings!C:E,3,FALSE)))</f>
        <v>#N/A</v>
      </c>
    </row>
    <row r="300" spans="2:5" s="5" customFormat="1" hidden="1" x14ac:dyDescent="0.25">
      <c r="B300"/>
      <c r="C300" s="6"/>
      <c r="D300" s="7"/>
      <c r="E300" s="13" t="e">
        <f>SUM((VLOOKUP(B300, Rankings!C:E,3,FALSE)),(VLOOKUP(C300, Rankings!C:E,3,FALSE)),(VLOOKUP(D300, Rankings!C:E,3,FALSE)))</f>
        <v>#N/A</v>
      </c>
    </row>
    <row r="301" spans="2:5" s="5" customFormat="1" hidden="1" x14ac:dyDescent="0.25">
      <c r="B301"/>
      <c r="C301" s="6"/>
      <c r="D301" s="7"/>
      <c r="E301" s="13" t="e">
        <f>SUM((VLOOKUP(B301, Rankings!C:E,3,FALSE)),(VLOOKUP(C301, Rankings!C:E,3,FALSE)),(VLOOKUP(D301, Rankings!C:E,3,FALSE)))</f>
        <v>#N/A</v>
      </c>
    </row>
    <row r="302" spans="2:5" s="5" customFormat="1" hidden="1" x14ac:dyDescent="0.25">
      <c r="B302"/>
      <c r="C302" s="6"/>
      <c r="D302" s="7"/>
      <c r="E302" s="13" t="e">
        <f>SUM((VLOOKUP(B302, Rankings!C:E,3,FALSE)),(VLOOKUP(C302, Rankings!C:E,3,FALSE)),(VLOOKUP(D302, Rankings!C:E,3,FALSE)))</f>
        <v>#N/A</v>
      </c>
    </row>
    <row r="303" spans="2:5" s="5" customFormat="1" hidden="1" x14ac:dyDescent="0.25">
      <c r="B303"/>
      <c r="C303" s="6"/>
      <c r="D303" s="7"/>
      <c r="E303" s="13" t="e">
        <f>SUM((VLOOKUP(B303, Rankings!C:E,3,FALSE)),(VLOOKUP(C303, Rankings!C:E,3,FALSE)),(VLOOKUP(D303, Rankings!C:E,3,FALSE)))</f>
        <v>#N/A</v>
      </c>
    </row>
    <row r="304" spans="2:5" s="5" customFormat="1" hidden="1" x14ac:dyDescent="0.25">
      <c r="B304"/>
      <c r="C304" s="6"/>
      <c r="D304" s="7"/>
      <c r="E304" s="13" t="e">
        <f>SUM((VLOOKUP(B304, Rankings!C:E,3,FALSE)),(VLOOKUP(C304, Rankings!C:E,3,FALSE)),(VLOOKUP(D304, Rankings!C:E,3,FALSE)))</f>
        <v>#N/A</v>
      </c>
    </row>
    <row r="305" spans="2:5" s="5" customFormat="1" hidden="1" x14ac:dyDescent="0.25">
      <c r="B305"/>
      <c r="C305" s="6"/>
      <c r="D305" s="7"/>
      <c r="E305" s="13" t="e">
        <f>SUM((VLOOKUP(B305, Rankings!C:E,3,FALSE)),(VLOOKUP(C305, Rankings!C:E,3,FALSE)),(VLOOKUP(D305, Rankings!C:E,3,FALSE)))</f>
        <v>#N/A</v>
      </c>
    </row>
    <row r="306" spans="2:5" s="5" customFormat="1" hidden="1" x14ac:dyDescent="0.25">
      <c r="B306"/>
      <c r="C306" s="6"/>
      <c r="D306" s="7"/>
      <c r="E306" s="13" t="e">
        <f>SUM((VLOOKUP(B306, Rankings!C:E,3,FALSE)),(VLOOKUP(C306, Rankings!C:E,3,FALSE)),(VLOOKUP(D306, Rankings!C:E,3,FALSE)))</f>
        <v>#N/A</v>
      </c>
    </row>
    <row r="307" spans="2:5" s="5" customFormat="1" hidden="1" x14ac:dyDescent="0.25">
      <c r="B307"/>
      <c r="C307" s="6"/>
      <c r="D307" s="7"/>
      <c r="E307" s="13" t="e">
        <f>SUM((VLOOKUP(B307, Rankings!C:E,3,FALSE)),(VLOOKUP(C307, Rankings!C:E,3,FALSE)),(VLOOKUP(D307, Rankings!C:E,3,FALSE)))</f>
        <v>#N/A</v>
      </c>
    </row>
    <row r="308" spans="2:5" s="5" customFormat="1" hidden="1" x14ac:dyDescent="0.25">
      <c r="B308"/>
      <c r="C308" s="6"/>
      <c r="D308" s="7"/>
      <c r="E308" s="13" t="e">
        <f>SUM((VLOOKUP(B308, Rankings!C:E,3,FALSE)),(VLOOKUP(C308, Rankings!C:E,3,FALSE)),(VLOOKUP(D308, Rankings!C:E,3,FALSE)))</f>
        <v>#N/A</v>
      </c>
    </row>
    <row r="309" spans="2:5" s="5" customFormat="1" hidden="1" x14ac:dyDescent="0.25">
      <c r="B309"/>
      <c r="C309" s="6"/>
      <c r="D309" s="7"/>
      <c r="E309" s="13" t="e">
        <f>SUM((VLOOKUP(B309, Rankings!C:E,3,FALSE)),(VLOOKUP(C309, Rankings!C:E,3,FALSE)),(VLOOKUP(D309, Rankings!C:E,3,FALSE)))</f>
        <v>#N/A</v>
      </c>
    </row>
    <row r="310" spans="2:5" s="5" customFormat="1" hidden="1" x14ac:dyDescent="0.25">
      <c r="B310"/>
      <c r="C310" s="6"/>
      <c r="D310" s="7"/>
      <c r="E310" s="13" t="e">
        <f>SUM((VLOOKUP(B310, Rankings!C:E,3,FALSE)),(VLOOKUP(C310, Rankings!C:E,3,FALSE)),(VLOOKUP(D310, Rankings!C:E,3,FALSE)))</f>
        <v>#N/A</v>
      </c>
    </row>
    <row r="311" spans="2:5" s="5" customFormat="1" hidden="1" x14ac:dyDescent="0.25">
      <c r="B311"/>
      <c r="C311" s="6"/>
      <c r="D311" s="7"/>
      <c r="E311" s="13" t="e">
        <f>SUM((VLOOKUP(B311, Rankings!C:E,3,FALSE)),(VLOOKUP(C311, Rankings!C:E,3,FALSE)),(VLOOKUP(D311, Rankings!C:E,3,FALSE)))</f>
        <v>#N/A</v>
      </c>
    </row>
    <row r="312" spans="2:5" s="5" customFormat="1" hidden="1" x14ac:dyDescent="0.25">
      <c r="B312"/>
      <c r="C312" s="6"/>
      <c r="D312" s="7"/>
      <c r="E312" s="13" t="e">
        <f>SUM((VLOOKUP(B312, Rankings!C:E,3,FALSE)),(VLOOKUP(C312, Rankings!C:E,3,FALSE)),(VLOOKUP(D312, Rankings!C:E,3,FALSE)))</f>
        <v>#N/A</v>
      </c>
    </row>
    <row r="313" spans="2:5" s="5" customFormat="1" hidden="1" x14ac:dyDescent="0.25">
      <c r="B313"/>
      <c r="C313" s="6"/>
      <c r="D313" s="7"/>
      <c r="E313" s="13" t="e">
        <f>SUM((VLOOKUP(B313, Rankings!C:E,3,FALSE)),(VLOOKUP(C313, Rankings!C:E,3,FALSE)),(VLOOKUP(D313, Rankings!C:E,3,FALSE)))</f>
        <v>#N/A</v>
      </c>
    </row>
    <row r="314" spans="2:5" s="5" customFormat="1" hidden="1" x14ac:dyDescent="0.25">
      <c r="B314"/>
      <c r="C314" s="6"/>
      <c r="D314" s="7"/>
      <c r="E314" s="13" t="e">
        <f>SUM((VLOOKUP(B314, Rankings!C:E,3,FALSE)),(VLOOKUP(C314, Rankings!C:E,3,FALSE)),(VLOOKUP(D314, Rankings!C:E,3,FALSE)))</f>
        <v>#N/A</v>
      </c>
    </row>
    <row r="315" spans="2:5" s="5" customFormat="1" hidden="1" x14ac:dyDescent="0.25">
      <c r="B315"/>
      <c r="C315" s="6"/>
      <c r="D315" s="7"/>
      <c r="E315" s="13" t="e">
        <f>SUM((VLOOKUP(B315, Rankings!C:E,3,FALSE)),(VLOOKUP(C315, Rankings!C:E,3,FALSE)),(VLOOKUP(D315, Rankings!C:E,3,FALSE)))</f>
        <v>#N/A</v>
      </c>
    </row>
    <row r="316" spans="2:5" s="5" customFormat="1" hidden="1" x14ac:dyDescent="0.25">
      <c r="B316"/>
      <c r="C316" s="6"/>
      <c r="D316" s="7"/>
      <c r="E316" s="13" t="e">
        <f>SUM((VLOOKUP(B316, Rankings!C:E,3,FALSE)),(VLOOKUP(C316, Rankings!C:E,3,FALSE)),(VLOOKUP(D316, Rankings!C:E,3,FALSE)))</f>
        <v>#N/A</v>
      </c>
    </row>
    <row r="317" spans="2:5" s="5" customFormat="1" hidden="1" x14ac:dyDescent="0.25">
      <c r="B317"/>
      <c r="C317" s="6"/>
      <c r="D317" s="7"/>
      <c r="E317" s="13" t="e">
        <f>SUM((VLOOKUP(B317, Rankings!C:E,3,FALSE)),(VLOOKUP(C317, Rankings!C:E,3,FALSE)),(VLOOKUP(D317, Rankings!C:E,3,FALSE)))</f>
        <v>#N/A</v>
      </c>
    </row>
    <row r="318" spans="2:5" s="5" customFormat="1" hidden="1" x14ac:dyDescent="0.25">
      <c r="B318"/>
      <c r="C318" s="6"/>
      <c r="D318" s="7"/>
      <c r="E318" s="13" t="e">
        <f>SUM((VLOOKUP(B318, Rankings!C:E,3,FALSE)),(VLOOKUP(C318, Rankings!C:E,3,FALSE)),(VLOOKUP(D318, Rankings!C:E,3,FALSE)))</f>
        <v>#N/A</v>
      </c>
    </row>
    <row r="319" spans="2:5" s="5" customFormat="1" hidden="1" x14ac:dyDescent="0.25">
      <c r="B319"/>
      <c r="C319" s="6"/>
      <c r="D319" s="7"/>
      <c r="E319" s="13" t="e">
        <f>SUM((VLOOKUP(B319, Rankings!C:E,3,FALSE)),(VLOOKUP(C319, Rankings!C:E,3,FALSE)),(VLOOKUP(D319, Rankings!C:E,3,FALSE)))</f>
        <v>#N/A</v>
      </c>
    </row>
    <row r="320" spans="2:5" s="5" customFormat="1" hidden="1" x14ac:dyDescent="0.25">
      <c r="B320"/>
      <c r="C320" s="6"/>
      <c r="D320" s="7"/>
      <c r="E320" s="13" t="e">
        <f>SUM((VLOOKUP(B320, Rankings!C:E,3,FALSE)),(VLOOKUP(C320, Rankings!C:E,3,FALSE)),(VLOOKUP(D320, Rankings!C:E,3,FALSE)))</f>
        <v>#N/A</v>
      </c>
    </row>
    <row r="321" spans="2:5" s="5" customFormat="1" hidden="1" x14ac:dyDescent="0.25">
      <c r="B321"/>
      <c r="C321" s="6"/>
      <c r="D321" s="7"/>
      <c r="E321" s="13" t="e">
        <f>SUM((VLOOKUP(B321, Rankings!C:E,3,FALSE)),(VLOOKUP(C321, Rankings!C:E,3,FALSE)),(VLOOKUP(D321, Rankings!C:E,3,FALSE)))</f>
        <v>#N/A</v>
      </c>
    </row>
    <row r="322" spans="2:5" s="5" customFormat="1" hidden="1" x14ac:dyDescent="0.25">
      <c r="B322"/>
      <c r="C322" s="6"/>
      <c r="D322" s="7"/>
      <c r="E322" s="13" t="e">
        <f>SUM((VLOOKUP(B322, Rankings!C:E,3,FALSE)),(VLOOKUP(C322, Rankings!C:E,3,FALSE)),(VLOOKUP(D322, Rankings!C:E,3,FALSE)))</f>
        <v>#N/A</v>
      </c>
    </row>
    <row r="323" spans="2:5" s="5" customFormat="1" hidden="1" x14ac:dyDescent="0.25">
      <c r="B323"/>
      <c r="C323" s="6"/>
      <c r="D323" s="7"/>
      <c r="E323" s="13" t="e">
        <f>SUM((VLOOKUP(B323, Rankings!C:E,3,FALSE)),(VLOOKUP(C323, Rankings!C:E,3,FALSE)),(VLOOKUP(D323, Rankings!C:E,3,FALSE)))</f>
        <v>#N/A</v>
      </c>
    </row>
    <row r="324" spans="2:5" s="5" customFormat="1" hidden="1" x14ac:dyDescent="0.25">
      <c r="B324"/>
      <c r="C324" s="6"/>
      <c r="D324" s="7"/>
      <c r="E324" s="13" t="e">
        <f>SUM((VLOOKUP(B324, Rankings!C:E,3,FALSE)),(VLOOKUP(C324, Rankings!C:E,3,FALSE)),(VLOOKUP(D324, Rankings!C:E,3,FALSE)))</f>
        <v>#N/A</v>
      </c>
    </row>
    <row r="325" spans="2:5" s="5" customFormat="1" hidden="1" x14ac:dyDescent="0.25">
      <c r="B325"/>
      <c r="C325" s="6"/>
      <c r="D325" s="7"/>
      <c r="E325" s="13" t="e">
        <f>SUM((VLOOKUP(B325, Rankings!C:E,3,FALSE)),(VLOOKUP(C325, Rankings!C:E,3,FALSE)),(VLOOKUP(D325, Rankings!C:E,3,FALSE)))</f>
        <v>#N/A</v>
      </c>
    </row>
    <row r="326" spans="2:5" s="5" customFormat="1" hidden="1" x14ac:dyDescent="0.25">
      <c r="B326"/>
      <c r="C326" s="6"/>
      <c r="D326" s="7"/>
      <c r="E326" s="13" t="e">
        <f>SUM((VLOOKUP(B326, Rankings!C:E,3,FALSE)),(VLOOKUP(C326, Rankings!C:E,3,FALSE)),(VLOOKUP(D326, Rankings!C:E,3,FALSE)))</f>
        <v>#N/A</v>
      </c>
    </row>
    <row r="327" spans="2:5" s="5" customFormat="1" hidden="1" x14ac:dyDescent="0.25">
      <c r="B327"/>
      <c r="C327" s="6"/>
      <c r="D327" s="7"/>
      <c r="E327" s="13" t="e">
        <f>SUM((VLOOKUP(B327, Rankings!C:E,3,FALSE)),(VLOOKUP(C327, Rankings!C:E,3,FALSE)),(VLOOKUP(D327, Rankings!C:E,3,FALSE)))</f>
        <v>#N/A</v>
      </c>
    </row>
    <row r="328" spans="2:5" s="5" customFormat="1" hidden="1" x14ac:dyDescent="0.25">
      <c r="B328"/>
      <c r="C328" s="6"/>
      <c r="D328" s="7"/>
      <c r="E328" s="13" t="e">
        <f>SUM((VLOOKUP(B328, Rankings!C:E,3,FALSE)),(VLOOKUP(C328, Rankings!C:E,3,FALSE)),(VLOOKUP(D328, Rankings!C:E,3,FALSE)))</f>
        <v>#N/A</v>
      </c>
    </row>
    <row r="329" spans="2:5" s="5" customFormat="1" hidden="1" x14ac:dyDescent="0.25">
      <c r="B329"/>
      <c r="C329" s="6"/>
      <c r="D329" s="7"/>
      <c r="E329" s="13" t="e">
        <f>SUM((VLOOKUP(B329, Rankings!C:E,3,FALSE)),(VLOOKUP(C329, Rankings!C:E,3,FALSE)),(VLOOKUP(D329, Rankings!C:E,3,FALSE)))</f>
        <v>#N/A</v>
      </c>
    </row>
    <row r="330" spans="2:5" s="5" customFormat="1" hidden="1" x14ac:dyDescent="0.25">
      <c r="B330"/>
      <c r="C330" s="6"/>
      <c r="D330" s="7"/>
      <c r="E330" s="13" t="e">
        <f>SUM((VLOOKUP(B330, Rankings!C:E,3,FALSE)),(VLOOKUP(C330, Rankings!C:E,3,FALSE)),(VLOOKUP(D330, Rankings!C:E,3,FALSE)))</f>
        <v>#N/A</v>
      </c>
    </row>
    <row r="331" spans="2:5" s="5" customFormat="1" hidden="1" x14ac:dyDescent="0.25">
      <c r="B331"/>
      <c r="C331" s="6"/>
      <c r="D331" s="7"/>
      <c r="E331" s="13" t="e">
        <f>SUM((VLOOKUP(B331, Rankings!C:E,3,FALSE)),(VLOOKUP(C331, Rankings!C:E,3,FALSE)),(VLOOKUP(D331, Rankings!C:E,3,FALSE)))</f>
        <v>#N/A</v>
      </c>
    </row>
    <row r="332" spans="2:5" s="5" customFormat="1" hidden="1" x14ac:dyDescent="0.25">
      <c r="B332"/>
      <c r="C332" s="6"/>
      <c r="D332" s="7"/>
      <c r="E332" s="13" t="e">
        <f>SUM((VLOOKUP(B332, Rankings!C:E,3,FALSE)),(VLOOKUP(C332, Rankings!C:E,3,FALSE)),(VLOOKUP(D332, Rankings!C:E,3,FALSE)))</f>
        <v>#N/A</v>
      </c>
    </row>
    <row r="333" spans="2:5" s="5" customFormat="1" hidden="1" x14ac:dyDescent="0.25">
      <c r="B333"/>
      <c r="C333" s="6"/>
      <c r="D333" s="7"/>
      <c r="E333" s="13" t="e">
        <f>SUM((VLOOKUP(B333, Rankings!C:E,3,FALSE)),(VLOOKUP(C333, Rankings!C:E,3,FALSE)),(VLOOKUP(D333, Rankings!C:E,3,FALSE)))</f>
        <v>#N/A</v>
      </c>
    </row>
    <row r="334" spans="2:5" s="5" customFormat="1" hidden="1" x14ac:dyDescent="0.25">
      <c r="B334"/>
      <c r="C334" s="6"/>
      <c r="D334" s="7"/>
      <c r="E334" s="13" t="e">
        <f>SUM((VLOOKUP(B334, Rankings!C:E,3,FALSE)),(VLOOKUP(C334, Rankings!C:E,3,FALSE)),(VLOOKUP(D334, Rankings!C:E,3,FALSE)))</f>
        <v>#N/A</v>
      </c>
    </row>
    <row r="335" spans="2:5" s="5" customFormat="1" hidden="1" x14ac:dyDescent="0.25">
      <c r="B335"/>
      <c r="C335" s="6"/>
      <c r="D335" s="7"/>
      <c r="E335" s="13" t="e">
        <f>SUM((VLOOKUP(B335, Rankings!C:E,3,FALSE)),(VLOOKUP(C335, Rankings!C:E,3,FALSE)),(VLOOKUP(D335, Rankings!C:E,3,FALSE)))</f>
        <v>#N/A</v>
      </c>
    </row>
    <row r="336" spans="2:5" s="5" customFormat="1" hidden="1" x14ac:dyDescent="0.25">
      <c r="B336"/>
      <c r="C336" s="6"/>
      <c r="D336" s="7"/>
      <c r="E336" s="13" t="e">
        <f>SUM((VLOOKUP(B336, Rankings!C:E,3,FALSE)),(VLOOKUP(C336, Rankings!C:E,3,FALSE)),(VLOOKUP(D336, Rankings!C:E,3,FALSE)))</f>
        <v>#N/A</v>
      </c>
    </row>
    <row r="337" spans="2:5" s="5" customFormat="1" hidden="1" x14ac:dyDescent="0.25">
      <c r="B337"/>
      <c r="C337" s="6"/>
      <c r="D337" s="7"/>
      <c r="E337" s="13" t="e">
        <f>SUM((VLOOKUP(B337, Rankings!C:E,3,FALSE)),(VLOOKUP(C337, Rankings!C:E,3,FALSE)),(VLOOKUP(D337, Rankings!C:E,3,FALSE)))</f>
        <v>#N/A</v>
      </c>
    </row>
    <row r="338" spans="2:5" s="5" customFormat="1" hidden="1" x14ac:dyDescent="0.25">
      <c r="B338"/>
      <c r="C338" s="6"/>
      <c r="D338" s="7"/>
      <c r="E338" s="13" t="e">
        <f>SUM((VLOOKUP(B338, Rankings!C:E,3,FALSE)),(VLOOKUP(C338, Rankings!C:E,3,FALSE)),(VLOOKUP(D338, Rankings!C:E,3,FALSE)))</f>
        <v>#N/A</v>
      </c>
    </row>
    <row r="339" spans="2:5" s="5" customFormat="1" hidden="1" x14ac:dyDescent="0.25">
      <c r="B339"/>
      <c r="C339" s="6"/>
      <c r="D339" s="7"/>
      <c r="E339" s="13" t="e">
        <f>SUM((VLOOKUP(B339, Rankings!C:E,3,FALSE)),(VLOOKUP(C339, Rankings!C:E,3,FALSE)),(VLOOKUP(D339, Rankings!C:E,3,FALSE)))</f>
        <v>#N/A</v>
      </c>
    </row>
    <row r="340" spans="2:5" s="5" customFormat="1" hidden="1" x14ac:dyDescent="0.25">
      <c r="B340"/>
      <c r="C340" s="6"/>
      <c r="D340" s="7"/>
      <c r="E340" s="13" t="e">
        <f>SUM((VLOOKUP(B340, Rankings!C:E,3,FALSE)),(VLOOKUP(C340, Rankings!C:E,3,FALSE)),(VLOOKUP(D340, Rankings!C:E,3,FALSE)))</f>
        <v>#N/A</v>
      </c>
    </row>
    <row r="341" spans="2:5" s="5" customFormat="1" hidden="1" x14ac:dyDescent="0.25">
      <c r="B341"/>
      <c r="C341" s="6"/>
      <c r="D341" s="7"/>
      <c r="E341" s="13" t="e">
        <f>SUM((VLOOKUP(B341, Rankings!C:E,3,FALSE)),(VLOOKUP(C341, Rankings!C:E,3,FALSE)),(VLOOKUP(D341, Rankings!C:E,3,FALSE)))</f>
        <v>#N/A</v>
      </c>
    </row>
    <row r="342" spans="2:5" s="5" customFormat="1" hidden="1" x14ac:dyDescent="0.25">
      <c r="B342"/>
      <c r="C342" s="6"/>
      <c r="D342" s="7"/>
      <c r="E342" s="13" t="e">
        <f>SUM((VLOOKUP(B342, Rankings!C:E,3,FALSE)),(VLOOKUP(C342, Rankings!C:E,3,FALSE)),(VLOOKUP(D342, Rankings!C:E,3,FALSE)))</f>
        <v>#N/A</v>
      </c>
    </row>
    <row r="343" spans="2:5" s="5" customFormat="1" hidden="1" x14ac:dyDescent="0.25">
      <c r="B343"/>
      <c r="C343" s="6"/>
      <c r="D343" s="7"/>
      <c r="E343" s="13" t="e">
        <f>SUM((VLOOKUP(B343, Rankings!C:E,3,FALSE)),(VLOOKUP(C343, Rankings!C:E,3,FALSE)),(VLOOKUP(D343, Rankings!C:E,3,FALSE)))</f>
        <v>#N/A</v>
      </c>
    </row>
    <row r="344" spans="2:5" s="5" customFormat="1" hidden="1" x14ac:dyDescent="0.25">
      <c r="B344"/>
      <c r="C344" s="6"/>
      <c r="D344" s="7"/>
      <c r="E344" s="13" t="e">
        <f>SUM((VLOOKUP(B344, Rankings!C:E,3,FALSE)),(VLOOKUP(C344, Rankings!C:E,3,FALSE)),(VLOOKUP(D344, Rankings!C:E,3,FALSE)))</f>
        <v>#N/A</v>
      </c>
    </row>
    <row r="345" spans="2:5" s="5" customFormat="1" hidden="1" x14ac:dyDescent="0.25">
      <c r="B345"/>
      <c r="C345" s="6"/>
      <c r="D345" s="7"/>
      <c r="E345" s="13" t="e">
        <f>SUM((VLOOKUP(B345, Rankings!C:E,3,FALSE)),(VLOOKUP(C345, Rankings!C:E,3,FALSE)),(VLOOKUP(D345, Rankings!C:E,3,FALSE)))</f>
        <v>#N/A</v>
      </c>
    </row>
    <row r="346" spans="2:5" s="5" customFormat="1" hidden="1" x14ac:dyDescent="0.25">
      <c r="B346"/>
      <c r="C346" s="6"/>
      <c r="D346" s="7"/>
      <c r="E346" s="13" t="e">
        <f>SUM((VLOOKUP(B346, Rankings!C:E,3,FALSE)),(VLOOKUP(C346, Rankings!C:E,3,FALSE)),(VLOOKUP(D346, Rankings!C:E,3,FALSE)))</f>
        <v>#N/A</v>
      </c>
    </row>
    <row r="347" spans="2:5" s="5" customFormat="1" hidden="1" x14ac:dyDescent="0.25">
      <c r="B347"/>
      <c r="C347" s="6"/>
      <c r="D347" s="7"/>
      <c r="E347" s="13" t="e">
        <f>SUM((VLOOKUP(B347, Rankings!C:E,3,FALSE)),(VLOOKUP(C347, Rankings!C:E,3,FALSE)),(VLOOKUP(D347, Rankings!C:E,3,FALSE)))</f>
        <v>#N/A</v>
      </c>
    </row>
    <row r="348" spans="2:5" s="5" customFormat="1" hidden="1" x14ac:dyDescent="0.25">
      <c r="B348"/>
      <c r="C348" s="6"/>
      <c r="D348" s="7"/>
      <c r="E348" s="13" t="e">
        <f>SUM((VLOOKUP(B348, Rankings!C:E,3,FALSE)),(VLOOKUP(C348, Rankings!C:E,3,FALSE)),(VLOOKUP(D348, Rankings!C:E,3,FALSE)))</f>
        <v>#N/A</v>
      </c>
    </row>
    <row r="349" spans="2:5" s="5" customFormat="1" hidden="1" x14ac:dyDescent="0.25">
      <c r="B349"/>
      <c r="C349" s="6"/>
      <c r="D349" s="7"/>
      <c r="E349" s="13" t="e">
        <f>SUM((VLOOKUP(B349, Rankings!C:E,3,FALSE)),(VLOOKUP(C349, Rankings!C:E,3,FALSE)),(VLOOKUP(D349, Rankings!C:E,3,FALSE)))</f>
        <v>#N/A</v>
      </c>
    </row>
    <row r="350" spans="2:5" s="5" customFormat="1" hidden="1" x14ac:dyDescent="0.25">
      <c r="B350"/>
      <c r="C350" s="6"/>
      <c r="D350" s="7"/>
      <c r="E350" s="13" t="e">
        <f>SUM((VLOOKUP(B350, Rankings!C:E,3,FALSE)),(VLOOKUP(C350, Rankings!C:E,3,FALSE)),(VLOOKUP(D350, Rankings!C:E,3,FALSE)))</f>
        <v>#N/A</v>
      </c>
    </row>
    <row r="351" spans="2:5" s="5" customFormat="1" hidden="1" x14ac:dyDescent="0.25">
      <c r="B351"/>
      <c r="C351" s="6"/>
      <c r="D351" s="7"/>
      <c r="E351" s="13" t="e">
        <f>SUM((VLOOKUP(B351, Rankings!C:E,3,FALSE)),(VLOOKUP(C351, Rankings!C:E,3,FALSE)),(VLOOKUP(D351, Rankings!C:E,3,FALSE)))</f>
        <v>#N/A</v>
      </c>
    </row>
    <row r="352" spans="2:5" s="5" customFormat="1" hidden="1" x14ac:dyDescent="0.25">
      <c r="B352"/>
      <c r="C352" s="6"/>
      <c r="D352" s="7"/>
      <c r="E352" s="13" t="e">
        <f>SUM((VLOOKUP(B352, Rankings!C:E,3,FALSE)),(VLOOKUP(C352, Rankings!C:E,3,FALSE)),(VLOOKUP(D352, Rankings!C:E,3,FALSE)))</f>
        <v>#N/A</v>
      </c>
    </row>
    <row r="353" spans="2:5" s="5" customFormat="1" hidden="1" x14ac:dyDescent="0.25">
      <c r="B353"/>
      <c r="C353" s="6"/>
      <c r="D353" s="7"/>
      <c r="E353" s="13" t="e">
        <f>SUM((VLOOKUP(B353, Rankings!C:E,3,FALSE)),(VLOOKUP(C353, Rankings!C:E,3,FALSE)),(VLOOKUP(D353, Rankings!C:E,3,FALSE)))</f>
        <v>#N/A</v>
      </c>
    </row>
    <row r="354" spans="2:5" s="5" customFormat="1" hidden="1" x14ac:dyDescent="0.25">
      <c r="B354"/>
      <c r="C354" s="6"/>
      <c r="D354" s="7"/>
      <c r="E354" s="13" t="e">
        <f>SUM((VLOOKUP(B354, Rankings!C:E,3,FALSE)),(VLOOKUP(C354, Rankings!C:E,3,FALSE)),(VLOOKUP(D354, Rankings!C:E,3,FALSE)))</f>
        <v>#N/A</v>
      </c>
    </row>
    <row r="355" spans="2:5" s="5" customFormat="1" hidden="1" x14ac:dyDescent="0.25">
      <c r="B355"/>
      <c r="C355" s="6"/>
      <c r="D355" s="7"/>
      <c r="E355" s="13" t="e">
        <f>SUM((VLOOKUP(B355, Rankings!C:E,3,FALSE)),(VLOOKUP(C355, Rankings!C:E,3,FALSE)),(VLOOKUP(D355, Rankings!C:E,3,FALSE)))</f>
        <v>#N/A</v>
      </c>
    </row>
    <row r="356" spans="2:5" s="5" customFormat="1" hidden="1" x14ac:dyDescent="0.25">
      <c r="B356"/>
      <c r="C356" s="6"/>
      <c r="D356" s="7"/>
      <c r="E356" s="13" t="e">
        <f>SUM((VLOOKUP(B356, Rankings!C:E,3,FALSE)),(VLOOKUP(C356, Rankings!C:E,3,FALSE)),(VLOOKUP(D356, Rankings!C:E,3,FALSE)))</f>
        <v>#N/A</v>
      </c>
    </row>
    <row r="357" spans="2:5" s="5" customFormat="1" hidden="1" x14ac:dyDescent="0.25">
      <c r="B357"/>
      <c r="C357" s="6"/>
      <c r="D357" s="7"/>
      <c r="E357" s="13" t="e">
        <f>SUM((VLOOKUP(B357, Rankings!C:E,3,FALSE)),(VLOOKUP(C357, Rankings!C:E,3,FALSE)),(VLOOKUP(D357, Rankings!C:E,3,FALSE)))</f>
        <v>#N/A</v>
      </c>
    </row>
    <row r="358" spans="2:5" s="5" customFormat="1" hidden="1" x14ac:dyDescent="0.25">
      <c r="B358"/>
      <c r="C358" s="6"/>
      <c r="D358" s="7"/>
      <c r="E358" s="13" t="e">
        <f>SUM((VLOOKUP(B358, Rankings!C:E,3,FALSE)),(VLOOKUP(C358, Rankings!C:E,3,FALSE)),(VLOOKUP(D358, Rankings!C:E,3,FALSE)))</f>
        <v>#N/A</v>
      </c>
    </row>
    <row r="359" spans="2:5" s="5" customFormat="1" hidden="1" x14ac:dyDescent="0.25">
      <c r="B359"/>
      <c r="C359" s="6"/>
      <c r="D359" s="7"/>
      <c r="E359" s="13" t="e">
        <f>SUM((VLOOKUP(B359, Rankings!C:E,3,FALSE)),(VLOOKUP(C359, Rankings!C:E,3,FALSE)),(VLOOKUP(D359, Rankings!C:E,3,FALSE)))</f>
        <v>#N/A</v>
      </c>
    </row>
    <row r="360" spans="2:5" s="5" customFormat="1" hidden="1" x14ac:dyDescent="0.25">
      <c r="B360"/>
      <c r="C360" s="6"/>
      <c r="D360" s="7"/>
      <c r="E360" s="13" t="e">
        <f>SUM((VLOOKUP(B360, Rankings!C:E,3,FALSE)),(VLOOKUP(C360, Rankings!C:E,3,FALSE)),(VLOOKUP(D360, Rankings!C:E,3,FALSE)))</f>
        <v>#N/A</v>
      </c>
    </row>
    <row r="361" spans="2:5" s="5" customFormat="1" hidden="1" x14ac:dyDescent="0.25">
      <c r="B361"/>
      <c r="C361" s="6"/>
      <c r="D361" s="7"/>
      <c r="E361" s="13" t="e">
        <f>SUM((VLOOKUP(B361, Rankings!C:E,3,FALSE)),(VLOOKUP(C361, Rankings!C:E,3,FALSE)),(VLOOKUP(D361, Rankings!C:E,3,FALSE)))</f>
        <v>#N/A</v>
      </c>
    </row>
    <row r="362" spans="2:5" s="5" customFormat="1" hidden="1" x14ac:dyDescent="0.25">
      <c r="B362"/>
      <c r="C362" s="6"/>
      <c r="D362" s="7"/>
      <c r="E362" s="13" t="e">
        <f>SUM((VLOOKUP(B362, Rankings!C:E,3,FALSE)),(VLOOKUP(C362, Rankings!C:E,3,FALSE)),(VLOOKUP(D362, Rankings!C:E,3,FALSE)))</f>
        <v>#N/A</v>
      </c>
    </row>
    <row r="363" spans="2:5" s="5" customFormat="1" hidden="1" x14ac:dyDescent="0.25">
      <c r="B363"/>
      <c r="C363" s="6"/>
      <c r="D363" s="7"/>
      <c r="E363" s="13" t="e">
        <f>SUM((VLOOKUP(B363, Rankings!C:E,3,FALSE)),(VLOOKUP(C363, Rankings!C:E,3,FALSE)),(VLOOKUP(D363, Rankings!C:E,3,FALSE)))</f>
        <v>#N/A</v>
      </c>
    </row>
    <row r="364" spans="2:5" s="5" customFormat="1" hidden="1" x14ac:dyDescent="0.25">
      <c r="B364"/>
      <c r="C364" s="6"/>
      <c r="D364" s="7"/>
      <c r="E364" s="13" t="e">
        <f>SUM((VLOOKUP(B364, Rankings!C:E,3,FALSE)),(VLOOKUP(C364, Rankings!C:E,3,FALSE)),(VLOOKUP(D364, Rankings!C:E,3,FALSE)))</f>
        <v>#N/A</v>
      </c>
    </row>
    <row r="365" spans="2:5" s="5" customFormat="1" hidden="1" x14ac:dyDescent="0.25">
      <c r="B365"/>
      <c r="C365" s="6"/>
      <c r="D365" s="7"/>
      <c r="E365" s="13" t="e">
        <f>SUM((VLOOKUP(B365, Rankings!C:E,3,FALSE)),(VLOOKUP(C365, Rankings!C:E,3,FALSE)),(VLOOKUP(D365, Rankings!C:E,3,FALSE)))</f>
        <v>#N/A</v>
      </c>
    </row>
    <row r="366" spans="2:5" s="5" customFormat="1" hidden="1" x14ac:dyDescent="0.25">
      <c r="B366"/>
      <c r="C366" s="6"/>
      <c r="D366" s="7"/>
      <c r="E366" s="13" t="e">
        <f>SUM((VLOOKUP(B366, Rankings!C:E,3,FALSE)),(VLOOKUP(C366, Rankings!C:E,3,FALSE)),(VLOOKUP(D366, Rankings!C:E,3,FALSE)))</f>
        <v>#N/A</v>
      </c>
    </row>
    <row r="367" spans="2:5" s="5" customFormat="1" hidden="1" x14ac:dyDescent="0.25">
      <c r="B367"/>
      <c r="C367" s="6"/>
      <c r="D367" s="7"/>
      <c r="E367" s="13" t="e">
        <f>SUM((VLOOKUP(B367, Rankings!C:E,3,FALSE)),(VLOOKUP(C367, Rankings!C:E,3,FALSE)),(VLOOKUP(D367, Rankings!C:E,3,FALSE)))</f>
        <v>#N/A</v>
      </c>
    </row>
    <row r="368" spans="2:5" s="5" customFormat="1" hidden="1" x14ac:dyDescent="0.25">
      <c r="B368"/>
      <c r="C368" s="6"/>
      <c r="D368" s="7"/>
      <c r="E368" s="13" t="e">
        <f>SUM((VLOOKUP(B368, Rankings!C:E,3,FALSE)),(VLOOKUP(C368, Rankings!C:E,3,FALSE)),(VLOOKUP(D368, Rankings!C:E,3,FALSE)))</f>
        <v>#N/A</v>
      </c>
    </row>
    <row r="369" spans="2:5" s="5" customFormat="1" hidden="1" x14ac:dyDescent="0.25">
      <c r="B369"/>
      <c r="C369" s="6"/>
      <c r="D369" s="7"/>
      <c r="E369" s="13" t="e">
        <f>SUM((VLOOKUP(B369, Rankings!C:E,3,FALSE)),(VLOOKUP(C369, Rankings!C:E,3,FALSE)),(VLOOKUP(D369, Rankings!C:E,3,FALSE)))</f>
        <v>#N/A</v>
      </c>
    </row>
    <row r="370" spans="2:5" s="5" customFormat="1" hidden="1" x14ac:dyDescent="0.25">
      <c r="B370"/>
      <c r="C370" s="6"/>
      <c r="D370" s="7"/>
      <c r="E370" s="13" t="e">
        <f>SUM((VLOOKUP(B370, Rankings!C:E,3,FALSE)),(VLOOKUP(C370, Rankings!C:E,3,FALSE)),(VLOOKUP(D370, Rankings!C:E,3,FALSE)))</f>
        <v>#N/A</v>
      </c>
    </row>
    <row r="371" spans="2:5" s="5" customFormat="1" hidden="1" x14ac:dyDescent="0.25">
      <c r="B371"/>
      <c r="C371" s="6"/>
      <c r="D371" s="7"/>
      <c r="E371" s="13" t="e">
        <f>SUM((VLOOKUP(B371, Rankings!C:E,3,FALSE)),(VLOOKUP(C371, Rankings!C:E,3,FALSE)),(VLOOKUP(D371, Rankings!C:E,3,FALSE)))</f>
        <v>#N/A</v>
      </c>
    </row>
    <row r="372" spans="2:5" s="5" customFormat="1" hidden="1" x14ac:dyDescent="0.25">
      <c r="B372"/>
      <c r="C372" s="6"/>
      <c r="D372" s="7"/>
      <c r="E372" s="13" t="e">
        <f>SUM((VLOOKUP(B372, Rankings!C:E,3,FALSE)),(VLOOKUP(C372, Rankings!C:E,3,FALSE)),(VLOOKUP(D372, Rankings!C:E,3,FALSE)))</f>
        <v>#N/A</v>
      </c>
    </row>
    <row r="373" spans="2:5" s="5" customFormat="1" hidden="1" x14ac:dyDescent="0.25">
      <c r="B373"/>
      <c r="C373" s="6"/>
      <c r="D373" s="7"/>
      <c r="E373" s="13" t="e">
        <f>SUM((VLOOKUP(B373, Rankings!C:E,3,FALSE)),(VLOOKUP(C373, Rankings!C:E,3,FALSE)),(VLOOKUP(D373, Rankings!C:E,3,FALSE)))</f>
        <v>#N/A</v>
      </c>
    </row>
    <row r="374" spans="2:5" s="5" customFormat="1" hidden="1" x14ac:dyDescent="0.25">
      <c r="B374"/>
      <c r="C374" s="6"/>
      <c r="D374" s="7"/>
      <c r="E374" s="13" t="e">
        <f>SUM((VLOOKUP(B374, Rankings!C:E,3,FALSE)),(VLOOKUP(C374, Rankings!C:E,3,FALSE)),(VLOOKUP(D374, Rankings!C:E,3,FALSE)))</f>
        <v>#N/A</v>
      </c>
    </row>
    <row r="375" spans="2:5" s="5" customFormat="1" hidden="1" x14ac:dyDescent="0.25">
      <c r="B375"/>
      <c r="C375" s="6"/>
      <c r="D375" s="7"/>
      <c r="E375" s="13" t="e">
        <f>SUM((VLOOKUP(B375, Rankings!C:E,3,FALSE)),(VLOOKUP(C375, Rankings!C:E,3,FALSE)),(VLOOKUP(D375, Rankings!C:E,3,FALSE)))</f>
        <v>#N/A</v>
      </c>
    </row>
    <row r="376" spans="2:5" s="5" customFormat="1" hidden="1" x14ac:dyDescent="0.25">
      <c r="B376"/>
      <c r="C376" s="6"/>
      <c r="D376" s="7"/>
      <c r="E376" s="13" t="e">
        <f>SUM((VLOOKUP(B376, Rankings!C:E,3,FALSE)),(VLOOKUP(C376, Rankings!C:E,3,FALSE)),(VLOOKUP(D376, Rankings!C:E,3,FALSE)))</f>
        <v>#N/A</v>
      </c>
    </row>
    <row r="377" spans="2:5" s="5" customFormat="1" hidden="1" x14ac:dyDescent="0.25">
      <c r="B377"/>
      <c r="C377" s="6"/>
      <c r="D377" s="7"/>
      <c r="E377" s="13" t="e">
        <f>SUM((VLOOKUP(B377, Rankings!C:E,3,FALSE)),(VLOOKUP(C377, Rankings!C:E,3,FALSE)),(VLOOKUP(D377, Rankings!C:E,3,FALSE)))</f>
        <v>#N/A</v>
      </c>
    </row>
    <row r="378" spans="2:5" s="5" customFormat="1" hidden="1" x14ac:dyDescent="0.25">
      <c r="B378"/>
      <c r="C378" s="6"/>
      <c r="D378" s="7"/>
      <c r="E378" s="13" t="e">
        <f>SUM((VLOOKUP(B378, Rankings!C:E,3,FALSE)),(VLOOKUP(C378, Rankings!C:E,3,FALSE)),(VLOOKUP(D378, Rankings!C:E,3,FALSE)))</f>
        <v>#N/A</v>
      </c>
    </row>
    <row r="379" spans="2:5" s="5" customFormat="1" hidden="1" x14ac:dyDescent="0.25">
      <c r="B379"/>
      <c r="C379" s="6"/>
      <c r="D379" s="7"/>
      <c r="E379" s="13" t="e">
        <f>SUM((VLOOKUP(B379, Rankings!C:E,3,FALSE)),(VLOOKUP(C379, Rankings!C:E,3,FALSE)),(VLOOKUP(D379, Rankings!C:E,3,FALSE)))</f>
        <v>#N/A</v>
      </c>
    </row>
    <row r="380" spans="2:5" s="5" customFormat="1" hidden="1" x14ac:dyDescent="0.25">
      <c r="B380"/>
      <c r="C380" s="6"/>
      <c r="D380" s="7"/>
      <c r="E380" s="13" t="e">
        <f>SUM((VLOOKUP(B380, Rankings!C:E,3,FALSE)),(VLOOKUP(C380, Rankings!C:E,3,FALSE)),(VLOOKUP(D380, Rankings!C:E,3,FALSE)))</f>
        <v>#N/A</v>
      </c>
    </row>
    <row r="381" spans="2:5" s="5" customFormat="1" hidden="1" x14ac:dyDescent="0.25">
      <c r="B381"/>
      <c r="C381" s="6"/>
      <c r="D381" s="7"/>
      <c r="E381" s="13" t="e">
        <f>SUM((VLOOKUP(B381, Rankings!C:E,3,FALSE)),(VLOOKUP(C381, Rankings!C:E,3,FALSE)),(VLOOKUP(D381, Rankings!C:E,3,FALSE)))</f>
        <v>#N/A</v>
      </c>
    </row>
    <row r="382" spans="2:5" s="5" customFormat="1" hidden="1" x14ac:dyDescent="0.25">
      <c r="B382"/>
      <c r="C382" s="6"/>
      <c r="D382" s="7"/>
      <c r="E382" s="13" t="e">
        <f>SUM((VLOOKUP(B382, Rankings!C:E,3,FALSE)),(VLOOKUP(C382, Rankings!C:E,3,FALSE)),(VLOOKUP(D382, Rankings!C:E,3,FALSE)))</f>
        <v>#N/A</v>
      </c>
    </row>
    <row r="383" spans="2:5" s="5" customFormat="1" hidden="1" x14ac:dyDescent="0.25">
      <c r="B383"/>
      <c r="C383" s="6"/>
      <c r="D383" s="7"/>
      <c r="E383" s="13" t="e">
        <f>SUM((VLOOKUP(B383, Rankings!C:E,3,FALSE)),(VLOOKUP(C383, Rankings!C:E,3,FALSE)),(VLOOKUP(D383, Rankings!C:E,3,FALSE)))</f>
        <v>#N/A</v>
      </c>
    </row>
    <row r="384" spans="2:5" s="5" customFormat="1" hidden="1" x14ac:dyDescent="0.25">
      <c r="B384"/>
      <c r="C384" s="6"/>
      <c r="D384" s="7"/>
      <c r="E384" s="13" t="e">
        <f>SUM((VLOOKUP(B384, Rankings!C:E,3,FALSE)),(VLOOKUP(C384, Rankings!C:E,3,FALSE)),(VLOOKUP(D384, Rankings!C:E,3,FALSE)))</f>
        <v>#N/A</v>
      </c>
    </row>
    <row r="385" spans="2:5" s="5" customFormat="1" hidden="1" x14ac:dyDescent="0.25">
      <c r="B385"/>
      <c r="C385" s="6"/>
      <c r="D385" s="7"/>
      <c r="E385" s="13" t="e">
        <f>SUM((VLOOKUP(B385, Rankings!C:E,3,FALSE)),(VLOOKUP(C385, Rankings!C:E,3,FALSE)),(VLOOKUP(D385, Rankings!C:E,3,FALSE)))</f>
        <v>#N/A</v>
      </c>
    </row>
    <row r="386" spans="2:5" s="5" customFormat="1" hidden="1" x14ac:dyDescent="0.25">
      <c r="B386"/>
      <c r="C386" s="6"/>
      <c r="D386" s="7"/>
      <c r="E386" s="13" t="e">
        <f>SUM((VLOOKUP(B386, Rankings!C:E,3,FALSE)),(VLOOKUP(C386, Rankings!C:E,3,FALSE)),(VLOOKUP(D386, Rankings!C:E,3,FALSE)))</f>
        <v>#N/A</v>
      </c>
    </row>
    <row r="387" spans="2:5" s="5" customFormat="1" hidden="1" x14ac:dyDescent="0.25">
      <c r="B387"/>
      <c r="C387" s="6"/>
      <c r="D387" s="7"/>
      <c r="E387" s="13" t="e">
        <f>SUM((VLOOKUP(B387, Rankings!C:E,3,FALSE)),(VLOOKUP(C387, Rankings!C:E,3,FALSE)),(VLOOKUP(D387, Rankings!C:E,3,FALSE)))</f>
        <v>#N/A</v>
      </c>
    </row>
    <row r="388" spans="2:5" s="5" customFormat="1" hidden="1" x14ac:dyDescent="0.25">
      <c r="B388"/>
      <c r="C388" s="6"/>
      <c r="D388" s="7"/>
      <c r="E388" s="13" t="e">
        <f>SUM((VLOOKUP(B388, Rankings!C:E,3,FALSE)),(VLOOKUP(C388, Rankings!C:E,3,FALSE)),(VLOOKUP(D388, Rankings!C:E,3,FALSE)))</f>
        <v>#N/A</v>
      </c>
    </row>
    <row r="389" spans="2:5" s="5" customFormat="1" hidden="1" x14ac:dyDescent="0.25">
      <c r="B389"/>
      <c r="C389" s="6"/>
      <c r="D389" s="7"/>
      <c r="E389" s="13" t="e">
        <f>SUM((VLOOKUP(B389, Rankings!C:E,3,FALSE)),(VLOOKUP(C389, Rankings!C:E,3,FALSE)),(VLOOKUP(D389, Rankings!C:E,3,FALSE)))</f>
        <v>#N/A</v>
      </c>
    </row>
    <row r="390" spans="2:5" s="5" customFormat="1" hidden="1" x14ac:dyDescent="0.25">
      <c r="B390"/>
      <c r="C390" s="6"/>
      <c r="D390" s="7"/>
      <c r="E390" s="13" t="e">
        <f>SUM((VLOOKUP(B390, Rankings!C:E,3,FALSE)),(VLOOKUP(C390, Rankings!C:E,3,FALSE)),(VLOOKUP(D390, Rankings!C:E,3,FALSE)))</f>
        <v>#N/A</v>
      </c>
    </row>
    <row r="391" spans="2:5" s="5" customFormat="1" hidden="1" x14ac:dyDescent="0.25">
      <c r="B391"/>
      <c r="C391" s="6"/>
      <c r="D391" s="7"/>
      <c r="E391" s="13" t="e">
        <f>SUM((VLOOKUP(B391, Rankings!C:E,3,FALSE)),(VLOOKUP(C391, Rankings!C:E,3,FALSE)),(VLOOKUP(D391, Rankings!C:E,3,FALSE)))</f>
        <v>#N/A</v>
      </c>
    </row>
    <row r="392" spans="2:5" s="5" customFormat="1" hidden="1" x14ac:dyDescent="0.25">
      <c r="B392"/>
      <c r="C392" s="6"/>
      <c r="D392" s="7"/>
      <c r="E392" s="13" t="e">
        <f>SUM((VLOOKUP(B392, Rankings!C:E,3,FALSE)),(VLOOKUP(C392, Rankings!C:E,3,FALSE)),(VLOOKUP(D392, Rankings!C:E,3,FALSE)))</f>
        <v>#N/A</v>
      </c>
    </row>
    <row r="393" spans="2:5" s="5" customFormat="1" hidden="1" x14ac:dyDescent="0.25">
      <c r="B393"/>
      <c r="C393" s="6"/>
      <c r="D393" s="7"/>
      <c r="E393" s="13" t="e">
        <f>SUM((VLOOKUP(B393, Rankings!C:E,3,FALSE)),(VLOOKUP(C393, Rankings!C:E,3,FALSE)),(VLOOKUP(D393, Rankings!C:E,3,FALSE)))</f>
        <v>#N/A</v>
      </c>
    </row>
    <row r="394" spans="2:5" s="5" customFormat="1" hidden="1" x14ac:dyDescent="0.25">
      <c r="B394"/>
      <c r="C394" s="6"/>
      <c r="D394" s="7"/>
      <c r="E394" s="13" t="e">
        <f>SUM((VLOOKUP(B394, Rankings!C:E,3,FALSE)),(VLOOKUP(C394, Rankings!C:E,3,FALSE)),(VLOOKUP(D394, Rankings!C:E,3,FALSE)))</f>
        <v>#N/A</v>
      </c>
    </row>
    <row r="395" spans="2:5" s="5" customFormat="1" hidden="1" x14ac:dyDescent="0.25">
      <c r="B395"/>
      <c r="C395" s="6"/>
      <c r="D395" s="7"/>
      <c r="E395" s="13" t="e">
        <f>SUM((VLOOKUP(B395, Rankings!C:E,3,FALSE)),(VLOOKUP(C395, Rankings!C:E,3,FALSE)),(VLOOKUP(D395, Rankings!C:E,3,FALSE)))</f>
        <v>#N/A</v>
      </c>
    </row>
    <row r="396" spans="2:5" s="5" customFormat="1" hidden="1" x14ac:dyDescent="0.25">
      <c r="B396"/>
      <c r="C396" s="6"/>
      <c r="D396" s="7"/>
      <c r="E396" s="13" t="e">
        <f>SUM((VLOOKUP(B396, Rankings!C:E,3,FALSE)),(VLOOKUP(C396, Rankings!C:E,3,FALSE)),(VLOOKUP(D396, Rankings!C:E,3,FALSE)))</f>
        <v>#N/A</v>
      </c>
    </row>
    <row r="397" spans="2:5" s="5" customFormat="1" hidden="1" x14ac:dyDescent="0.25">
      <c r="B397"/>
      <c r="C397" s="6"/>
      <c r="D397" s="7"/>
      <c r="E397" s="13" t="e">
        <f>SUM((VLOOKUP(B397, Rankings!C:E,3,FALSE)),(VLOOKUP(C397, Rankings!C:E,3,FALSE)),(VLOOKUP(D397, Rankings!C:E,3,FALSE)))</f>
        <v>#N/A</v>
      </c>
    </row>
    <row r="398" spans="2:5" s="5" customFormat="1" hidden="1" x14ac:dyDescent="0.25">
      <c r="B398"/>
      <c r="C398" s="6"/>
      <c r="D398" s="7"/>
      <c r="E398" s="13" t="e">
        <f>SUM((VLOOKUP(B398, Rankings!C:E,3,FALSE)),(VLOOKUP(C398, Rankings!C:E,3,FALSE)),(VLOOKUP(D398, Rankings!C:E,3,FALSE)))</f>
        <v>#N/A</v>
      </c>
    </row>
    <row r="399" spans="2:5" s="5" customFormat="1" hidden="1" x14ac:dyDescent="0.25">
      <c r="B399"/>
      <c r="C399" s="6"/>
      <c r="D399" s="7"/>
      <c r="E399" s="13" t="e">
        <f>SUM((VLOOKUP(B399, Rankings!C:E,3,FALSE)),(VLOOKUP(C399, Rankings!C:E,3,FALSE)),(VLOOKUP(D399, Rankings!C:E,3,FALSE)))</f>
        <v>#N/A</v>
      </c>
    </row>
    <row r="400" spans="2:5" s="5" customFormat="1" hidden="1" x14ac:dyDescent="0.25">
      <c r="B400"/>
      <c r="C400" s="6"/>
      <c r="D400" s="7"/>
      <c r="E400" s="13" t="e">
        <f>SUM((VLOOKUP(B400, Rankings!C:E,3,FALSE)),(VLOOKUP(C400, Rankings!C:E,3,FALSE)),(VLOOKUP(D400, Rankings!C:E,3,FALSE)))</f>
        <v>#N/A</v>
      </c>
    </row>
    <row r="401" spans="2:5" s="5" customFormat="1" hidden="1" x14ac:dyDescent="0.25">
      <c r="B401"/>
      <c r="C401" s="6"/>
      <c r="D401" s="7"/>
      <c r="E401" s="13" t="e">
        <f>SUM((VLOOKUP(B401, Rankings!C:E,3,FALSE)),(VLOOKUP(C401, Rankings!C:E,3,FALSE)),(VLOOKUP(D401, Rankings!C:E,3,FALSE)))</f>
        <v>#N/A</v>
      </c>
    </row>
    <row r="402" spans="2:5" s="5" customFormat="1" hidden="1" x14ac:dyDescent="0.25">
      <c r="B402"/>
      <c r="C402" s="6"/>
      <c r="D402" s="7"/>
      <c r="E402" s="13" t="e">
        <f>SUM((VLOOKUP(B402, Rankings!C:E,3,FALSE)),(VLOOKUP(C402, Rankings!C:E,3,FALSE)),(VLOOKUP(D402, Rankings!C:E,3,FALSE)))</f>
        <v>#N/A</v>
      </c>
    </row>
    <row r="403" spans="2:5" s="5" customFormat="1" hidden="1" x14ac:dyDescent="0.25">
      <c r="B403"/>
      <c r="C403" s="6"/>
      <c r="D403" s="7"/>
      <c r="E403" s="13" t="e">
        <f>SUM((VLOOKUP(B403, Rankings!C:E,3,FALSE)),(VLOOKUP(C403, Rankings!C:E,3,FALSE)),(VLOOKUP(D403, Rankings!C:E,3,FALSE)))</f>
        <v>#N/A</v>
      </c>
    </row>
    <row r="404" spans="2:5" s="5" customFormat="1" hidden="1" x14ac:dyDescent="0.25">
      <c r="B404"/>
      <c r="C404" s="6"/>
      <c r="D404" s="7"/>
      <c r="E404" s="13" t="e">
        <f>SUM((VLOOKUP(B404, Rankings!C:E,3,FALSE)),(VLOOKUP(C404, Rankings!C:E,3,FALSE)),(VLOOKUP(D404, Rankings!C:E,3,FALSE)))</f>
        <v>#N/A</v>
      </c>
    </row>
    <row r="405" spans="2:5" s="5" customFormat="1" hidden="1" x14ac:dyDescent="0.25">
      <c r="B405"/>
      <c r="C405" s="6"/>
      <c r="D405" s="7"/>
      <c r="E405" s="13" t="e">
        <f>SUM((VLOOKUP(B405, Rankings!C:E,3,FALSE)),(VLOOKUP(C405, Rankings!C:E,3,FALSE)),(VLOOKUP(D405, Rankings!C:E,3,FALSE)))</f>
        <v>#N/A</v>
      </c>
    </row>
    <row r="406" spans="2:5" s="5" customFormat="1" hidden="1" x14ac:dyDescent="0.25">
      <c r="B406"/>
      <c r="C406" s="6"/>
      <c r="D406" s="7"/>
      <c r="E406" s="13" t="e">
        <f>SUM((VLOOKUP(B406, Rankings!C:E,3,FALSE)),(VLOOKUP(C406, Rankings!C:E,3,FALSE)),(VLOOKUP(D406, Rankings!C:E,3,FALSE)))</f>
        <v>#N/A</v>
      </c>
    </row>
    <row r="407" spans="2:5" s="5" customFormat="1" hidden="1" x14ac:dyDescent="0.25">
      <c r="B407"/>
      <c r="C407" s="6"/>
      <c r="D407" s="7"/>
      <c r="E407" s="13" t="e">
        <f>SUM((VLOOKUP(B407, Rankings!C:E,3,FALSE)),(VLOOKUP(C407, Rankings!C:E,3,FALSE)),(VLOOKUP(D407, Rankings!C:E,3,FALSE)))</f>
        <v>#N/A</v>
      </c>
    </row>
    <row r="408" spans="2:5" s="5" customFormat="1" hidden="1" x14ac:dyDescent="0.25">
      <c r="B408"/>
      <c r="C408" s="6"/>
      <c r="D408" s="7"/>
      <c r="E408" s="13" t="e">
        <f>SUM((VLOOKUP(B408, Rankings!C:E,3,FALSE)),(VLOOKUP(C408, Rankings!C:E,3,FALSE)),(VLOOKUP(D408, Rankings!C:E,3,FALSE)))</f>
        <v>#N/A</v>
      </c>
    </row>
    <row r="409" spans="2:5" s="5" customFormat="1" hidden="1" x14ac:dyDescent="0.25">
      <c r="B409"/>
      <c r="C409" s="6"/>
      <c r="D409" s="7"/>
      <c r="E409" s="13" t="e">
        <f>SUM((VLOOKUP(B409, Rankings!C:E,3,FALSE)),(VLOOKUP(C409, Rankings!C:E,3,FALSE)),(VLOOKUP(D409, Rankings!C:E,3,FALSE)))</f>
        <v>#N/A</v>
      </c>
    </row>
    <row r="410" spans="2:5" s="5" customFormat="1" hidden="1" x14ac:dyDescent="0.25">
      <c r="B410"/>
      <c r="C410" s="6"/>
      <c r="D410" s="7"/>
      <c r="E410" s="13" t="e">
        <f>SUM((VLOOKUP(B410, Rankings!C:E,3,FALSE)),(VLOOKUP(C410, Rankings!C:E,3,FALSE)),(VLOOKUP(D410, Rankings!C:E,3,FALSE)))</f>
        <v>#N/A</v>
      </c>
    </row>
    <row r="411" spans="2:5" s="5" customFormat="1" hidden="1" x14ac:dyDescent="0.25">
      <c r="B411"/>
      <c r="C411" s="6"/>
      <c r="D411" s="7"/>
      <c r="E411" s="13" t="e">
        <f>SUM((VLOOKUP(B411, Rankings!C:E,3,FALSE)),(VLOOKUP(C411, Rankings!C:E,3,FALSE)),(VLOOKUP(D411, Rankings!C:E,3,FALSE)))</f>
        <v>#N/A</v>
      </c>
    </row>
    <row r="412" spans="2:5" s="5" customFormat="1" hidden="1" x14ac:dyDescent="0.25">
      <c r="B412"/>
      <c r="C412" s="6"/>
      <c r="D412" s="7"/>
      <c r="E412" s="13" t="e">
        <f>SUM((VLOOKUP(B412, Rankings!C:E,3,FALSE)),(VLOOKUP(C412, Rankings!C:E,3,FALSE)),(VLOOKUP(D412, Rankings!C:E,3,FALSE)))</f>
        <v>#N/A</v>
      </c>
    </row>
    <row r="413" spans="2:5" s="5" customFormat="1" hidden="1" x14ac:dyDescent="0.25">
      <c r="B413"/>
      <c r="C413" s="6"/>
      <c r="D413" s="7"/>
      <c r="E413" s="13" t="e">
        <f>SUM((VLOOKUP(B413, Rankings!C:E,3,FALSE)),(VLOOKUP(C413, Rankings!C:E,3,FALSE)),(VLOOKUP(D413, Rankings!C:E,3,FALSE)))</f>
        <v>#N/A</v>
      </c>
    </row>
    <row r="414" spans="2:5" s="5" customFormat="1" hidden="1" x14ac:dyDescent="0.25">
      <c r="B414"/>
      <c r="C414" s="6"/>
      <c r="D414" s="7"/>
      <c r="E414" s="13" t="e">
        <f>SUM((VLOOKUP(B414, Rankings!C:E,3,FALSE)),(VLOOKUP(C414, Rankings!C:E,3,FALSE)),(VLOOKUP(D414, Rankings!C:E,3,FALSE)))</f>
        <v>#N/A</v>
      </c>
    </row>
    <row r="415" spans="2:5" s="5" customFormat="1" hidden="1" x14ac:dyDescent="0.25">
      <c r="B415"/>
      <c r="C415" s="6"/>
      <c r="D415" s="7"/>
      <c r="E415" s="13" t="e">
        <f>SUM((VLOOKUP(B415, Rankings!C:E,3,FALSE)),(VLOOKUP(C415, Rankings!C:E,3,FALSE)),(VLOOKUP(D415, Rankings!C:E,3,FALSE)))</f>
        <v>#N/A</v>
      </c>
    </row>
    <row r="416" spans="2:5" s="5" customFormat="1" hidden="1" x14ac:dyDescent="0.25">
      <c r="B416"/>
      <c r="C416" s="6"/>
      <c r="D416" s="7"/>
      <c r="E416" s="13" t="e">
        <f>SUM((VLOOKUP(B416, Rankings!C:E,3,FALSE)),(VLOOKUP(C416, Rankings!C:E,3,FALSE)),(VLOOKUP(D416, Rankings!C:E,3,FALSE)))</f>
        <v>#N/A</v>
      </c>
    </row>
    <row r="417" spans="2:5" s="5" customFormat="1" hidden="1" x14ac:dyDescent="0.25">
      <c r="B417"/>
      <c r="C417" s="6"/>
      <c r="D417" s="7"/>
      <c r="E417" s="13" t="e">
        <f>SUM((VLOOKUP(B417, Rankings!C:E,3,FALSE)),(VLOOKUP(C417, Rankings!C:E,3,FALSE)),(VLOOKUP(D417, Rankings!C:E,3,FALSE)))</f>
        <v>#N/A</v>
      </c>
    </row>
    <row r="418" spans="2:5" s="5" customFormat="1" hidden="1" x14ac:dyDescent="0.25">
      <c r="B418"/>
      <c r="C418" s="6"/>
      <c r="D418" s="7"/>
      <c r="E418" s="13" t="e">
        <f>SUM((VLOOKUP(B418, Rankings!C:E,3,FALSE)),(VLOOKUP(C418, Rankings!C:E,3,FALSE)),(VLOOKUP(D418, Rankings!C:E,3,FALSE)))</f>
        <v>#N/A</v>
      </c>
    </row>
    <row r="419" spans="2:5" s="5" customFormat="1" hidden="1" x14ac:dyDescent="0.25">
      <c r="B419"/>
      <c r="C419" s="6"/>
      <c r="D419" s="7"/>
      <c r="E419" s="13" t="e">
        <f>SUM((VLOOKUP(B419, Rankings!C:E,3,FALSE)),(VLOOKUP(C419, Rankings!C:E,3,FALSE)),(VLOOKUP(D419, Rankings!C:E,3,FALSE)))</f>
        <v>#N/A</v>
      </c>
    </row>
    <row r="420" spans="2:5" s="5" customFormat="1" hidden="1" x14ac:dyDescent="0.25">
      <c r="B420"/>
      <c r="C420" s="6"/>
      <c r="D420" s="7"/>
      <c r="E420" s="13" t="e">
        <f>SUM((VLOOKUP(B420, Rankings!C:E,3,FALSE)),(VLOOKUP(C420, Rankings!C:E,3,FALSE)),(VLOOKUP(D420, Rankings!C:E,3,FALSE)))</f>
        <v>#N/A</v>
      </c>
    </row>
    <row r="421" spans="2:5" s="5" customFormat="1" hidden="1" x14ac:dyDescent="0.25">
      <c r="B421"/>
      <c r="C421" s="6"/>
      <c r="D421" s="7"/>
      <c r="E421" s="13" t="e">
        <f>SUM((VLOOKUP(B421, Rankings!C:E,3,FALSE)),(VLOOKUP(C421, Rankings!C:E,3,FALSE)),(VLOOKUP(D421, Rankings!C:E,3,FALSE)))</f>
        <v>#N/A</v>
      </c>
    </row>
    <row r="422" spans="2:5" s="5" customFormat="1" hidden="1" x14ac:dyDescent="0.25">
      <c r="B422"/>
      <c r="C422" s="6"/>
      <c r="D422" s="7"/>
      <c r="E422" s="13" t="e">
        <f>SUM((VLOOKUP(B422, Rankings!C:E,3,FALSE)),(VLOOKUP(C422, Rankings!C:E,3,FALSE)),(VLOOKUP(D422, Rankings!C:E,3,FALSE)))</f>
        <v>#N/A</v>
      </c>
    </row>
    <row r="423" spans="2:5" s="5" customFormat="1" hidden="1" x14ac:dyDescent="0.25">
      <c r="B423"/>
      <c r="C423" s="6"/>
      <c r="D423" s="7"/>
      <c r="E423" s="13" t="e">
        <f>SUM((VLOOKUP(B423, Rankings!C:E,3,FALSE)),(VLOOKUP(C423, Rankings!C:E,3,FALSE)),(VLOOKUP(D423, Rankings!C:E,3,FALSE)))</f>
        <v>#N/A</v>
      </c>
    </row>
    <row r="424" spans="2:5" s="5" customFormat="1" hidden="1" x14ac:dyDescent="0.25">
      <c r="B424"/>
      <c r="C424" s="6"/>
      <c r="D424" s="7"/>
      <c r="E424" s="13" t="e">
        <f>SUM((VLOOKUP(B424, Rankings!C:E,3,FALSE)),(VLOOKUP(C424, Rankings!C:E,3,FALSE)),(VLOOKUP(D424, Rankings!C:E,3,FALSE)))</f>
        <v>#N/A</v>
      </c>
    </row>
    <row r="425" spans="2:5" s="5" customFormat="1" hidden="1" x14ac:dyDescent="0.25">
      <c r="B425"/>
      <c r="C425" s="6"/>
      <c r="D425" s="7"/>
      <c r="E425" s="13" t="e">
        <f>SUM((VLOOKUP(B425, Rankings!C:E,3,FALSE)),(VLOOKUP(C425, Rankings!C:E,3,FALSE)),(VLOOKUP(D425, Rankings!C:E,3,FALSE)))</f>
        <v>#N/A</v>
      </c>
    </row>
    <row r="426" spans="2:5" s="5" customFormat="1" hidden="1" x14ac:dyDescent="0.25">
      <c r="B426"/>
      <c r="C426" s="6"/>
      <c r="D426" s="7"/>
      <c r="E426" s="13" t="e">
        <f>SUM((VLOOKUP(B426, Rankings!C:E,3,FALSE)),(VLOOKUP(C426, Rankings!C:E,3,FALSE)),(VLOOKUP(D426, Rankings!C:E,3,FALSE)))</f>
        <v>#N/A</v>
      </c>
    </row>
    <row r="427" spans="2:5" s="5" customFormat="1" hidden="1" x14ac:dyDescent="0.25">
      <c r="B427"/>
      <c r="C427" s="6"/>
      <c r="D427" s="7"/>
      <c r="E427" s="13" t="e">
        <f>SUM((VLOOKUP(B427, Rankings!C:E,3,FALSE)),(VLOOKUP(C427, Rankings!C:E,3,FALSE)),(VLOOKUP(D427, Rankings!C:E,3,FALSE)))</f>
        <v>#N/A</v>
      </c>
    </row>
    <row r="428" spans="2:5" s="5" customFormat="1" hidden="1" x14ac:dyDescent="0.25">
      <c r="B428"/>
      <c r="C428" s="6"/>
      <c r="D428" s="7"/>
      <c r="E428" s="13" t="e">
        <f>SUM((VLOOKUP(B428, Rankings!C:E,3,FALSE)),(VLOOKUP(C428, Rankings!C:E,3,FALSE)),(VLOOKUP(D428, Rankings!C:E,3,FALSE)))</f>
        <v>#N/A</v>
      </c>
    </row>
    <row r="429" spans="2:5" s="5" customFormat="1" hidden="1" x14ac:dyDescent="0.25">
      <c r="B429"/>
      <c r="C429" s="6"/>
      <c r="D429" s="7"/>
      <c r="E429" s="13" t="e">
        <f>SUM((VLOOKUP(B429, Rankings!C:E,3,FALSE)),(VLOOKUP(C429, Rankings!C:E,3,FALSE)),(VLOOKUP(D429, Rankings!C:E,3,FALSE)))</f>
        <v>#N/A</v>
      </c>
    </row>
    <row r="430" spans="2:5" s="5" customFormat="1" hidden="1" x14ac:dyDescent="0.25">
      <c r="B430"/>
      <c r="C430" s="6"/>
      <c r="D430" s="7"/>
      <c r="E430" s="13" t="e">
        <f>SUM((VLOOKUP(B430, Rankings!C:E,3,FALSE)),(VLOOKUP(C430, Rankings!C:E,3,FALSE)),(VLOOKUP(D430, Rankings!C:E,3,FALSE)))</f>
        <v>#N/A</v>
      </c>
    </row>
    <row r="431" spans="2:5" s="5" customFormat="1" hidden="1" x14ac:dyDescent="0.25">
      <c r="B431"/>
      <c r="C431" s="6"/>
      <c r="D431" s="7"/>
      <c r="E431" s="13" t="e">
        <f>SUM((VLOOKUP(B431, Rankings!C:E,3,FALSE)),(VLOOKUP(C431, Rankings!C:E,3,FALSE)),(VLOOKUP(D431, Rankings!C:E,3,FALSE)))</f>
        <v>#N/A</v>
      </c>
    </row>
    <row r="432" spans="2:5" s="5" customFormat="1" hidden="1" x14ac:dyDescent="0.25">
      <c r="B432"/>
      <c r="C432" s="6"/>
      <c r="D432" s="7"/>
      <c r="E432" s="13" t="e">
        <f>SUM((VLOOKUP(B432, Rankings!C:E,3,FALSE)),(VLOOKUP(C432, Rankings!C:E,3,FALSE)),(VLOOKUP(D432, Rankings!C:E,3,FALSE)))</f>
        <v>#N/A</v>
      </c>
    </row>
    <row r="433" spans="2:5" s="5" customFormat="1" hidden="1" x14ac:dyDescent="0.25">
      <c r="B433"/>
      <c r="C433" s="6"/>
      <c r="D433" s="7"/>
      <c r="E433" s="13" t="e">
        <f>SUM((VLOOKUP(B433, Rankings!C:E,3,FALSE)),(VLOOKUP(C433, Rankings!C:E,3,FALSE)),(VLOOKUP(D433, Rankings!C:E,3,FALSE)))</f>
        <v>#N/A</v>
      </c>
    </row>
    <row r="434" spans="2:5" s="5" customFormat="1" hidden="1" x14ac:dyDescent="0.25">
      <c r="B434"/>
      <c r="C434" s="6"/>
      <c r="D434" s="7"/>
      <c r="E434" s="13" t="e">
        <f>SUM((VLOOKUP(B434, Rankings!C:E,3,FALSE)),(VLOOKUP(C434, Rankings!C:E,3,FALSE)),(VLOOKUP(D434, Rankings!C:E,3,FALSE)))</f>
        <v>#N/A</v>
      </c>
    </row>
    <row r="435" spans="2:5" s="5" customFormat="1" hidden="1" x14ac:dyDescent="0.25">
      <c r="B435"/>
      <c r="C435" s="6"/>
      <c r="D435" s="7"/>
      <c r="E435" s="13" t="e">
        <f>SUM((VLOOKUP(B435, Rankings!C:E,3,FALSE)),(VLOOKUP(C435, Rankings!C:E,3,FALSE)),(VLOOKUP(D435, Rankings!C:E,3,FALSE)))</f>
        <v>#N/A</v>
      </c>
    </row>
    <row r="436" spans="2:5" s="5" customFormat="1" hidden="1" x14ac:dyDescent="0.25">
      <c r="B436"/>
      <c r="C436" s="6"/>
      <c r="D436" s="7"/>
      <c r="E436" s="13" t="e">
        <f>SUM((VLOOKUP(B436, Rankings!C:E,3,FALSE)),(VLOOKUP(C436, Rankings!C:E,3,FALSE)),(VLOOKUP(D436, Rankings!C:E,3,FALSE)))</f>
        <v>#N/A</v>
      </c>
    </row>
    <row r="437" spans="2:5" s="5" customFormat="1" hidden="1" x14ac:dyDescent="0.25">
      <c r="B437"/>
      <c r="C437" s="6"/>
      <c r="D437" s="7"/>
      <c r="E437" s="13" t="e">
        <f>SUM((VLOOKUP(B437, Rankings!C:E,3,FALSE)),(VLOOKUP(C437, Rankings!C:E,3,FALSE)),(VLOOKUP(D437, Rankings!C:E,3,FALSE)))</f>
        <v>#N/A</v>
      </c>
    </row>
    <row r="438" spans="2:5" s="5" customFormat="1" hidden="1" x14ac:dyDescent="0.25">
      <c r="B438"/>
      <c r="C438" s="6"/>
      <c r="D438" s="7"/>
      <c r="E438" s="13" t="e">
        <f>SUM((VLOOKUP(B438, Rankings!C:E,3,FALSE)),(VLOOKUP(C438, Rankings!C:E,3,FALSE)),(VLOOKUP(D438, Rankings!C:E,3,FALSE)))</f>
        <v>#N/A</v>
      </c>
    </row>
    <row r="439" spans="2:5" s="5" customFormat="1" x14ac:dyDescent="0.25">
      <c r="B439"/>
      <c r="C439" s="6"/>
      <c r="D439" s="7"/>
      <c r="E439" s="7"/>
    </row>
  </sheetData>
  <dataValidations count="1">
    <dataValidation type="list" errorStyle="warning" allowBlank="1" showInputMessage="1" showErrorMessage="1" errorTitle="Wrong Player Name" error="Please select a valid player!_x000a_If the name of the player does not appear in the dropdownlist, please update the &quot;Competitors&quot; - table!" sqref="B2:D11" xr:uid="{00000000-0002-0000-0F00-000000000000}">
      <formula1>$B$22:$B$152</formula1>
    </dataValidation>
  </dataValidations>
  <pageMargins left="0.7" right="0.7" top="0.78740157499999996" bottom="0.78740157499999996" header="0.3" footer="0.3"/>
  <pageSetup paperSize="9" orientation="portrait" verticalDpi="599" r:id="rId1"/>
  <headerFooter>
    <oddHeader>&amp;CTeams with Ranking Points</oddHead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Export"/>
  <dimension ref="A1:AA19"/>
  <sheetViews>
    <sheetView zoomScale="85" zoomScaleNormal="85" workbookViewId="0">
      <selection activeCell="G12" sqref="G12"/>
    </sheetView>
  </sheetViews>
  <sheetFormatPr defaultColWidth="9.140625" defaultRowHeight="15" x14ac:dyDescent="0.25"/>
  <cols>
    <col min="1" max="1" width="5" style="13" customWidth="1"/>
    <col min="2" max="3" width="15.5703125" style="13" customWidth="1"/>
    <col min="4" max="4" width="15.5703125" customWidth="1"/>
    <col min="5" max="7" width="7.140625" style="1" customWidth="1"/>
    <col min="8" max="8" width="15.7109375" style="2" customWidth="1"/>
    <col min="9" max="12" width="7.140625" style="2" customWidth="1"/>
    <col min="13" max="13" width="6.28515625" style="2" customWidth="1"/>
    <col min="14" max="14" width="12.42578125" style="2" customWidth="1"/>
    <col min="15" max="18" width="12.42578125" customWidth="1"/>
    <col min="19" max="19" width="14.85546875" customWidth="1"/>
    <col min="20" max="256" width="11.42578125" customWidth="1"/>
  </cols>
  <sheetData>
    <row r="1" spans="1:27" ht="20.25" customHeight="1" thickBot="1" x14ac:dyDescent="0.4">
      <c r="A1" s="19" t="s">
        <v>9</v>
      </c>
      <c r="B1" s="114" t="s">
        <v>10</v>
      </c>
      <c r="C1" s="67" t="s">
        <v>11</v>
      </c>
      <c r="D1" s="67" t="s">
        <v>15</v>
      </c>
      <c r="E1" s="60" t="s">
        <v>5</v>
      </c>
      <c r="F1" s="61" t="s">
        <v>6</v>
      </c>
      <c r="G1" s="61" t="s">
        <v>26</v>
      </c>
      <c r="H1" s="62" t="s">
        <v>7</v>
      </c>
      <c r="I1" s="63" t="s">
        <v>8</v>
      </c>
      <c r="J1" s="63" t="s">
        <v>27</v>
      </c>
      <c r="K1" s="64" t="s">
        <v>52</v>
      </c>
      <c r="L1" s="65" t="s">
        <v>53</v>
      </c>
      <c r="M1" s="65" t="s">
        <v>54</v>
      </c>
      <c r="N1" s="343" t="s">
        <v>1</v>
      </c>
      <c r="O1" s="343" t="s">
        <v>2</v>
      </c>
      <c r="P1" s="343" t="s">
        <v>3</v>
      </c>
      <c r="Q1" s="349" t="s">
        <v>4</v>
      </c>
      <c r="R1" s="346" t="s">
        <v>0</v>
      </c>
      <c r="T1" s="49"/>
      <c r="U1" s="49"/>
      <c r="V1" s="383"/>
      <c r="W1" s="383"/>
      <c r="X1" s="383"/>
      <c r="Y1" s="22"/>
      <c r="Z1" s="22"/>
      <c r="AA1" s="22"/>
    </row>
    <row r="2" spans="1:27" ht="27.75" customHeight="1" thickBot="1" x14ac:dyDescent="0.3">
      <c r="A2" s="235">
        <v>1</v>
      </c>
      <c r="B2" s="50">
        <f>Starterlist!B13</f>
        <v>0</v>
      </c>
      <c r="C2" s="50">
        <f>Starterlist!D13</f>
        <v>0</v>
      </c>
      <c r="D2" s="50">
        <f>Starterlist!F13</f>
        <v>0</v>
      </c>
      <c r="E2" s="51" t="str">
        <f>Results!C6</f>
        <v/>
      </c>
      <c r="F2" s="51" t="str">
        <f>Results!D6</f>
        <v/>
      </c>
      <c r="G2" s="51" t="str">
        <f>Results!E6</f>
        <v/>
      </c>
      <c r="H2" s="391">
        <f>SUM('AI 1'!C6:'AI 1'!H6)/6</f>
        <v>0</v>
      </c>
      <c r="I2" s="51">
        <f>SUM('AI 2'!C6:'AI 2'!H6)/6</f>
        <v>0</v>
      </c>
      <c r="J2" s="51">
        <f>SUM('AI 3'!C6:'AI 3'!H6)/6</f>
        <v>0</v>
      </c>
      <c r="K2" s="391" t="str">
        <f>'DIF 1'!AA7</f>
        <v/>
      </c>
      <c r="L2" s="391" t="str">
        <f>'DIF 2'!AA7</f>
        <v/>
      </c>
      <c r="M2" s="391" t="str">
        <f>'DIF 3'!AA7</f>
        <v/>
      </c>
      <c r="N2" s="393">
        <f>SUM(E2:G2)</f>
        <v>0</v>
      </c>
      <c r="O2" s="393">
        <f>SUM(H2:J2)</f>
        <v>0</v>
      </c>
      <c r="P2" s="393">
        <f>SUM(K2:M2)</f>
        <v>0</v>
      </c>
      <c r="Q2" s="395">
        <f>SUM(N2:P2)</f>
        <v>0</v>
      </c>
      <c r="R2" s="347" t="str">
        <f>Results!W6</f>
        <v/>
      </c>
      <c r="T2" s="49"/>
      <c r="U2" s="49"/>
      <c r="V2" s="383"/>
      <c r="W2" s="383"/>
      <c r="X2" s="383"/>
      <c r="Y2" s="22"/>
      <c r="Z2" s="22"/>
      <c r="AA2" s="22"/>
    </row>
    <row r="3" spans="1:27" ht="27.75" customHeight="1" thickBot="1" x14ac:dyDescent="0.3">
      <c r="A3" s="235">
        <v>2</v>
      </c>
      <c r="B3" s="50">
        <f>Starterlist!B14</f>
        <v>0</v>
      </c>
      <c r="C3" s="50">
        <f>Starterlist!D14</f>
        <v>0</v>
      </c>
      <c r="D3" s="50">
        <f>Starterlist!F14</f>
        <v>0</v>
      </c>
      <c r="E3" s="51" t="str">
        <f>Results!C7</f>
        <v/>
      </c>
      <c r="F3" s="51" t="str">
        <f>Results!D7</f>
        <v/>
      </c>
      <c r="G3" s="51" t="str">
        <f>Results!E7</f>
        <v/>
      </c>
      <c r="H3" s="51">
        <f>SUM('AI 1'!C7:'AI 1'!H7)/6</f>
        <v>0</v>
      </c>
      <c r="I3" s="51">
        <f>SUM('AI 2'!C7:'AI 2'!H7)/6</f>
        <v>0</v>
      </c>
      <c r="J3" s="51">
        <f>SUM('AI 3'!C7:'AI 3'!H7)/6</f>
        <v>0</v>
      </c>
      <c r="K3" s="391" t="str">
        <f>'DIF 1'!AA9</f>
        <v/>
      </c>
      <c r="L3" s="391" t="str">
        <f>'DIF 2'!AA9</f>
        <v/>
      </c>
      <c r="M3" s="391" t="str">
        <f>'DIF 3'!AA9</f>
        <v/>
      </c>
      <c r="N3" s="393">
        <f t="shared" ref="N3:N9" si="0">SUM(E3:G3)</f>
        <v>0</v>
      </c>
      <c r="O3" s="393">
        <f t="shared" ref="O3:O9" si="1">SUM(H3:J3)</f>
        <v>0</v>
      </c>
      <c r="P3" s="393">
        <f t="shared" ref="P3:P9" si="2">SUM(K3:M3)</f>
        <v>0</v>
      </c>
      <c r="Q3" s="395">
        <f t="shared" ref="Q3:Q9" si="3">SUM(N3:P3)</f>
        <v>0</v>
      </c>
      <c r="R3" s="347" t="str">
        <f>Results!W7</f>
        <v/>
      </c>
      <c r="T3" s="49"/>
      <c r="U3" s="49"/>
      <c r="V3" s="383"/>
      <c r="W3" s="383"/>
      <c r="X3" s="383"/>
      <c r="Y3" s="22"/>
      <c r="Z3" s="22"/>
      <c r="AA3" s="22"/>
    </row>
    <row r="4" spans="1:27" ht="27.75" customHeight="1" thickBot="1" x14ac:dyDescent="0.3">
      <c r="A4" s="235">
        <v>3</v>
      </c>
      <c r="B4" s="50">
        <f>Starterlist!B15</f>
        <v>0</v>
      </c>
      <c r="C4" s="50">
        <f>Starterlist!D15</f>
        <v>0</v>
      </c>
      <c r="D4" s="50">
        <f>Starterlist!F15</f>
        <v>0</v>
      </c>
      <c r="E4" s="51" t="str">
        <f>Results!C8</f>
        <v/>
      </c>
      <c r="F4" s="51" t="str">
        <f>Results!D8</f>
        <v/>
      </c>
      <c r="G4" s="51" t="str">
        <f>Results!E8</f>
        <v/>
      </c>
      <c r="H4" s="51">
        <f>SUM('AI 1'!C8:'AI 1'!H8)/6</f>
        <v>0</v>
      </c>
      <c r="I4" s="51">
        <f>SUM('AI 2'!C8:'AI 2'!H8)/6</f>
        <v>0</v>
      </c>
      <c r="J4" s="51">
        <f>SUM('AI 3'!C8:'AI 3'!H8)/6</f>
        <v>0</v>
      </c>
      <c r="K4" s="391" t="str">
        <f>'DIF 1'!AA11</f>
        <v/>
      </c>
      <c r="L4" s="391" t="str">
        <f>'DIF 2'!AA11</f>
        <v/>
      </c>
      <c r="M4" s="391" t="str">
        <f>'DIF 3'!AA11</f>
        <v/>
      </c>
      <c r="N4" s="393">
        <f t="shared" si="0"/>
        <v>0</v>
      </c>
      <c r="O4" s="393">
        <f t="shared" si="1"/>
        <v>0</v>
      </c>
      <c r="P4" s="393">
        <f t="shared" si="2"/>
        <v>0</v>
      </c>
      <c r="Q4" s="395">
        <f t="shared" si="3"/>
        <v>0</v>
      </c>
      <c r="R4" s="347" t="str">
        <f>Results!W8</f>
        <v/>
      </c>
      <c r="T4" s="49"/>
      <c r="U4" s="49"/>
      <c r="V4" s="383"/>
      <c r="W4" s="383"/>
      <c r="X4" s="383"/>
      <c r="Y4" s="22"/>
      <c r="Z4" s="22"/>
      <c r="AA4" s="22"/>
    </row>
    <row r="5" spans="1:27" ht="27.75" customHeight="1" thickBot="1" x14ac:dyDescent="0.3">
      <c r="A5" s="235">
        <v>4</v>
      </c>
      <c r="B5" s="50">
        <f>Starterlist!B16</f>
        <v>0</v>
      </c>
      <c r="C5" s="50">
        <f>Starterlist!D16</f>
        <v>0</v>
      </c>
      <c r="D5" s="50">
        <f>Starterlist!F16</f>
        <v>0</v>
      </c>
      <c r="E5" s="51" t="str">
        <f>Results!C9</f>
        <v/>
      </c>
      <c r="F5" s="51" t="str">
        <f>Results!D9</f>
        <v/>
      </c>
      <c r="G5" s="51" t="str">
        <f>Results!E9</f>
        <v/>
      </c>
      <c r="H5" s="51">
        <f>SUM('AI 1'!C9:'AI 1'!H9)/6</f>
        <v>0</v>
      </c>
      <c r="I5" s="51">
        <f>SUM('AI 2'!C9:'AI 2'!H9)/6</f>
        <v>0</v>
      </c>
      <c r="J5" s="51">
        <f>SUM('AI 3'!C9:'AI 3'!H9)/6</f>
        <v>0</v>
      </c>
      <c r="K5" s="391" t="str">
        <f>'DIF 1'!AA13</f>
        <v/>
      </c>
      <c r="L5" s="391" t="str">
        <f>'DIF 2'!AA13</f>
        <v/>
      </c>
      <c r="M5" s="391" t="str">
        <f>'DIF 3'!AA13</f>
        <v/>
      </c>
      <c r="N5" s="393">
        <f t="shared" si="0"/>
        <v>0</v>
      </c>
      <c r="O5" s="393">
        <f t="shared" si="1"/>
        <v>0</v>
      </c>
      <c r="P5" s="393">
        <f t="shared" si="2"/>
        <v>0</v>
      </c>
      <c r="Q5" s="395">
        <f t="shared" si="3"/>
        <v>0</v>
      </c>
      <c r="R5" s="347" t="str">
        <f>Results!W9</f>
        <v/>
      </c>
      <c r="T5" s="49"/>
      <c r="U5" s="49"/>
      <c r="V5" s="383"/>
      <c r="W5" s="383"/>
      <c r="X5" s="383"/>
      <c r="Y5" s="22"/>
      <c r="Z5" s="22"/>
      <c r="AA5" s="22"/>
    </row>
    <row r="6" spans="1:27" ht="27.75" customHeight="1" thickBot="1" x14ac:dyDescent="0.3">
      <c r="A6" s="235">
        <v>5</v>
      </c>
      <c r="B6" s="50">
        <f>Starterlist!B17</f>
        <v>0</v>
      </c>
      <c r="C6" s="50">
        <f>Starterlist!D17</f>
        <v>0</v>
      </c>
      <c r="D6" s="50">
        <f>Starterlist!F17</f>
        <v>0</v>
      </c>
      <c r="E6" s="51" t="str">
        <f>Results!C10</f>
        <v/>
      </c>
      <c r="F6" s="51" t="str">
        <f>Results!D10</f>
        <v/>
      </c>
      <c r="G6" s="51" t="str">
        <f>Results!E10</f>
        <v/>
      </c>
      <c r="H6" s="51">
        <f>SUM('AI 1'!C10:'AI 1'!H10)/6</f>
        <v>0</v>
      </c>
      <c r="I6" s="51">
        <f>SUM('AI 2'!C10:'AI 2'!H10)/6</f>
        <v>0</v>
      </c>
      <c r="J6" s="51">
        <f>SUM('AI 3'!C10:'AI 3'!H10)/6</f>
        <v>0</v>
      </c>
      <c r="K6" s="391" t="str">
        <f>'DIF 1'!AA15</f>
        <v/>
      </c>
      <c r="L6" s="391" t="str">
        <f>'DIF 2'!AA15</f>
        <v/>
      </c>
      <c r="M6" s="391" t="str">
        <f>'DIF 3'!AA15</f>
        <v/>
      </c>
      <c r="N6" s="393">
        <f t="shared" si="0"/>
        <v>0</v>
      </c>
      <c r="O6" s="393">
        <f t="shared" si="1"/>
        <v>0</v>
      </c>
      <c r="P6" s="393">
        <f t="shared" si="2"/>
        <v>0</v>
      </c>
      <c r="Q6" s="395">
        <f t="shared" si="3"/>
        <v>0</v>
      </c>
      <c r="R6" s="347" t="str">
        <f>Results!W10</f>
        <v/>
      </c>
      <c r="T6" s="49"/>
      <c r="U6" s="49"/>
      <c r="V6" s="383"/>
      <c r="W6" s="383"/>
      <c r="X6" s="383"/>
    </row>
    <row r="7" spans="1:27" ht="27.75" customHeight="1" thickBot="1" x14ac:dyDescent="0.3">
      <c r="A7" s="235">
        <v>6</v>
      </c>
      <c r="B7" s="50">
        <f>Starterlist!B18</f>
        <v>0</v>
      </c>
      <c r="C7" s="50">
        <f>Starterlist!D18</f>
        <v>0</v>
      </c>
      <c r="D7" s="50">
        <f>Starterlist!F18</f>
        <v>0</v>
      </c>
      <c r="E7" s="51" t="str">
        <f>Results!C11</f>
        <v/>
      </c>
      <c r="F7" s="51" t="str">
        <f>Results!D11</f>
        <v/>
      </c>
      <c r="G7" s="51" t="str">
        <f>Results!E11</f>
        <v/>
      </c>
      <c r="H7" s="51">
        <f>SUM('AI 1'!C11:'AI 1'!H11)/6</f>
        <v>0</v>
      </c>
      <c r="I7" s="51">
        <f>SUM('AI 2'!C11:'AI 2'!H11)/6</f>
        <v>0</v>
      </c>
      <c r="J7" s="51">
        <f>SUM('AI 3'!C11:'AI 3'!H11)/6</f>
        <v>0</v>
      </c>
      <c r="K7" s="391" t="str">
        <f>'DIF 1'!AA17</f>
        <v/>
      </c>
      <c r="L7" s="391" t="str">
        <f>'DIF 2'!AA17</f>
        <v/>
      </c>
      <c r="M7" s="391" t="str">
        <f>'DIF 3'!AA17</f>
        <v/>
      </c>
      <c r="N7" s="393">
        <f t="shared" si="0"/>
        <v>0</v>
      </c>
      <c r="O7" s="393">
        <f t="shared" si="1"/>
        <v>0</v>
      </c>
      <c r="P7" s="393">
        <f t="shared" si="2"/>
        <v>0</v>
      </c>
      <c r="Q7" s="395">
        <f t="shared" si="3"/>
        <v>0</v>
      </c>
      <c r="R7" s="347" t="str">
        <f>Results!W11</f>
        <v/>
      </c>
      <c r="T7" s="49"/>
      <c r="U7" s="49"/>
      <c r="V7" s="383"/>
      <c r="W7" s="383"/>
      <c r="X7" s="383"/>
    </row>
    <row r="8" spans="1:27" ht="27.75" customHeight="1" thickBot="1" x14ac:dyDescent="0.3">
      <c r="A8" s="235">
        <v>7</v>
      </c>
      <c r="B8" s="50">
        <f>Starterlist!B19</f>
        <v>0</v>
      </c>
      <c r="C8" s="50">
        <f>Starterlist!D19</f>
        <v>0</v>
      </c>
      <c r="D8" s="50">
        <f>Starterlist!F19</f>
        <v>0</v>
      </c>
      <c r="E8" s="51" t="str">
        <f>Results!C12</f>
        <v/>
      </c>
      <c r="F8" s="51" t="str">
        <f>Results!D12</f>
        <v/>
      </c>
      <c r="G8" s="51" t="str">
        <f>Results!E12</f>
        <v/>
      </c>
      <c r="H8" s="51">
        <f>SUM('AI 1'!C12:'AI 1'!H12)/6</f>
        <v>0</v>
      </c>
      <c r="I8" s="51">
        <f>SUM('AI 2'!C12:'AI 2'!H12)/6</f>
        <v>0</v>
      </c>
      <c r="J8" s="51">
        <f>SUM('AI 3'!C12:'AI 3'!H12)/6</f>
        <v>0</v>
      </c>
      <c r="K8" s="391" t="str">
        <f>'DIF 1'!AA19</f>
        <v/>
      </c>
      <c r="L8" s="391" t="str">
        <f>'DIF 2'!AA19</f>
        <v/>
      </c>
      <c r="M8" s="391" t="str">
        <f>'DIF 3'!AA19</f>
        <v/>
      </c>
      <c r="N8" s="393">
        <f t="shared" si="0"/>
        <v>0</v>
      </c>
      <c r="O8" s="393">
        <f t="shared" si="1"/>
        <v>0</v>
      </c>
      <c r="P8" s="393">
        <f t="shared" si="2"/>
        <v>0</v>
      </c>
      <c r="Q8" s="395">
        <f t="shared" si="3"/>
        <v>0</v>
      </c>
      <c r="R8" s="347" t="str">
        <f>Results!W12</f>
        <v/>
      </c>
      <c r="T8" s="49"/>
      <c r="U8" s="49"/>
      <c r="V8" s="383"/>
      <c r="W8" s="383"/>
      <c r="X8" s="383"/>
    </row>
    <row r="9" spans="1:27" ht="27.75" customHeight="1" thickBot="1" x14ac:dyDescent="0.3">
      <c r="A9" s="235">
        <v>8</v>
      </c>
      <c r="B9" s="50">
        <f>Starterlist!B20</f>
        <v>0</v>
      </c>
      <c r="C9" s="50">
        <f>Starterlist!D20</f>
        <v>0</v>
      </c>
      <c r="D9" s="50">
        <f>Starterlist!F20</f>
        <v>0</v>
      </c>
      <c r="E9" s="51" t="str">
        <f>Results!C13</f>
        <v/>
      </c>
      <c r="F9" s="51" t="str">
        <f>Results!D13</f>
        <v/>
      </c>
      <c r="G9" s="51" t="str">
        <f>Results!E13</f>
        <v/>
      </c>
      <c r="H9" s="51">
        <f>SUM('AI 1'!C13:'AI 1'!H13)/6</f>
        <v>0</v>
      </c>
      <c r="I9" s="51">
        <f>SUM('AI 2'!C13:'AI 2'!H13)/6</f>
        <v>0</v>
      </c>
      <c r="J9" s="51">
        <f>SUM('AI 3'!C13:'AI 3'!H13)/6</f>
        <v>0</v>
      </c>
      <c r="K9" s="391" t="str">
        <f>'DIF 1'!AA21</f>
        <v/>
      </c>
      <c r="L9" s="391" t="str">
        <f>'DIF 2'!AA21</f>
        <v/>
      </c>
      <c r="M9" s="391" t="str">
        <f>'DIF 3'!AA21</f>
        <v/>
      </c>
      <c r="N9" s="393">
        <f t="shared" si="0"/>
        <v>0</v>
      </c>
      <c r="O9" s="393">
        <f t="shared" si="1"/>
        <v>0</v>
      </c>
      <c r="P9" s="393">
        <f t="shared" si="2"/>
        <v>0</v>
      </c>
      <c r="Q9" s="395">
        <f t="shared" si="3"/>
        <v>0</v>
      </c>
      <c r="R9" s="347" t="str">
        <f>Results!W13</f>
        <v/>
      </c>
    </row>
    <row r="10" spans="1:27" ht="24" thickBot="1" x14ac:dyDescent="0.3">
      <c r="A10" s="235">
        <v>9</v>
      </c>
      <c r="B10" s="50">
        <f>Starterlist!B21</f>
        <v>0</v>
      </c>
      <c r="C10" s="50">
        <f>Starterlist!D21</f>
        <v>0</v>
      </c>
      <c r="D10" s="50">
        <f>Starterlist!F21</f>
        <v>0</v>
      </c>
      <c r="E10" s="51" t="str">
        <f>Results!C14</f>
        <v/>
      </c>
      <c r="F10" s="51" t="str">
        <f>Results!D14</f>
        <v/>
      </c>
      <c r="G10" s="51" t="str">
        <f>Results!E14</f>
        <v/>
      </c>
      <c r="H10" s="51">
        <f>SUM('AI 1'!C14:'AI 1'!H14)/6</f>
        <v>0</v>
      </c>
      <c r="I10" s="51">
        <f>SUM('AI 2'!C14:'AI 2'!H14)/6</f>
        <v>0</v>
      </c>
      <c r="J10" s="51">
        <f>SUM('AI 3'!C14:'AI 3'!H14)/6</f>
        <v>0</v>
      </c>
      <c r="K10" s="391" t="str">
        <f>'DIF 1'!AA23</f>
        <v/>
      </c>
      <c r="L10" s="391" t="str">
        <f>'DIF 2'!AA23</f>
        <v/>
      </c>
      <c r="M10" s="391" t="str">
        <f>'DIF 3'!AA23</f>
        <v/>
      </c>
      <c r="N10" s="393">
        <f t="shared" ref="N10:N11" si="4">SUM(E10:G10)</f>
        <v>0</v>
      </c>
      <c r="O10" s="393">
        <f t="shared" ref="O10:O11" si="5">SUM(H10:J10)</f>
        <v>0</v>
      </c>
      <c r="P10" s="393">
        <f t="shared" ref="P10:P11" si="6">SUM(K10:M10)</f>
        <v>0</v>
      </c>
      <c r="Q10" s="395">
        <f t="shared" ref="Q10:Q11" si="7">SUM(N10:P10)</f>
        <v>0</v>
      </c>
      <c r="R10" s="347" t="str">
        <f>Results!W14</f>
        <v/>
      </c>
    </row>
    <row r="11" spans="1:27" ht="24" thickBot="1" x14ac:dyDescent="0.3">
      <c r="A11" s="344">
        <v>10</v>
      </c>
      <c r="B11" s="350">
        <f>Starterlist!B22</f>
        <v>0</v>
      </c>
      <c r="C11" s="350">
        <f>Starterlist!D22</f>
        <v>0</v>
      </c>
      <c r="D11" s="351">
        <f>Starterlist!F22</f>
        <v>0</v>
      </c>
      <c r="E11" s="51" t="str">
        <f>Results!C15</f>
        <v/>
      </c>
      <c r="F11" s="345" t="str">
        <f>Results!D15</f>
        <v/>
      </c>
      <c r="G11" s="345" t="str">
        <f>Results!E15</f>
        <v/>
      </c>
      <c r="H11" s="345">
        <f>SUM('AI 1'!C15:'AI 1'!H15)/6</f>
        <v>0</v>
      </c>
      <c r="I11" s="345">
        <f>SUM('AI 2'!C15:'AI 2'!H15)/6</f>
        <v>0</v>
      </c>
      <c r="J11" s="345">
        <f>SUM('AI 3'!C15:'AI 3'!H15)/6</f>
        <v>0</v>
      </c>
      <c r="K11" s="392" t="str">
        <f>'DIF 1'!AA25</f>
        <v/>
      </c>
      <c r="L11" s="392" t="str">
        <f>'DIF 2'!AA25</f>
        <v/>
      </c>
      <c r="M11" s="392" t="str">
        <f>'DIF 3'!AA25</f>
        <v/>
      </c>
      <c r="N11" s="394">
        <f t="shared" si="4"/>
        <v>0</v>
      </c>
      <c r="O11" s="394">
        <f t="shared" si="5"/>
        <v>0</v>
      </c>
      <c r="P11" s="394">
        <f t="shared" si="6"/>
        <v>0</v>
      </c>
      <c r="Q11" s="396">
        <f t="shared" si="7"/>
        <v>0</v>
      </c>
      <c r="R11" s="348" t="str">
        <f>Results!W15</f>
        <v/>
      </c>
    </row>
    <row r="12" spans="1:27" x14ac:dyDescent="0.25">
      <c r="B12"/>
      <c r="C12"/>
      <c r="E12"/>
      <c r="F12"/>
      <c r="G12"/>
      <c r="H12"/>
      <c r="I12"/>
      <c r="J12"/>
      <c r="K12"/>
      <c r="L12"/>
      <c r="M12"/>
      <c r="N12"/>
    </row>
    <row r="16" spans="1:27" ht="33.75" x14ac:dyDescent="0.5">
      <c r="A16" s="32" t="str">
        <f>Starterlist!A1</f>
        <v>FPAW 2018</v>
      </c>
      <c r="B16" s="32"/>
      <c r="C16" s="32"/>
      <c r="D16" s="32"/>
      <c r="E16" s="22" t="s">
        <v>13</v>
      </c>
      <c r="H16" s="22"/>
      <c r="I16" s="10"/>
      <c r="K16" s="22" t="s">
        <v>14</v>
      </c>
      <c r="L16" s="29"/>
      <c r="M16" s="29"/>
      <c r="O16" s="3" t="str">
        <f>Starterlist!F3</f>
        <v>Pool</v>
      </c>
      <c r="P16" s="3"/>
    </row>
    <row r="17" spans="1:18" ht="21.75" customHeight="1" x14ac:dyDescent="0.35">
      <c r="A17" s="13" t="str">
        <f>Starterlist!A2</f>
        <v>Trnava, Slowakia</v>
      </c>
      <c r="D17" s="13"/>
      <c r="E17" s="30" t="str">
        <f>Starterlist!B4</f>
        <v>Open Pairs</v>
      </c>
      <c r="H17" s="30"/>
      <c r="I17" s="30"/>
      <c r="K17" s="30" t="str">
        <f>Starterlist!D4</f>
        <v>Semi-Final</v>
      </c>
      <c r="L17" s="30"/>
      <c r="M17" s="30"/>
      <c r="N17" s="4"/>
      <c r="O17" s="4" t="str">
        <f>Starterlist!F4</f>
        <v>A</v>
      </c>
      <c r="P17" s="4"/>
    </row>
    <row r="18" spans="1:18" ht="15" customHeight="1" thickBot="1" x14ac:dyDescent="0.3">
      <c r="D18" s="22"/>
      <c r="E18" s="10"/>
      <c r="F18" s="10"/>
      <c r="G18" s="10"/>
      <c r="H18" s="29"/>
      <c r="I18" s="29"/>
      <c r="J18" s="29"/>
      <c r="K18" s="29"/>
      <c r="L18" s="29"/>
      <c r="M18" s="29"/>
    </row>
    <row r="19" spans="1:18" ht="57" customHeight="1" x14ac:dyDescent="0.25">
      <c r="B19" s="66"/>
      <c r="C19" s="66"/>
      <c r="D19" s="52"/>
      <c r="E19" s="342">
        <f>Results!C4</f>
        <v>0</v>
      </c>
      <c r="F19" s="342">
        <f>Results!D4</f>
        <v>0</v>
      </c>
      <c r="G19" s="342">
        <f>Results!E4</f>
        <v>0</v>
      </c>
      <c r="H19" s="342">
        <f>Results!F4</f>
        <v>0</v>
      </c>
      <c r="I19" s="342">
        <f>Results!G4</f>
        <v>0</v>
      </c>
      <c r="J19" s="342">
        <f>Results!H4</f>
        <v>0</v>
      </c>
      <c r="K19" s="342">
        <f>Results!I4</f>
        <v>0</v>
      </c>
      <c r="L19" s="342">
        <f>Results!J4</f>
        <v>0</v>
      </c>
      <c r="M19" s="342">
        <f>Results!K4</f>
        <v>0</v>
      </c>
      <c r="N19" s="57"/>
      <c r="O19" s="58"/>
      <c r="P19" s="59"/>
      <c r="Q19" s="52"/>
      <c r="R19" s="52"/>
    </row>
  </sheetData>
  <phoneticPr fontId="18" type="noConversion"/>
  <pageMargins left="0.78740157499999996" right="0.78740157499999996" top="0.984251969" bottom="0.984251969" header="0.4921259845" footer="0.4921259845"/>
  <pageSetup paperSize="9" orientation="landscape" r:id="rId1"/>
  <headerFooter alignWithMargins="0"/>
  <drawing r:id="rId2"/>
  <legacyDrawing r:id="rId3"/>
  <controls>
    <mc:AlternateContent xmlns:mc="http://schemas.openxmlformats.org/markup-compatibility/2006">
      <mc:Choice Requires="x14">
        <control shapeId="4117" r:id="rId4" name="btnExport">
          <controlPr defaultSize="0" autoLine="0" autoPict="0" r:id="rId5">
            <anchor moveWithCells="1">
              <from>
                <xdr:col>16</xdr:col>
                <xdr:colOff>666750</xdr:colOff>
                <xdr:row>11</xdr:row>
                <xdr:rowOff>104775</xdr:rowOff>
              </from>
              <to>
                <xdr:col>17</xdr:col>
                <xdr:colOff>800100</xdr:colOff>
                <xdr:row>13</xdr:row>
                <xdr:rowOff>19050</xdr:rowOff>
              </to>
            </anchor>
          </controlPr>
        </control>
      </mc:Choice>
      <mc:Fallback>
        <control shapeId="4117" r:id="rId4" name="btnExport"/>
      </mc:Fallback>
    </mc:AlternateContent>
  </controls>
  <tableParts count="1">
    <tablePart r:id="rId6"/>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Tabelle7">
    <tabColor theme="4" tint="0.79998168889431442"/>
  </sheetPr>
  <dimension ref="A1:T48"/>
  <sheetViews>
    <sheetView zoomScaleNormal="100" workbookViewId="0">
      <pane xSplit="1" topLeftCell="B1" activePane="topRight" state="frozen"/>
      <selection pane="topRight" activeCell="W55" sqref="W55"/>
    </sheetView>
  </sheetViews>
  <sheetFormatPr defaultColWidth="11.5703125" defaultRowHeight="11.25" x14ac:dyDescent="0.2"/>
  <cols>
    <col min="1" max="1" width="2.42578125" style="245" customWidth="1"/>
    <col min="2" max="2" width="3.42578125" style="245" customWidth="1"/>
    <col min="3" max="3" width="3.42578125" style="245" hidden="1" customWidth="1"/>
    <col min="4" max="4" width="3.28515625" style="245" hidden="1" customWidth="1"/>
    <col min="5" max="5" width="36.5703125" style="245" customWidth="1"/>
    <col min="6" max="6" width="8" style="245" customWidth="1"/>
    <col min="7" max="7" width="5.28515625" style="245" customWidth="1"/>
    <col min="8" max="8" width="7.28515625" style="245" customWidth="1"/>
    <col min="9" max="9" width="1" style="245" customWidth="1"/>
    <col min="10" max="12" width="7.28515625" style="245" customWidth="1"/>
    <col min="13" max="13" width="7.28515625" style="246" customWidth="1"/>
    <col min="14" max="14" width="7.85546875" style="245" customWidth="1"/>
    <col min="15" max="15" width="2.42578125" style="245" customWidth="1"/>
    <col min="16" max="16" width="18.7109375" style="245" customWidth="1"/>
    <col min="17" max="17" width="6.42578125" style="245" customWidth="1"/>
    <col min="18" max="18" width="8.85546875" style="247" customWidth="1"/>
    <col min="19" max="19" width="2.7109375" style="245" customWidth="1"/>
    <col min="20" max="20" width="11.5703125" style="248"/>
    <col min="21" max="16384" width="11.5703125" style="245"/>
  </cols>
  <sheetData>
    <row r="1" spans="1:20" ht="12" thickBot="1" x14ac:dyDescent="0.25"/>
    <row r="2" spans="1:20" ht="11.25" customHeight="1" x14ac:dyDescent="0.2">
      <c r="B2" s="249" t="s">
        <v>1324</v>
      </c>
      <c r="C2" s="250"/>
      <c r="D2" s="250"/>
      <c r="E2" s="250"/>
      <c r="F2" s="250"/>
      <c r="G2" s="250"/>
      <c r="H2" s="250"/>
      <c r="I2" s="444" t="str">
        <f>Settings!B3</f>
        <v>FPAW 2018</v>
      </c>
      <c r="J2" s="445"/>
      <c r="K2" s="445"/>
      <c r="L2" s="445"/>
      <c r="M2" s="445"/>
      <c r="N2" s="446"/>
    </row>
    <row r="3" spans="1:20" ht="11.25" customHeight="1" x14ac:dyDescent="0.2">
      <c r="B3" s="251" t="s">
        <v>1325</v>
      </c>
      <c r="C3" s="252"/>
      <c r="D3" s="252"/>
      <c r="E3" s="252"/>
      <c r="F3" s="252"/>
      <c r="G3" s="252"/>
      <c r="H3" s="252"/>
      <c r="I3" s="435"/>
      <c r="J3" s="436"/>
      <c r="K3" s="436"/>
      <c r="L3" s="436"/>
      <c r="M3" s="436"/>
      <c r="N3" s="437"/>
    </row>
    <row r="4" spans="1:20" ht="11.25" customHeight="1" x14ac:dyDescent="0.2">
      <c r="B4" s="253" t="s">
        <v>29</v>
      </c>
      <c r="C4" s="254"/>
      <c r="D4" s="254"/>
      <c r="E4" s="254"/>
      <c r="F4" s="254"/>
      <c r="G4" s="254"/>
      <c r="H4" s="254"/>
      <c r="I4" s="447">
        <f>Starterlist!J3</f>
        <v>42322</v>
      </c>
      <c r="J4" s="448"/>
      <c r="K4" s="448"/>
      <c r="L4" s="448"/>
      <c r="M4" s="448"/>
      <c r="N4" s="449"/>
    </row>
    <row r="5" spans="1:20" ht="11.25" customHeight="1" x14ac:dyDescent="0.2">
      <c r="B5" s="251" t="s">
        <v>1326</v>
      </c>
      <c r="C5" s="252"/>
      <c r="D5" s="252"/>
      <c r="E5" s="252"/>
      <c r="F5" s="252"/>
      <c r="G5" s="252"/>
      <c r="H5" s="252"/>
      <c r="I5" s="435" t="str">
        <f>Settings!B5</f>
        <v>Trnava, Slowakia</v>
      </c>
      <c r="J5" s="436"/>
      <c r="K5" s="436"/>
      <c r="L5" s="436"/>
      <c r="M5" s="436"/>
      <c r="N5" s="437"/>
    </row>
    <row r="6" spans="1:20" ht="11.25" customHeight="1" x14ac:dyDescent="0.2">
      <c r="B6" s="253" t="s">
        <v>1327</v>
      </c>
      <c r="C6" s="254"/>
      <c r="D6" s="254"/>
      <c r="E6" s="254"/>
      <c r="F6" s="254"/>
      <c r="G6" s="254"/>
      <c r="H6" s="254"/>
      <c r="I6" s="450"/>
      <c r="J6" s="451"/>
      <c r="K6" s="451"/>
      <c r="L6" s="451"/>
      <c r="M6" s="451"/>
      <c r="N6" s="452"/>
    </row>
    <row r="7" spans="1:20" ht="11.25" customHeight="1" x14ac:dyDescent="0.2">
      <c r="B7" s="251" t="s">
        <v>1328</v>
      </c>
      <c r="C7" s="252"/>
      <c r="D7" s="252"/>
      <c r="E7" s="252"/>
      <c r="F7" s="252"/>
      <c r="G7" s="252"/>
      <c r="H7" s="252"/>
      <c r="I7" s="441" t="str">
        <f>Settings!B6</f>
        <v>Regular (100%)</v>
      </c>
      <c r="J7" s="442"/>
      <c r="K7" s="442"/>
      <c r="L7" s="442"/>
      <c r="M7" s="442"/>
      <c r="N7" s="443"/>
    </row>
    <row r="8" spans="1:20" ht="11.25" customHeight="1" x14ac:dyDescent="0.2">
      <c r="B8" s="253" t="s">
        <v>1329</v>
      </c>
      <c r="C8" s="254"/>
      <c r="D8" s="254"/>
      <c r="E8" s="254"/>
      <c r="F8" s="254"/>
      <c r="G8" s="254"/>
      <c r="H8" s="254"/>
      <c r="I8" s="438"/>
      <c r="J8" s="439"/>
      <c r="K8" s="439"/>
      <c r="L8" s="439"/>
      <c r="M8" s="439"/>
      <c r="N8" s="440"/>
    </row>
    <row r="9" spans="1:20" ht="12" customHeight="1" x14ac:dyDescent="0.2">
      <c r="B9" s="251" t="s">
        <v>1331</v>
      </c>
      <c r="C9" s="252"/>
      <c r="D9" s="252"/>
      <c r="E9" s="252"/>
      <c r="F9" s="252"/>
      <c r="G9" s="252"/>
      <c r="H9" s="252"/>
      <c r="I9" s="435"/>
      <c r="J9" s="436"/>
      <c r="K9" s="436"/>
      <c r="L9" s="436"/>
      <c r="M9" s="436"/>
      <c r="N9" s="437"/>
    </row>
    <row r="10" spans="1:20" ht="11.25" customHeight="1" x14ac:dyDescent="0.25">
      <c r="B10" s="253" t="s">
        <v>1332</v>
      </c>
      <c r="C10" s="254"/>
      <c r="D10" s="254"/>
      <c r="E10" s="254"/>
      <c r="F10" s="254"/>
      <c r="G10" s="254"/>
      <c r="H10" s="254"/>
      <c r="I10" s="438"/>
      <c r="J10" s="439"/>
      <c r="K10" s="453"/>
      <c r="L10" s="453"/>
      <c r="M10" s="453"/>
      <c r="N10" s="454"/>
    </row>
    <row r="11" spans="1:20" ht="12" customHeight="1" x14ac:dyDescent="0.2">
      <c r="B11" s="251" t="s">
        <v>1333</v>
      </c>
      <c r="C11" s="252"/>
      <c r="D11" s="252"/>
      <c r="E11" s="252"/>
      <c r="F11" s="252"/>
      <c r="G11" s="252"/>
      <c r="H11" s="252"/>
      <c r="I11" s="435"/>
      <c r="J11" s="436"/>
      <c r="K11" s="436"/>
      <c r="L11" s="436"/>
      <c r="M11" s="436"/>
      <c r="N11" s="437"/>
    </row>
    <row r="12" spans="1:20" ht="12" customHeight="1" x14ac:dyDescent="0.2">
      <c r="B12" s="255" t="s">
        <v>1334</v>
      </c>
      <c r="C12" s="256"/>
      <c r="D12" s="256"/>
      <c r="E12" s="256"/>
      <c r="F12" s="256"/>
      <c r="G12" s="256"/>
      <c r="H12" s="256"/>
      <c r="I12" s="438"/>
      <c r="J12" s="439"/>
      <c r="K12" s="439"/>
      <c r="L12" s="439"/>
      <c r="M12" s="439"/>
      <c r="N12" s="440"/>
    </row>
    <row r="13" spans="1:20" ht="12" customHeight="1" thickBot="1" x14ac:dyDescent="0.25">
      <c r="B13" s="424"/>
      <c r="C13" s="425"/>
      <c r="D13" s="425"/>
      <c r="E13" s="425"/>
      <c r="F13" s="425"/>
      <c r="G13" s="425"/>
      <c r="H13" s="425"/>
      <c r="I13" s="426"/>
      <c r="J13" s="427"/>
      <c r="K13" s="427"/>
      <c r="L13" s="427"/>
      <c r="M13" s="427"/>
      <c r="N13" s="428"/>
    </row>
    <row r="14" spans="1:20" ht="12" thickBot="1" x14ac:dyDescent="0.25">
      <c r="O14" s="257"/>
      <c r="P14" s="257"/>
      <c r="Q14" s="257"/>
    </row>
    <row r="15" spans="1:20" s="258" customFormat="1" ht="12" customHeight="1" thickBot="1" x14ac:dyDescent="0.3">
      <c r="B15" s="329" t="str">
        <f>Starterlist!B4</f>
        <v>Open Pairs</v>
      </c>
      <c r="C15" s="259"/>
      <c r="D15" s="259"/>
      <c r="E15" s="260"/>
      <c r="F15" s="330" t="str">
        <f>Starterlist!D4</f>
        <v>Semi-Final</v>
      </c>
      <c r="G15" s="260"/>
      <c r="H15" s="260" t="str">
        <f>CONCATENATE(Starterlist!F3," ",Starterlist!F4)</f>
        <v>Pool A</v>
      </c>
      <c r="I15" s="261"/>
      <c r="J15" s="262"/>
      <c r="K15" s="262"/>
      <c r="L15" s="262"/>
      <c r="M15" s="263"/>
      <c r="N15" s="263"/>
      <c r="P15" s="429"/>
      <c r="Q15" s="430"/>
      <c r="R15" s="431"/>
      <c r="S15" s="264">
        <v>1</v>
      </c>
      <c r="T15" s="265"/>
    </row>
    <row r="16" spans="1:20" ht="57" customHeight="1" thickBot="1" x14ac:dyDescent="0.25">
      <c r="A16" s="266"/>
      <c r="B16" s="267" t="s">
        <v>87</v>
      </c>
      <c r="C16" s="268"/>
      <c r="D16" s="269"/>
      <c r="E16" s="270" t="s">
        <v>1335</v>
      </c>
      <c r="F16" s="271" t="s">
        <v>1336</v>
      </c>
      <c r="G16" s="271" t="s">
        <v>0</v>
      </c>
      <c r="H16" s="272" t="s">
        <v>1337</v>
      </c>
      <c r="I16" s="273"/>
      <c r="J16" s="274" t="s">
        <v>1338</v>
      </c>
      <c r="K16" s="275" t="s">
        <v>1339</v>
      </c>
      <c r="L16" s="275" t="s">
        <v>1340</v>
      </c>
      <c r="M16" s="276" t="s">
        <v>4</v>
      </c>
      <c r="N16" s="277" t="s">
        <v>1341</v>
      </c>
      <c r="P16" s="432" t="s">
        <v>86</v>
      </c>
      <c r="Q16" s="433"/>
      <c r="R16" s="434"/>
      <c r="S16" s="278"/>
    </row>
    <row r="17" spans="1:19" ht="11.1" customHeight="1" thickBot="1" x14ac:dyDescent="0.25">
      <c r="A17" s="266"/>
      <c r="B17" s="279"/>
      <c r="C17" s="280"/>
      <c r="D17" s="280"/>
      <c r="E17" s="281"/>
      <c r="F17" s="282"/>
      <c r="G17" s="282"/>
      <c r="H17" s="283"/>
      <c r="I17" s="273"/>
      <c r="J17" s="284"/>
      <c r="K17" s="285"/>
      <c r="L17" s="286"/>
      <c r="M17" s="287"/>
      <c r="N17" s="288"/>
      <c r="P17" s="289" t="s">
        <v>57</v>
      </c>
      <c r="Q17" s="290" t="s">
        <v>1330</v>
      </c>
      <c r="R17" s="291" t="s">
        <v>1342</v>
      </c>
      <c r="S17" s="278"/>
    </row>
    <row r="18" spans="1:19" ht="11.1" customHeight="1" x14ac:dyDescent="0.2">
      <c r="B18" s="418" t="str">
        <f>Export!R2</f>
        <v/>
      </c>
      <c r="C18" s="292">
        <v>1</v>
      </c>
      <c r="D18" s="292">
        <v>1</v>
      </c>
      <c r="E18" s="331">
        <f>Export!B2</f>
        <v>0</v>
      </c>
      <c r="F18" s="293"/>
      <c r="G18" s="293">
        <f>IF(ISNA(IF(E18="","",VLOOKUP(E18,Rankings!C:E,3,FALSE))),0,IF(E18="","",VLOOKUP(E18,Rankings!C:E,3,FALSE)))</f>
        <v>0</v>
      </c>
      <c r="H18" s="294"/>
      <c r="I18" s="295"/>
      <c r="J18" s="296"/>
      <c r="K18" s="297"/>
      <c r="L18" s="298"/>
      <c r="M18" s="299"/>
      <c r="N18" s="421"/>
      <c r="P18" s="334">
        <f>E18</f>
        <v>0</v>
      </c>
      <c r="Q18" s="300"/>
      <c r="R18" s="301"/>
      <c r="S18" s="278"/>
    </row>
    <row r="19" spans="1:19" ht="11.1" customHeight="1" x14ac:dyDescent="0.2">
      <c r="B19" s="419"/>
      <c r="C19" s="302">
        <v>1</v>
      </c>
      <c r="D19" s="302">
        <v>1</v>
      </c>
      <c r="E19" s="332">
        <f>Export!C2</f>
        <v>0</v>
      </c>
      <c r="F19" s="303"/>
      <c r="G19" s="303">
        <f>IF(ISNA(IF(E19="","",VLOOKUP(E19,Rankings!C:E,3,FALSE))),0,IF(E19="","",VLOOKUP(E19,Rankings!C:E,3,FALSE)))</f>
        <v>0</v>
      </c>
      <c r="H19" s="304"/>
      <c r="I19" s="295"/>
      <c r="J19" s="305"/>
      <c r="K19" s="306"/>
      <c r="L19" s="307"/>
      <c r="M19" s="308"/>
      <c r="N19" s="422"/>
      <c r="P19" s="335">
        <f>E19</f>
        <v>0</v>
      </c>
      <c r="Q19" s="309"/>
      <c r="R19" s="310"/>
      <c r="S19" s="278"/>
    </row>
    <row r="20" spans="1:19" ht="11.1" customHeight="1" thickBot="1" x14ac:dyDescent="0.25">
      <c r="B20" s="420"/>
      <c r="C20" s="311">
        <v>1</v>
      </c>
      <c r="D20" s="311">
        <v>1</v>
      </c>
      <c r="E20" s="333">
        <f>Export!D2</f>
        <v>0</v>
      </c>
      <c r="F20" s="312"/>
      <c r="G20" s="312">
        <f>IF(ISNA(IF(E20="","",VLOOKUP(E20,Rankings!C:E,3,FALSE))),0,IF(E20="","",VLOOKUP(E20,Rankings!C:E,3,FALSE)))</f>
        <v>0</v>
      </c>
      <c r="H20" s="313"/>
      <c r="I20" s="295"/>
      <c r="J20" s="314"/>
      <c r="K20" s="315"/>
      <c r="L20" s="316"/>
      <c r="M20" s="317"/>
      <c r="N20" s="423"/>
      <c r="P20" s="334">
        <f t="shared" ref="P20:P47" si="0">E20</f>
        <v>0</v>
      </c>
      <c r="Q20" s="300"/>
      <c r="R20" s="301"/>
      <c r="S20" s="278"/>
    </row>
    <row r="21" spans="1:19" ht="11.1" customHeight="1" x14ac:dyDescent="0.2">
      <c r="B21" s="418" t="str">
        <f>Export!R3</f>
        <v/>
      </c>
      <c r="C21" s="292">
        <v>2</v>
      </c>
      <c r="D21" s="292">
        <v>2</v>
      </c>
      <c r="E21" s="331">
        <f>Export!B3</f>
        <v>0</v>
      </c>
      <c r="F21" s="293"/>
      <c r="G21" s="293">
        <f>IF(ISNA(IF(E21="","",VLOOKUP(E21,Rankings!C:E,3,FALSE))),0,IF(E21="","",VLOOKUP(E21,Rankings!C:E,3,FALSE)))</f>
        <v>0</v>
      </c>
      <c r="H21" s="294"/>
      <c r="I21" s="295"/>
      <c r="J21" s="296"/>
      <c r="K21" s="297"/>
      <c r="L21" s="298"/>
      <c r="M21" s="299"/>
      <c r="N21" s="421"/>
      <c r="P21" s="335">
        <f t="shared" si="0"/>
        <v>0</v>
      </c>
      <c r="Q21" s="309"/>
      <c r="R21" s="310"/>
      <c r="S21" s="278"/>
    </row>
    <row r="22" spans="1:19" ht="11.1" customHeight="1" x14ac:dyDescent="0.2">
      <c r="B22" s="419"/>
      <c r="C22" s="302">
        <v>2</v>
      </c>
      <c r="D22" s="302">
        <v>2</v>
      </c>
      <c r="E22" s="332">
        <f>Export!C3</f>
        <v>0</v>
      </c>
      <c r="F22" s="303"/>
      <c r="G22" s="303">
        <f>IF(ISNA(IF(E22="","",VLOOKUP(E22,Rankings!C:E,3,FALSE))),0,IF(E22="","",VLOOKUP(E22,Rankings!C:E,3,FALSE)))</f>
        <v>0</v>
      </c>
      <c r="H22" s="304"/>
      <c r="I22" s="295"/>
      <c r="J22" s="305"/>
      <c r="K22" s="306"/>
      <c r="L22" s="307"/>
      <c r="M22" s="308"/>
      <c r="N22" s="422"/>
      <c r="P22" s="334">
        <f t="shared" si="0"/>
        <v>0</v>
      </c>
      <c r="Q22" s="300"/>
      <c r="R22" s="301"/>
      <c r="S22" s="278"/>
    </row>
    <row r="23" spans="1:19" ht="11.1" customHeight="1" thickBot="1" x14ac:dyDescent="0.25">
      <c r="B23" s="420"/>
      <c r="C23" s="311">
        <v>2</v>
      </c>
      <c r="D23" s="311">
        <v>2</v>
      </c>
      <c r="E23" s="333">
        <f>Export!D3</f>
        <v>0</v>
      </c>
      <c r="F23" s="312"/>
      <c r="G23" s="312">
        <f>IF(ISNA(IF(E23="","",VLOOKUP(E23,Rankings!C:E,3,FALSE))),0,IF(E23="","",VLOOKUP(E23,Rankings!C:E,3,FALSE)))</f>
        <v>0</v>
      </c>
      <c r="H23" s="313"/>
      <c r="I23" s="295"/>
      <c r="J23" s="314"/>
      <c r="K23" s="315"/>
      <c r="L23" s="316"/>
      <c r="M23" s="317"/>
      <c r="N23" s="423"/>
      <c r="P23" s="335">
        <f t="shared" si="0"/>
        <v>0</v>
      </c>
      <c r="Q23" s="309"/>
      <c r="R23" s="310"/>
      <c r="S23" s="278"/>
    </row>
    <row r="24" spans="1:19" ht="11.1" customHeight="1" x14ac:dyDescent="0.2">
      <c r="B24" s="418" t="str">
        <f>Export!R4</f>
        <v/>
      </c>
      <c r="C24" s="292">
        <v>3</v>
      </c>
      <c r="D24" s="292">
        <v>3</v>
      </c>
      <c r="E24" s="331">
        <f>Export!B4</f>
        <v>0</v>
      </c>
      <c r="F24" s="293"/>
      <c r="G24" s="293">
        <f>IF(ISNA(IF(E24="","",VLOOKUP(E24,Rankings!C:E,3,FALSE))),0,IF(E24="","",VLOOKUP(E24,Rankings!C:E,3,FALSE)))</f>
        <v>0</v>
      </c>
      <c r="H24" s="294"/>
      <c r="I24" s="295"/>
      <c r="J24" s="296"/>
      <c r="K24" s="297"/>
      <c r="L24" s="298"/>
      <c r="M24" s="299"/>
      <c r="N24" s="421"/>
      <c r="P24" s="334">
        <f t="shared" si="0"/>
        <v>0</v>
      </c>
      <c r="Q24" s="300"/>
      <c r="R24" s="301"/>
      <c r="S24" s="278"/>
    </row>
    <row r="25" spans="1:19" ht="11.1" customHeight="1" x14ac:dyDescent="0.2">
      <c r="B25" s="419"/>
      <c r="C25" s="302">
        <v>3</v>
      </c>
      <c r="D25" s="302">
        <v>3</v>
      </c>
      <c r="E25" s="332">
        <f>Export!C4</f>
        <v>0</v>
      </c>
      <c r="F25" s="303"/>
      <c r="G25" s="303">
        <f>IF(ISNA(IF(E25="","",VLOOKUP(E25,Rankings!C:E,3,FALSE))),0,IF(E25="","",VLOOKUP(E25,Rankings!C:E,3,FALSE)))</f>
        <v>0</v>
      </c>
      <c r="H25" s="304"/>
      <c r="I25" s="295"/>
      <c r="J25" s="305"/>
      <c r="K25" s="306"/>
      <c r="L25" s="307"/>
      <c r="M25" s="308"/>
      <c r="N25" s="422"/>
      <c r="P25" s="335">
        <f t="shared" si="0"/>
        <v>0</v>
      </c>
      <c r="Q25" s="309"/>
      <c r="R25" s="310"/>
      <c r="S25" s="278"/>
    </row>
    <row r="26" spans="1:19" ht="11.1" customHeight="1" thickBot="1" x14ac:dyDescent="0.25">
      <c r="B26" s="420"/>
      <c r="C26" s="311">
        <v>3</v>
      </c>
      <c r="D26" s="311">
        <v>3</v>
      </c>
      <c r="E26" s="333">
        <f>Export!D4</f>
        <v>0</v>
      </c>
      <c r="F26" s="312"/>
      <c r="G26" s="312">
        <f>IF(ISNA(IF(E26="","",VLOOKUP(E26,Rankings!C:E,3,FALSE))),0,IF(E26="","",VLOOKUP(E26,Rankings!C:E,3,FALSE)))</f>
        <v>0</v>
      </c>
      <c r="H26" s="313"/>
      <c r="I26" s="295"/>
      <c r="J26" s="314"/>
      <c r="K26" s="315"/>
      <c r="L26" s="316"/>
      <c r="M26" s="317"/>
      <c r="N26" s="423"/>
      <c r="P26" s="334">
        <f t="shared" si="0"/>
        <v>0</v>
      </c>
      <c r="Q26" s="300"/>
      <c r="R26" s="301"/>
      <c r="S26" s="278"/>
    </row>
    <row r="27" spans="1:19" ht="11.1" customHeight="1" x14ac:dyDescent="0.2">
      <c r="B27" s="418" t="str">
        <f>Export!R5</f>
        <v/>
      </c>
      <c r="C27" s="292">
        <v>4</v>
      </c>
      <c r="D27" s="292">
        <v>4</v>
      </c>
      <c r="E27" s="331">
        <f>Export!B5</f>
        <v>0</v>
      </c>
      <c r="F27" s="293"/>
      <c r="G27" s="293">
        <f>IF(ISNA(IF(E27="","",VLOOKUP(E27,Rankings!C:E,3,FALSE))),0,IF(E27="","",VLOOKUP(E27,Rankings!C:E,3,FALSE)))</f>
        <v>0</v>
      </c>
      <c r="H27" s="294"/>
      <c r="I27" s="295"/>
      <c r="J27" s="296"/>
      <c r="K27" s="297"/>
      <c r="L27" s="298"/>
      <c r="M27" s="299"/>
      <c r="N27" s="421"/>
      <c r="P27" s="335">
        <f t="shared" si="0"/>
        <v>0</v>
      </c>
      <c r="Q27" s="309"/>
      <c r="R27" s="310"/>
      <c r="S27" s="278"/>
    </row>
    <row r="28" spans="1:19" ht="11.1" customHeight="1" x14ac:dyDescent="0.2">
      <c r="B28" s="419"/>
      <c r="C28" s="302">
        <v>4</v>
      </c>
      <c r="D28" s="302">
        <v>4</v>
      </c>
      <c r="E28" s="332">
        <f>Export!C5</f>
        <v>0</v>
      </c>
      <c r="F28" s="303"/>
      <c r="G28" s="303">
        <f>IF(ISNA(IF(E28="","",VLOOKUP(E28,Rankings!C:E,3,FALSE))),0,IF(E28="","",VLOOKUP(E28,Rankings!C:E,3,FALSE)))</f>
        <v>0</v>
      </c>
      <c r="H28" s="304"/>
      <c r="I28" s="295"/>
      <c r="J28" s="305"/>
      <c r="K28" s="306"/>
      <c r="L28" s="307"/>
      <c r="M28" s="308"/>
      <c r="N28" s="422"/>
      <c r="P28" s="334">
        <f t="shared" si="0"/>
        <v>0</v>
      </c>
      <c r="Q28" s="300"/>
      <c r="R28" s="301"/>
      <c r="S28" s="278"/>
    </row>
    <row r="29" spans="1:19" ht="11.1" customHeight="1" thickBot="1" x14ac:dyDescent="0.25">
      <c r="B29" s="420"/>
      <c r="C29" s="311">
        <v>4</v>
      </c>
      <c r="D29" s="311">
        <v>4</v>
      </c>
      <c r="E29" s="333">
        <f>Export!D5</f>
        <v>0</v>
      </c>
      <c r="F29" s="312"/>
      <c r="G29" s="312">
        <f>IF(ISNA(IF(E29="","",VLOOKUP(E29,Rankings!C:E,3,FALSE))),0,IF(E29="","",VLOOKUP(E29,Rankings!C:E,3,FALSE)))</f>
        <v>0</v>
      </c>
      <c r="H29" s="313"/>
      <c r="I29" s="295"/>
      <c r="J29" s="314"/>
      <c r="K29" s="315"/>
      <c r="L29" s="316"/>
      <c r="M29" s="317"/>
      <c r="N29" s="423"/>
      <c r="P29" s="335">
        <f t="shared" si="0"/>
        <v>0</v>
      </c>
      <c r="Q29" s="309"/>
      <c r="R29" s="310"/>
      <c r="S29" s="278"/>
    </row>
    <row r="30" spans="1:19" ht="11.1" customHeight="1" x14ac:dyDescent="0.2">
      <c r="B30" s="418" t="str">
        <f>Export!R6</f>
        <v/>
      </c>
      <c r="C30" s="292">
        <v>5</v>
      </c>
      <c r="D30" s="292">
        <v>5</v>
      </c>
      <c r="E30" s="331">
        <f>Export!B6</f>
        <v>0</v>
      </c>
      <c r="F30" s="293"/>
      <c r="G30" s="293">
        <f>IF(ISNA(IF(E30="","",VLOOKUP(E30,Rankings!C:E,3,FALSE))),0,IF(E30="","",VLOOKUP(E30,Rankings!C:E,3,FALSE)))</f>
        <v>0</v>
      </c>
      <c r="H30" s="294"/>
      <c r="I30" s="295"/>
      <c r="J30" s="296"/>
      <c r="K30" s="297"/>
      <c r="L30" s="298"/>
      <c r="M30" s="299"/>
      <c r="N30" s="421"/>
      <c r="P30" s="334">
        <f t="shared" si="0"/>
        <v>0</v>
      </c>
      <c r="Q30" s="300"/>
      <c r="R30" s="301"/>
      <c r="S30" s="278"/>
    </row>
    <row r="31" spans="1:19" ht="11.1" customHeight="1" x14ac:dyDescent="0.2">
      <c r="B31" s="419"/>
      <c r="C31" s="302">
        <v>5</v>
      </c>
      <c r="D31" s="302">
        <v>5</v>
      </c>
      <c r="E31" s="332">
        <f>Export!C6</f>
        <v>0</v>
      </c>
      <c r="F31" s="303"/>
      <c r="G31" s="303">
        <f>IF(ISNA(IF(E31="","",VLOOKUP(E31,Rankings!C:E,3,FALSE))),0,IF(E31="","",VLOOKUP(E31,Rankings!C:E,3,FALSE)))</f>
        <v>0</v>
      </c>
      <c r="H31" s="304"/>
      <c r="I31" s="295"/>
      <c r="J31" s="305"/>
      <c r="K31" s="306"/>
      <c r="L31" s="307"/>
      <c r="M31" s="308"/>
      <c r="N31" s="422"/>
      <c r="P31" s="335">
        <f t="shared" si="0"/>
        <v>0</v>
      </c>
      <c r="Q31" s="309"/>
      <c r="R31" s="310"/>
      <c r="S31" s="278"/>
    </row>
    <row r="32" spans="1:19" ht="11.1" customHeight="1" thickBot="1" x14ac:dyDescent="0.25">
      <c r="B32" s="420"/>
      <c r="C32" s="311">
        <v>5</v>
      </c>
      <c r="D32" s="311">
        <v>5</v>
      </c>
      <c r="E32" s="333">
        <f>Export!D6</f>
        <v>0</v>
      </c>
      <c r="F32" s="312"/>
      <c r="G32" s="312">
        <f>IF(ISNA(IF(E32="","",VLOOKUP(E32,Rankings!C:E,3,FALSE))),0,IF(E32="","",VLOOKUP(E32,Rankings!C:E,3,FALSE)))</f>
        <v>0</v>
      </c>
      <c r="H32" s="313"/>
      <c r="I32" s="295"/>
      <c r="J32" s="314"/>
      <c r="K32" s="315"/>
      <c r="L32" s="316"/>
      <c r="M32" s="317"/>
      <c r="N32" s="423"/>
      <c r="P32" s="334">
        <f t="shared" si="0"/>
        <v>0</v>
      </c>
      <c r="Q32" s="300"/>
      <c r="R32" s="301"/>
      <c r="S32" s="278"/>
    </row>
    <row r="33" spans="2:19" ht="11.1" customHeight="1" x14ac:dyDescent="0.2">
      <c r="B33" s="418" t="str">
        <f>Export!R7</f>
        <v/>
      </c>
      <c r="C33" s="292">
        <v>5</v>
      </c>
      <c r="D33" s="292">
        <v>5</v>
      </c>
      <c r="E33" s="331">
        <f>Export!B7</f>
        <v>0</v>
      </c>
      <c r="F33" s="293"/>
      <c r="G33" s="293">
        <f>IF(ISNA(IF(E33="","",VLOOKUP(E33,Rankings!C:E,3,FALSE))),0,IF(E33="","",VLOOKUP(E33,Rankings!C:E,3,FALSE)))</f>
        <v>0</v>
      </c>
      <c r="H33" s="294"/>
      <c r="I33" s="295"/>
      <c r="J33" s="296"/>
      <c r="K33" s="297"/>
      <c r="L33" s="298"/>
      <c r="M33" s="299"/>
      <c r="N33" s="421"/>
      <c r="P33" s="335">
        <f t="shared" si="0"/>
        <v>0</v>
      </c>
      <c r="Q33" s="309"/>
      <c r="R33" s="310"/>
      <c r="S33" s="278"/>
    </row>
    <row r="34" spans="2:19" ht="11.1" customHeight="1" x14ac:dyDescent="0.2">
      <c r="B34" s="419"/>
      <c r="C34" s="302">
        <v>5</v>
      </c>
      <c r="D34" s="302">
        <v>5</v>
      </c>
      <c r="E34" s="332">
        <f>Export!C7</f>
        <v>0</v>
      </c>
      <c r="F34" s="303"/>
      <c r="G34" s="303">
        <f>IF(ISNA(IF(E34="","",VLOOKUP(E34,Rankings!C:E,3,FALSE))),0,IF(E34="","",VLOOKUP(E34,Rankings!C:E,3,FALSE)))</f>
        <v>0</v>
      </c>
      <c r="H34" s="304"/>
      <c r="I34" s="295"/>
      <c r="J34" s="305"/>
      <c r="K34" s="306"/>
      <c r="L34" s="307"/>
      <c r="M34" s="308"/>
      <c r="N34" s="422"/>
      <c r="P34" s="334">
        <f t="shared" si="0"/>
        <v>0</v>
      </c>
      <c r="Q34" s="300"/>
      <c r="R34" s="301"/>
      <c r="S34" s="278"/>
    </row>
    <row r="35" spans="2:19" ht="11.1" customHeight="1" thickBot="1" x14ac:dyDescent="0.25">
      <c r="B35" s="420"/>
      <c r="C35" s="311">
        <v>5</v>
      </c>
      <c r="D35" s="311">
        <v>5</v>
      </c>
      <c r="E35" s="333">
        <f>Export!D7</f>
        <v>0</v>
      </c>
      <c r="F35" s="312"/>
      <c r="G35" s="312">
        <f>IF(ISNA(IF(E35="","",VLOOKUP(E35,Rankings!C:E,3,FALSE))),0,IF(E35="","",VLOOKUP(E35,Rankings!C:E,3,FALSE)))</f>
        <v>0</v>
      </c>
      <c r="H35" s="313"/>
      <c r="I35" s="295"/>
      <c r="J35" s="314"/>
      <c r="K35" s="315"/>
      <c r="L35" s="316"/>
      <c r="M35" s="317"/>
      <c r="N35" s="423"/>
      <c r="P35" s="335">
        <f t="shared" si="0"/>
        <v>0</v>
      </c>
      <c r="Q35" s="309"/>
      <c r="R35" s="310"/>
      <c r="S35" s="278"/>
    </row>
    <row r="36" spans="2:19" ht="11.1" customHeight="1" x14ac:dyDescent="0.2">
      <c r="B36" s="418" t="str">
        <f>Export!R8</f>
        <v/>
      </c>
      <c r="C36" s="292">
        <v>7</v>
      </c>
      <c r="D36" s="292">
        <v>7</v>
      </c>
      <c r="E36" s="331">
        <f>Export!B8</f>
        <v>0</v>
      </c>
      <c r="F36" s="293"/>
      <c r="G36" s="293">
        <f>IF(ISNA(IF(E36="","",VLOOKUP(E36,Rankings!C:E,3,FALSE))),0,IF(E36="","",VLOOKUP(E36,Rankings!C:E,3,FALSE)))</f>
        <v>0</v>
      </c>
      <c r="H36" s="294"/>
      <c r="I36" s="295"/>
      <c r="J36" s="296"/>
      <c r="K36" s="297"/>
      <c r="L36" s="298"/>
      <c r="M36" s="299"/>
      <c r="N36" s="421"/>
      <c r="P36" s="334">
        <f t="shared" si="0"/>
        <v>0</v>
      </c>
      <c r="Q36" s="300"/>
      <c r="R36" s="301"/>
      <c r="S36" s="278"/>
    </row>
    <row r="37" spans="2:19" ht="11.1" customHeight="1" x14ac:dyDescent="0.2">
      <c r="B37" s="419"/>
      <c r="C37" s="302">
        <v>7</v>
      </c>
      <c r="D37" s="302">
        <v>7</v>
      </c>
      <c r="E37" s="332">
        <f>Export!C8</f>
        <v>0</v>
      </c>
      <c r="F37" s="303"/>
      <c r="G37" s="303">
        <f>IF(ISNA(IF(E37="","",VLOOKUP(E37,Rankings!C:E,3,FALSE))),0,IF(E37="","",VLOOKUP(E37,Rankings!C:E,3,FALSE)))</f>
        <v>0</v>
      </c>
      <c r="H37" s="304"/>
      <c r="I37" s="295"/>
      <c r="J37" s="305"/>
      <c r="K37" s="306"/>
      <c r="L37" s="307"/>
      <c r="M37" s="308"/>
      <c r="N37" s="422"/>
      <c r="P37" s="335">
        <f t="shared" si="0"/>
        <v>0</v>
      </c>
      <c r="Q37" s="309"/>
      <c r="R37" s="310"/>
      <c r="S37" s="278"/>
    </row>
    <row r="38" spans="2:19" ht="11.1" customHeight="1" thickBot="1" x14ac:dyDescent="0.25">
      <c r="B38" s="420"/>
      <c r="C38" s="311">
        <v>7</v>
      </c>
      <c r="D38" s="311">
        <v>7</v>
      </c>
      <c r="E38" s="333">
        <f>Export!D8</f>
        <v>0</v>
      </c>
      <c r="F38" s="312"/>
      <c r="G38" s="312">
        <f>IF(ISNA(IF(E38="","",VLOOKUP(E38,Rankings!C:E,3,FALSE))),0,IF(E38="","",VLOOKUP(E38,Rankings!C:E,3,FALSE)))</f>
        <v>0</v>
      </c>
      <c r="H38" s="313"/>
      <c r="I38" s="295"/>
      <c r="J38" s="314"/>
      <c r="K38" s="315"/>
      <c r="L38" s="316"/>
      <c r="M38" s="317"/>
      <c r="N38" s="423"/>
      <c r="P38" s="334">
        <f t="shared" si="0"/>
        <v>0</v>
      </c>
      <c r="Q38" s="300"/>
      <c r="R38" s="301"/>
      <c r="S38" s="278"/>
    </row>
    <row r="39" spans="2:19" ht="11.1" customHeight="1" x14ac:dyDescent="0.2">
      <c r="B39" s="418" t="str">
        <f>Export!R9</f>
        <v/>
      </c>
      <c r="C39" s="292">
        <v>8</v>
      </c>
      <c r="D39" s="292">
        <v>8</v>
      </c>
      <c r="E39" s="331">
        <f>Export!B9</f>
        <v>0</v>
      </c>
      <c r="F39" s="293"/>
      <c r="G39" s="293">
        <f>IF(ISNA(IF(E39="","",VLOOKUP(E39,Rankings!C:E,3,FALSE))),0,IF(E39="","",VLOOKUP(E39,Rankings!C:E,3,FALSE)))</f>
        <v>0</v>
      </c>
      <c r="H39" s="294"/>
      <c r="I39" s="295"/>
      <c r="J39" s="296"/>
      <c r="K39" s="297"/>
      <c r="L39" s="298"/>
      <c r="M39" s="299"/>
      <c r="N39" s="421"/>
      <c r="P39" s="335">
        <f t="shared" si="0"/>
        <v>0</v>
      </c>
      <c r="Q39" s="309"/>
      <c r="R39" s="310"/>
      <c r="S39" s="278"/>
    </row>
    <row r="40" spans="2:19" ht="11.1" customHeight="1" x14ac:dyDescent="0.2">
      <c r="B40" s="419"/>
      <c r="C40" s="302">
        <v>8</v>
      </c>
      <c r="D40" s="302">
        <v>8</v>
      </c>
      <c r="E40" s="332">
        <f>Export!C9</f>
        <v>0</v>
      </c>
      <c r="F40" s="303"/>
      <c r="G40" s="303">
        <f>IF(ISNA(IF(E40="","",VLOOKUP(E40,Rankings!C:E,3,FALSE))),0,IF(E40="","",VLOOKUP(E40,Rankings!C:E,3,FALSE)))</f>
        <v>0</v>
      </c>
      <c r="H40" s="304"/>
      <c r="I40" s="295"/>
      <c r="J40" s="305"/>
      <c r="K40" s="306"/>
      <c r="L40" s="307"/>
      <c r="M40" s="308"/>
      <c r="N40" s="422"/>
      <c r="P40" s="334">
        <f t="shared" si="0"/>
        <v>0</v>
      </c>
      <c r="Q40" s="300"/>
      <c r="R40" s="301"/>
      <c r="S40" s="278"/>
    </row>
    <row r="41" spans="2:19" ht="11.1" customHeight="1" thickBot="1" x14ac:dyDescent="0.25">
      <c r="B41" s="420"/>
      <c r="C41" s="311">
        <v>8</v>
      </c>
      <c r="D41" s="311">
        <v>8</v>
      </c>
      <c r="E41" s="333">
        <f>Export!D9</f>
        <v>0</v>
      </c>
      <c r="F41" s="312"/>
      <c r="G41" s="312">
        <f>IF(ISNA(IF(E41="","",VLOOKUP(E41,Rankings!C:E,3,FALSE))),0,IF(E41="","",VLOOKUP(E41,Rankings!C:E,3,FALSE)))</f>
        <v>0</v>
      </c>
      <c r="H41" s="313"/>
      <c r="I41" s="295"/>
      <c r="J41" s="314"/>
      <c r="K41" s="315"/>
      <c r="L41" s="316"/>
      <c r="M41" s="317"/>
      <c r="N41" s="423"/>
      <c r="P41" s="335">
        <f t="shared" si="0"/>
        <v>0</v>
      </c>
      <c r="Q41" s="309"/>
      <c r="R41" s="310"/>
      <c r="S41" s="278"/>
    </row>
    <row r="42" spans="2:19" ht="11.1" customHeight="1" x14ac:dyDescent="0.2">
      <c r="B42" s="418" t="str">
        <f>Export!R10</f>
        <v/>
      </c>
      <c r="C42" s="292">
        <v>9</v>
      </c>
      <c r="D42" s="292">
        <v>9</v>
      </c>
      <c r="E42" s="331">
        <f>Export!B10</f>
        <v>0</v>
      </c>
      <c r="F42" s="293"/>
      <c r="G42" s="293">
        <f>IF(ISNA(IF(E42="","",VLOOKUP(E42,Rankings!C:E,3,FALSE))),0,IF(E42="","",VLOOKUP(E42,Rankings!C:E,3,FALSE)))</f>
        <v>0</v>
      </c>
      <c r="H42" s="294"/>
      <c r="I42" s="295"/>
      <c r="J42" s="296"/>
      <c r="K42" s="297"/>
      <c r="L42" s="298"/>
      <c r="M42" s="299"/>
      <c r="N42" s="421"/>
      <c r="P42" s="334">
        <f t="shared" si="0"/>
        <v>0</v>
      </c>
      <c r="Q42" s="300"/>
      <c r="R42" s="301"/>
      <c r="S42" s="278"/>
    </row>
    <row r="43" spans="2:19" ht="11.1" customHeight="1" x14ac:dyDescent="0.2">
      <c r="B43" s="419"/>
      <c r="C43" s="302">
        <v>9</v>
      </c>
      <c r="D43" s="302">
        <v>9</v>
      </c>
      <c r="E43" s="332">
        <f>Export!C10</f>
        <v>0</v>
      </c>
      <c r="F43" s="303"/>
      <c r="G43" s="303">
        <f>IF(ISNA(IF(E43="","",VLOOKUP(E43,Rankings!C:E,3,FALSE))),0,IF(E43="","",VLOOKUP(E43,Rankings!C:E,3,FALSE)))</f>
        <v>0</v>
      </c>
      <c r="H43" s="304"/>
      <c r="I43" s="295"/>
      <c r="J43" s="305"/>
      <c r="K43" s="306"/>
      <c r="L43" s="307"/>
      <c r="M43" s="308"/>
      <c r="N43" s="422"/>
      <c r="P43" s="335">
        <f t="shared" si="0"/>
        <v>0</v>
      </c>
      <c r="Q43" s="309"/>
      <c r="R43" s="310"/>
      <c r="S43" s="278"/>
    </row>
    <row r="44" spans="2:19" ht="11.1" customHeight="1" thickBot="1" x14ac:dyDescent="0.25">
      <c r="B44" s="420"/>
      <c r="C44" s="311">
        <v>9</v>
      </c>
      <c r="D44" s="311">
        <v>9</v>
      </c>
      <c r="E44" s="333">
        <f>Export!D10</f>
        <v>0</v>
      </c>
      <c r="F44" s="312"/>
      <c r="G44" s="312">
        <f>IF(ISNA(IF(E44="","",VLOOKUP(E44,Rankings!C:E,3,FALSE))),0,IF(E44="","",VLOOKUP(E44,Rankings!C:E,3,FALSE)))</f>
        <v>0</v>
      </c>
      <c r="H44" s="313"/>
      <c r="I44" s="295"/>
      <c r="J44" s="314"/>
      <c r="K44" s="315"/>
      <c r="L44" s="316"/>
      <c r="M44" s="317"/>
      <c r="N44" s="423"/>
      <c r="P44" s="334">
        <f t="shared" si="0"/>
        <v>0</v>
      </c>
      <c r="Q44" s="300"/>
      <c r="R44" s="301"/>
      <c r="S44" s="278"/>
    </row>
    <row r="45" spans="2:19" ht="11.1" customHeight="1" x14ac:dyDescent="0.2">
      <c r="B45" s="418" t="str">
        <f>Export!R11</f>
        <v/>
      </c>
      <c r="C45" s="292">
        <v>10</v>
      </c>
      <c r="D45" s="292">
        <v>10</v>
      </c>
      <c r="E45" s="331">
        <f>Export!B11</f>
        <v>0</v>
      </c>
      <c r="F45" s="293"/>
      <c r="G45" s="293">
        <f>IF(ISNA(IF(E45="","",VLOOKUP(E45,Rankings!C:E,3,FALSE))),0,IF(E45="","",VLOOKUP(E45,Rankings!C:E,3,FALSE)))</f>
        <v>0</v>
      </c>
      <c r="H45" s="294"/>
      <c r="I45" s="295"/>
      <c r="J45" s="296"/>
      <c r="K45" s="297"/>
      <c r="L45" s="298"/>
      <c r="M45" s="299"/>
      <c r="N45" s="421"/>
      <c r="P45" s="335">
        <f t="shared" si="0"/>
        <v>0</v>
      </c>
      <c r="Q45" s="309"/>
      <c r="R45" s="310"/>
      <c r="S45" s="278"/>
    </row>
    <row r="46" spans="2:19" ht="11.1" customHeight="1" x14ac:dyDescent="0.2">
      <c r="B46" s="419"/>
      <c r="C46" s="302">
        <v>10</v>
      </c>
      <c r="D46" s="302">
        <v>10</v>
      </c>
      <c r="E46" s="332">
        <f>Export!C11</f>
        <v>0</v>
      </c>
      <c r="F46" s="303"/>
      <c r="G46" s="303">
        <f>IF(ISNA(IF(E46="","",VLOOKUP(E46,Rankings!C:E,3,FALSE))),0,IF(E46="","",VLOOKUP(E46,Rankings!C:E,3,FALSE)))</f>
        <v>0</v>
      </c>
      <c r="H46" s="304"/>
      <c r="I46" s="295"/>
      <c r="J46" s="305"/>
      <c r="K46" s="306"/>
      <c r="L46" s="307"/>
      <c r="M46" s="308"/>
      <c r="N46" s="422"/>
      <c r="P46" s="334">
        <f t="shared" si="0"/>
        <v>0</v>
      </c>
      <c r="Q46" s="300"/>
      <c r="R46" s="301"/>
      <c r="S46" s="278"/>
    </row>
    <row r="47" spans="2:19" ht="10.5" customHeight="1" thickBot="1" x14ac:dyDescent="0.25">
      <c r="B47" s="420"/>
      <c r="C47" s="311">
        <v>10</v>
      </c>
      <c r="D47" s="311">
        <v>10</v>
      </c>
      <c r="E47" s="333">
        <f>Export!D11</f>
        <v>0</v>
      </c>
      <c r="F47" s="312"/>
      <c r="G47" s="312">
        <f>IF(ISNA(IF(E47="","",VLOOKUP(E47,Rankings!C:E,3,FALSE))),0,IF(E47="","",VLOOKUP(E47,Rankings!C:E,3,FALSE)))</f>
        <v>0</v>
      </c>
      <c r="H47" s="313"/>
      <c r="I47" s="295"/>
      <c r="J47" s="314"/>
      <c r="K47" s="315"/>
      <c r="L47" s="316"/>
      <c r="M47" s="317"/>
      <c r="N47" s="423"/>
      <c r="P47" s="335">
        <f t="shared" si="0"/>
        <v>0</v>
      </c>
      <c r="Q47" s="309"/>
      <c r="R47" s="310"/>
      <c r="S47" s="278"/>
    </row>
    <row r="48" spans="2:19" ht="9.75" customHeight="1" x14ac:dyDescent="0.2">
      <c r="B48" s="318"/>
      <c r="C48" s="319"/>
      <c r="D48" s="319"/>
      <c r="E48" s="318"/>
      <c r="F48" s="320"/>
      <c r="G48" s="321"/>
      <c r="H48" s="322"/>
      <c r="I48" s="323"/>
      <c r="J48" s="324"/>
      <c r="K48" s="325"/>
      <c r="L48" s="325"/>
      <c r="M48" s="326"/>
      <c r="R48" s="245"/>
      <c r="S48" s="327"/>
    </row>
  </sheetData>
  <mergeCells count="38">
    <mergeCell ref="I11:N11"/>
    <mergeCell ref="I12:N12"/>
    <mergeCell ref="I7:N7"/>
    <mergeCell ref="I2:N2"/>
    <mergeCell ref="I3:N3"/>
    <mergeCell ref="I4:N4"/>
    <mergeCell ref="I5:N5"/>
    <mergeCell ref="I6:N6"/>
    <mergeCell ref="I8:J8"/>
    <mergeCell ref="K8:N8"/>
    <mergeCell ref="I9:J9"/>
    <mergeCell ref="K9:N9"/>
    <mergeCell ref="I10:J10"/>
    <mergeCell ref="K10:N10"/>
    <mergeCell ref="B13:H13"/>
    <mergeCell ref="I13:N13"/>
    <mergeCell ref="P15:R15"/>
    <mergeCell ref="B18:B20"/>
    <mergeCell ref="N18:N20"/>
    <mergeCell ref="P16:R16"/>
    <mergeCell ref="B21:B23"/>
    <mergeCell ref="N21:N23"/>
    <mergeCell ref="B24:B26"/>
    <mergeCell ref="N24:N26"/>
    <mergeCell ref="B27:B29"/>
    <mergeCell ref="N27:N29"/>
    <mergeCell ref="B30:B32"/>
    <mergeCell ref="N30:N32"/>
    <mergeCell ref="B33:B35"/>
    <mergeCell ref="N33:N35"/>
    <mergeCell ref="B45:B47"/>
    <mergeCell ref="N45:N47"/>
    <mergeCell ref="B36:B38"/>
    <mergeCell ref="N36:N38"/>
    <mergeCell ref="B39:B41"/>
    <mergeCell ref="N39:N41"/>
    <mergeCell ref="B42:B44"/>
    <mergeCell ref="N42:N44"/>
  </mergeCells>
  <pageMargins left="0.70866141732283472" right="0.70866141732283472" top="0.78740157480314965" bottom="0.78740157480314965" header="0.31496062992125984" footer="0.31496062992125984"/>
  <pageSetup paperSize="9" orientation="landscape" horizontalDpi="1200" verticalDpi="1200" r:id="rId1"/>
  <headerFooter>
    <oddHeader>&amp;A</oddHeader>
    <oddFooter>Seite &amp;P von &amp;N</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Results">
    <tabColor theme="4" tint="-0.249977111117893"/>
  </sheetPr>
  <dimension ref="A1:AF32"/>
  <sheetViews>
    <sheetView showGridLines="0" showRowColHeaders="0" showZeros="0" showRuler="0" zoomScaleNormal="100" zoomScaleSheetLayoutView="100" zoomScalePageLayoutView="85" workbookViewId="0">
      <selection activeCell="B7" sqref="B7"/>
    </sheetView>
  </sheetViews>
  <sheetFormatPr defaultColWidth="9.140625" defaultRowHeight="15" x14ac:dyDescent="0.25"/>
  <cols>
    <col min="1" max="1" width="4.28515625" style="13" customWidth="1"/>
    <col min="2" max="2" width="45.42578125" customWidth="1"/>
    <col min="3" max="5" width="7.85546875" style="1" customWidth="1"/>
    <col min="6" max="6" width="5" style="2" customWidth="1"/>
    <col min="7" max="7" width="2.85546875" style="2" customWidth="1"/>
    <col min="8" max="8" width="5" style="2" customWidth="1"/>
    <col min="9" max="9" width="3" style="2" customWidth="1"/>
    <col min="10" max="10" width="5" style="2" customWidth="1"/>
    <col min="11" max="11" width="3.42578125" style="2" customWidth="1"/>
    <col min="12" max="15" width="7.28515625" style="2" customWidth="1"/>
    <col min="16" max="18" width="7.28515625" customWidth="1"/>
    <col min="19" max="19" width="7.28515625" style="2" hidden="1" customWidth="1"/>
    <col min="20" max="22" width="7.28515625" hidden="1" customWidth="1"/>
    <col min="23" max="23" width="7.28515625" customWidth="1"/>
    <col min="24" max="24" width="3.85546875" customWidth="1"/>
    <col min="25" max="28" width="2" customWidth="1"/>
    <col min="29" max="260" width="11.42578125" customWidth="1"/>
  </cols>
  <sheetData>
    <row r="1" spans="1:32" ht="30" customHeight="1" x14ac:dyDescent="0.5">
      <c r="A1" s="455" t="str">
        <f>Starterlist!A1</f>
        <v>FPAW 2018</v>
      </c>
      <c r="B1" s="456"/>
      <c r="C1" s="456"/>
      <c r="D1" s="22" t="s">
        <v>13</v>
      </c>
      <c r="F1" s="22"/>
      <c r="G1" s="22"/>
      <c r="H1" s="10"/>
      <c r="I1" s="10"/>
      <c r="L1" s="22" t="s">
        <v>14</v>
      </c>
      <c r="M1" s="29"/>
      <c r="N1" s="29"/>
      <c r="P1" s="3" t="str">
        <f>Starterlist!F3</f>
        <v>Pool</v>
      </c>
      <c r="Q1" s="385"/>
      <c r="U1" s="3"/>
    </row>
    <row r="2" spans="1:32" ht="19.5" customHeight="1" x14ac:dyDescent="0.35">
      <c r="A2" s="457" t="str">
        <f>Starterlist!A2</f>
        <v>Trnava, Slowakia</v>
      </c>
      <c r="B2" s="456"/>
      <c r="C2" s="456"/>
      <c r="D2" s="30" t="str">
        <f>Starterlist!B4</f>
        <v>Open Pairs</v>
      </c>
      <c r="F2" s="30"/>
      <c r="G2" s="30"/>
      <c r="H2" s="30"/>
      <c r="I2" s="30"/>
      <c r="L2" s="30" t="str">
        <f>Starterlist!D4</f>
        <v>Semi-Final</v>
      </c>
      <c r="M2" s="30"/>
      <c r="N2" s="30"/>
      <c r="O2" s="4"/>
      <c r="P2" s="4" t="str">
        <f>Starterlist!F4</f>
        <v>A</v>
      </c>
      <c r="Q2" s="4"/>
      <c r="S2" s="4"/>
      <c r="U2" s="4"/>
    </row>
    <row r="3" spans="1:32" ht="8.25" customHeight="1" thickBot="1" x14ac:dyDescent="0.3">
      <c r="B3" s="22"/>
      <c r="C3" s="10"/>
      <c r="D3" s="10"/>
      <c r="E3" s="10"/>
      <c r="F3" s="29"/>
      <c r="G3" s="29"/>
      <c r="H3" s="29"/>
      <c r="I3" s="29"/>
      <c r="J3" s="29"/>
      <c r="K3" s="29"/>
      <c r="L3" s="29"/>
      <c r="M3" s="29"/>
      <c r="N3" s="29"/>
    </row>
    <row r="4" spans="1:32" ht="71.25" customHeight="1" thickBot="1" x14ac:dyDescent="0.3">
      <c r="B4" s="22"/>
      <c r="C4" s="71">
        <f>Starterlist!J13</f>
        <v>0</v>
      </c>
      <c r="D4" s="71">
        <f>Starterlist!J14</f>
        <v>0</v>
      </c>
      <c r="E4" s="70">
        <f>Starterlist!J15</f>
        <v>0</v>
      </c>
      <c r="F4" s="152">
        <f>Starterlist!J16</f>
        <v>0</v>
      </c>
      <c r="G4" s="153"/>
      <c r="H4" s="152">
        <f>Starterlist!J17</f>
        <v>0</v>
      </c>
      <c r="I4" s="153"/>
      <c r="J4" s="152">
        <f>Starterlist!J18</f>
        <v>0</v>
      </c>
      <c r="K4" s="153"/>
      <c r="L4" s="70">
        <f>Starterlist!J19</f>
        <v>0</v>
      </c>
      <c r="M4" s="70">
        <f>Starterlist!J20</f>
        <v>0</v>
      </c>
      <c r="N4" s="70">
        <f>Starterlist!J21</f>
        <v>0</v>
      </c>
      <c r="O4" s="73" t="s">
        <v>1</v>
      </c>
      <c r="P4" s="74" t="s">
        <v>2</v>
      </c>
      <c r="Q4" s="75" t="s">
        <v>3</v>
      </c>
      <c r="R4" s="52"/>
      <c r="S4" s="73" t="s">
        <v>1</v>
      </c>
      <c r="T4" s="74" t="s">
        <v>2</v>
      </c>
      <c r="U4" s="75" t="s">
        <v>3</v>
      </c>
      <c r="V4" s="52"/>
      <c r="W4" s="52"/>
      <c r="Y4" s="22"/>
      <c r="Z4" s="22"/>
      <c r="AA4" s="22"/>
      <c r="AB4" s="22"/>
      <c r="AC4" s="22"/>
      <c r="AD4" s="22"/>
      <c r="AE4" s="22"/>
      <c r="AF4" s="22"/>
    </row>
    <row r="5" spans="1:32" ht="20.25" customHeight="1" thickBot="1" x14ac:dyDescent="0.4">
      <c r="A5" s="19" t="s">
        <v>9</v>
      </c>
      <c r="B5" s="23" t="s">
        <v>16</v>
      </c>
      <c r="C5" s="53" t="s">
        <v>5</v>
      </c>
      <c r="D5" s="54" t="s">
        <v>6</v>
      </c>
      <c r="E5" s="54" t="s">
        <v>26</v>
      </c>
      <c r="F5" s="458" t="s">
        <v>7</v>
      </c>
      <c r="G5" s="459"/>
      <c r="H5" s="460" t="s">
        <v>8</v>
      </c>
      <c r="I5" s="459"/>
      <c r="J5" s="460" t="s">
        <v>27</v>
      </c>
      <c r="K5" s="461"/>
      <c r="L5" s="55" t="s">
        <v>52</v>
      </c>
      <c r="M5" s="56" t="s">
        <v>53</v>
      </c>
      <c r="N5" s="72" t="s">
        <v>28</v>
      </c>
      <c r="O5" s="77"/>
      <c r="P5" s="78"/>
      <c r="Q5" s="76"/>
      <c r="R5" s="69" t="s">
        <v>4</v>
      </c>
      <c r="S5" s="77"/>
      <c r="T5" s="78"/>
      <c r="U5" s="76"/>
      <c r="V5" s="69" t="s">
        <v>4</v>
      </c>
      <c r="W5" s="68" t="s">
        <v>0</v>
      </c>
      <c r="Y5" s="22"/>
      <c r="Z5" s="22"/>
      <c r="AA5" s="22"/>
      <c r="AB5" s="22"/>
      <c r="AC5" s="22"/>
      <c r="AD5" s="22"/>
      <c r="AE5" s="22"/>
      <c r="AF5" s="22"/>
    </row>
    <row r="6" spans="1:32" ht="46.5" customHeight="1" thickBot="1" x14ac:dyDescent="0.3">
      <c r="A6" s="86">
        <v>1</v>
      </c>
      <c r="B6" s="233" t="str">
        <f>(Starterlist!B13)&amp;CHAR(10)&amp;(Starterlist!D13)&amp;CHAR(10)&amp;(Starterlist!F13)</f>
        <v xml:space="preserve">
</v>
      </c>
      <c r="C6" s="130" t="str">
        <f>IF(COUNTA(Starterlist!J$13)&gt;0,'EX 1'!H6,"")</f>
        <v/>
      </c>
      <c r="D6" s="131" t="str">
        <f>IF(COUNTA(Starterlist!J$14)&gt;0,'EX 2'!H6,"")</f>
        <v/>
      </c>
      <c r="E6" s="132" t="str">
        <f>IF(COUNTA(Starterlist!J$15)&gt;0,'EX 3'!H6,"")</f>
        <v/>
      </c>
      <c r="F6" s="160" t="str">
        <f>IF(COUNTA(Starterlist!J$16)&gt;0,'AI 1'!J6:J6,"")</f>
        <v/>
      </c>
      <c r="G6" s="229" t="str">
        <f>IF(COUNTA(Starterlist!J$16)&gt;0,('AI 1'!C6)&amp;CHAR(10)&amp;('AI 1'!D6)&amp;CHAR(10)&amp;('AI 1'!E6)&amp;CHAR(10)&amp;('AI 1'!F6)&amp;CHAR(10)&amp;('AI 1'!G6)&amp;CHAR(10)&amp;('AI 1'!H6),"")</f>
        <v/>
      </c>
      <c r="H6" s="162" t="str">
        <f>IF(COUNTA(Starterlist!J$17)&gt;0,'AI 2'!J6:J6,"")</f>
        <v/>
      </c>
      <c r="I6" s="229" t="str">
        <f>IF(COUNTA(Starterlist!J$16)&gt;0,('AI 2'!C6)&amp;CHAR(10)&amp;('AI 2'!D6)&amp;CHAR(10)&amp;('AI 2'!E6)&amp;CHAR(10)&amp;('AI 2'!F6)&amp;CHAR(10)&amp;('AI 2'!G6)&amp;CHAR(10)&amp;('AI 2'!H6),"")</f>
        <v/>
      </c>
      <c r="J6" s="162" t="str">
        <f>IF(COUNTA(Starterlist!J$18)&gt;0,'AI 3'!J6:J6,"")</f>
        <v/>
      </c>
      <c r="K6" s="229" t="str">
        <f>IF(COUNTA(Starterlist!J$16)&gt;0,('AI 3'!C6)&amp;CHAR(10)&amp;('AI 3'!D6)&amp;CHAR(10)&amp;('AI 3'!E6)&amp;CHAR(10)&amp;('AI 3'!F6)&amp;CHAR(10)&amp;('AI 3'!G6)&amp;CHAR(10)&amp;('AI 3'!H6),"")</f>
        <v/>
      </c>
      <c r="L6" s="133" t="str">
        <f>IF(COUNTA(Starterlist!J$19)&gt;0,'DIF 1'!Y6:Y6,"")</f>
        <v/>
      </c>
      <c r="M6" s="131" t="str">
        <f>IF(COUNTA(Starterlist!J$20)&gt;0,'DIF 2'!Y6:Y6,"")</f>
        <v/>
      </c>
      <c r="N6" s="132" t="str">
        <f>IF(COUNTA(Starterlist!J$21)&gt;0,'DIF 3'!Y6:Y6,"")</f>
        <v/>
      </c>
      <c r="O6" s="84">
        <f>Export!N2</f>
        <v>0</v>
      </c>
      <c r="P6" s="85">
        <f>Export!O2</f>
        <v>0</v>
      </c>
      <c r="Q6" s="82">
        <f>Export!P2</f>
        <v>0</v>
      </c>
      <c r="R6" s="81">
        <f>Export!Q2</f>
        <v>0</v>
      </c>
      <c r="S6" s="84">
        <f t="shared" ref="S6:S15" si="0">SUM(C6:E6)</f>
        <v>0</v>
      </c>
      <c r="T6" s="85">
        <f t="shared" ref="T6:T15" si="1">SUM(F6:J6)</f>
        <v>0</v>
      </c>
      <c r="U6" s="82">
        <f t="shared" ref="U6:U15" si="2">SUM(L6:N6)</f>
        <v>0</v>
      </c>
      <c r="V6" s="81">
        <f t="shared" ref="V6:V15" si="3">SUM(S6:U6)</f>
        <v>0</v>
      </c>
      <c r="W6" s="83" t="str">
        <f>IF(V6=0,"",RANK(V6,V$6:V$15))</f>
        <v/>
      </c>
      <c r="X6" s="151"/>
      <c r="Y6" s="22"/>
      <c r="Z6" s="22"/>
      <c r="AA6" s="22"/>
      <c r="AB6" s="22"/>
      <c r="AC6" s="22"/>
      <c r="AD6" s="22"/>
      <c r="AE6" s="22"/>
      <c r="AF6" s="22"/>
    </row>
    <row r="7" spans="1:32" ht="46.5" customHeight="1" thickBot="1" x14ac:dyDescent="0.3">
      <c r="A7" s="231">
        <v>2</v>
      </c>
      <c r="B7" s="233" t="str">
        <f>(Starterlist!B14)&amp;CHAR(10)&amp;(Starterlist!D14)&amp;CHAR(10)&amp;(Starterlist!F14)</f>
        <v xml:space="preserve">
</v>
      </c>
      <c r="C7" s="130" t="str">
        <f>IF(COUNTA(Starterlist!J$13)&gt;0,'EX 1'!H7,"")</f>
        <v/>
      </c>
      <c r="D7" s="131" t="str">
        <f>IF(COUNTA(Starterlist!J$14)&gt;0,'EX 2'!H7,"")</f>
        <v/>
      </c>
      <c r="E7" s="132" t="str">
        <f>IF(COUNTA(Starterlist!J$15)&gt;0,'EX 3'!H7,"")</f>
        <v/>
      </c>
      <c r="F7" s="160" t="str">
        <f>IF(COUNTA(Starterlist!J$16)&gt;0,'AI 1'!J7:J7,"")</f>
        <v/>
      </c>
      <c r="G7" s="229" t="str">
        <f>IF(COUNTA(Starterlist!J$16)&gt;0,('AI 1'!C7)&amp;CHAR(10)&amp;('AI 1'!D7)&amp;CHAR(10)&amp;('AI 1'!E7)&amp;CHAR(10)&amp;('AI 1'!F7)&amp;CHAR(10)&amp;('AI 1'!G7)&amp;CHAR(10)&amp;('AI 1'!H7),"")</f>
        <v/>
      </c>
      <c r="H7" s="162" t="str">
        <f>IF(COUNTA(Starterlist!J$17)&gt;0,'AI 2'!J7:J7,"")</f>
        <v/>
      </c>
      <c r="I7" s="229" t="str">
        <f>IF(COUNTA(Starterlist!J$16)&gt;0,('AI 2'!C7)&amp;CHAR(10)&amp;('AI 2'!D7)&amp;CHAR(10)&amp;('AI 2'!E7)&amp;CHAR(10)&amp;('AI 2'!F7)&amp;CHAR(10)&amp;('AI 2'!G7)&amp;CHAR(10)&amp;('AI 2'!H7),"")</f>
        <v/>
      </c>
      <c r="J7" s="162" t="str">
        <f>IF(COUNTA(Starterlist!J$18)&gt;0,'AI 3'!J7:J7,"")</f>
        <v/>
      </c>
      <c r="K7" s="229" t="str">
        <f>IF(COUNTA(Starterlist!J$16)&gt;0,('AI 3'!C7)&amp;CHAR(10)&amp;('AI 3'!D7)&amp;CHAR(10)&amp;('AI 3'!E7)&amp;CHAR(10)&amp;('AI 3'!F7)&amp;CHAR(10)&amp;('AI 3'!G7)&amp;CHAR(10)&amp;('AI 3'!H7),"")</f>
        <v/>
      </c>
      <c r="L7" s="133" t="str">
        <f>IF(COUNTA(Starterlist!J$19)&gt;0,'DIF 1'!Y8:Y8,"")</f>
        <v/>
      </c>
      <c r="M7" s="131" t="str">
        <f>IF(COUNTA(Starterlist!J$20)&gt;0,'DIF 2'!Y8:Y8,"")</f>
        <v/>
      </c>
      <c r="N7" s="132" t="str">
        <f>IF(COUNTA(Starterlist!J$21)&gt;0,'DIF 3'!Y8:Y8,"")</f>
        <v/>
      </c>
      <c r="O7" s="84">
        <f>Export!N3</f>
        <v>0</v>
      </c>
      <c r="P7" s="85">
        <f>Export!O3</f>
        <v>0</v>
      </c>
      <c r="Q7" s="82">
        <f>Export!P3</f>
        <v>0</v>
      </c>
      <c r="R7" s="81">
        <f>Export!Q3</f>
        <v>0</v>
      </c>
      <c r="S7" s="84">
        <f t="shared" si="0"/>
        <v>0</v>
      </c>
      <c r="T7" s="85">
        <f t="shared" si="1"/>
        <v>0</v>
      </c>
      <c r="U7" s="82">
        <f t="shared" si="2"/>
        <v>0</v>
      </c>
      <c r="V7" s="81">
        <f t="shared" si="3"/>
        <v>0</v>
      </c>
      <c r="W7" s="83" t="str">
        <f t="shared" ref="W7:W15" si="4">IF(V7=0,"",RANK(V7,V$6:V$15))</f>
        <v/>
      </c>
      <c r="Y7" s="39"/>
      <c r="Z7" s="22"/>
      <c r="AA7" s="22"/>
      <c r="AB7" s="22"/>
      <c r="AC7" s="22"/>
      <c r="AD7" s="22"/>
      <c r="AE7" s="22"/>
      <c r="AF7" s="22"/>
    </row>
    <row r="8" spans="1:32" ht="46.5" customHeight="1" thickBot="1" x14ac:dyDescent="0.3">
      <c r="A8" s="231">
        <v>3</v>
      </c>
      <c r="B8" s="233" t="str">
        <f>(Starterlist!B15)&amp;CHAR(10)&amp;(Starterlist!D15)&amp;CHAR(10)&amp;(Starterlist!F15)</f>
        <v xml:space="preserve">
</v>
      </c>
      <c r="C8" s="130" t="str">
        <f>IF(COUNTA(Starterlist!J$13)&gt;0,'EX 1'!H8,"")</f>
        <v/>
      </c>
      <c r="D8" s="131" t="str">
        <f>IF(COUNTA(Starterlist!J$14)&gt;0,'EX 2'!H8,"")</f>
        <v/>
      </c>
      <c r="E8" s="132" t="str">
        <f>IF(COUNTA(Starterlist!J$15)&gt;0,'EX 3'!H8,"")</f>
        <v/>
      </c>
      <c r="F8" s="160" t="str">
        <f>IF(COUNTA(Starterlist!J$16)&gt;0,'AI 1'!J8:J8,"")</f>
        <v/>
      </c>
      <c r="G8" s="229" t="str">
        <f>IF(COUNTA(Starterlist!J$16)&gt;0,('AI 1'!C8)&amp;CHAR(10)&amp;('AI 1'!D8)&amp;CHAR(10)&amp;('AI 1'!E8)&amp;CHAR(10)&amp;('AI 1'!F8)&amp;CHAR(10)&amp;('AI 1'!G8)&amp;CHAR(10)&amp;('AI 1'!H8),"")</f>
        <v/>
      </c>
      <c r="H8" s="162" t="str">
        <f>IF(COUNTA(Starterlist!J$17)&gt;0,'AI 2'!J8:J8,"")</f>
        <v/>
      </c>
      <c r="I8" s="229" t="str">
        <f>IF(COUNTA(Starterlist!J$16)&gt;0,('AI 2'!C8)&amp;CHAR(10)&amp;('AI 2'!D8)&amp;CHAR(10)&amp;('AI 2'!E8)&amp;CHAR(10)&amp;('AI 2'!F8)&amp;CHAR(10)&amp;('AI 2'!G8)&amp;CHAR(10)&amp;('AI 1'!H8),"")</f>
        <v/>
      </c>
      <c r="J8" s="162" t="str">
        <f>IF(COUNTA(Starterlist!J$18)&gt;0,'AI 3'!J8:J8,"")</f>
        <v/>
      </c>
      <c r="K8" s="229" t="str">
        <f>IF(COUNTA(Starterlist!J$16)&gt;0,('AI 3'!C8)&amp;CHAR(10)&amp;('AI 3'!D8)&amp;CHAR(10)&amp;('AI 3'!E8)&amp;CHAR(10)&amp;('AI 3'!F8)&amp;CHAR(10)&amp;('AI 3'!G8)&amp;CHAR(10)&amp;('AI 3'!H8),"")</f>
        <v/>
      </c>
      <c r="L8" s="133" t="str">
        <f>IF(COUNTA(Starterlist!J$19)&gt;0,'DIF 1'!Y10:Y10,"")</f>
        <v/>
      </c>
      <c r="M8" s="131" t="str">
        <f>IF(COUNTA(Starterlist!J$20)&gt;0,'DIF 2'!Y10:Y10,"")</f>
        <v/>
      </c>
      <c r="N8" s="132" t="str">
        <f>IF(COUNTA(Starterlist!J$21)&gt;0,'DIF 3'!Y10:Y10,"")</f>
        <v/>
      </c>
      <c r="O8" s="84">
        <f>Export!N4</f>
        <v>0</v>
      </c>
      <c r="P8" s="85">
        <f>Export!O4</f>
        <v>0</v>
      </c>
      <c r="Q8" s="82">
        <f>Export!P4</f>
        <v>0</v>
      </c>
      <c r="R8" s="81">
        <f>Export!Q4</f>
        <v>0</v>
      </c>
      <c r="S8" s="84">
        <f t="shared" si="0"/>
        <v>0</v>
      </c>
      <c r="T8" s="85">
        <f t="shared" si="1"/>
        <v>0</v>
      </c>
      <c r="U8" s="82">
        <f t="shared" si="2"/>
        <v>0</v>
      </c>
      <c r="V8" s="81">
        <f t="shared" si="3"/>
        <v>0</v>
      </c>
      <c r="W8" s="83" t="str">
        <f t="shared" si="4"/>
        <v/>
      </c>
      <c r="Y8" s="38"/>
      <c r="Z8" s="22"/>
      <c r="AA8" s="22"/>
      <c r="AB8" s="22"/>
      <c r="AC8" s="22"/>
      <c r="AD8" s="22"/>
      <c r="AE8" s="22"/>
      <c r="AF8" s="22"/>
    </row>
    <row r="9" spans="1:32" ht="46.5" customHeight="1" thickBot="1" x14ac:dyDescent="0.3">
      <c r="A9" s="97">
        <v>4</v>
      </c>
      <c r="B9" s="112" t="str">
        <f>(Starterlist!B16)&amp;CHAR(10)&amp;(Starterlist!D16)&amp;CHAR(10)&amp;(Starterlist!F16)</f>
        <v xml:space="preserve">
</v>
      </c>
      <c r="C9" s="134" t="str">
        <f>IF(COUNTA(Starterlist!J$13)&gt;0,'EX 1'!H9,"")</f>
        <v/>
      </c>
      <c r="D9" s="135" t="str">
        <f>IF(COUNTA(Starterlist!J$14)&gt;0,'EX 2'!H9,"")</f>
        <v/>
      </c>
      <c r="E9" s="136" t="str">
        <f>IF(COUNTA(Starterlist!J$15)&gt;0,'EX 3'!H9,"")</f>
        <v/>
      </c>
      <c r="F9" s="161" t="str">
        <f>IF(COUNTA(Starterlist!J$16)&gt;0,'AI 1'!J9:J9,"")</f>
        <v/>
      </c>
      <c r="G9" s="229" t="str">
        <f>IF(COUNTA(Starterlist!J$16)&gt;0,('AI 1'!C9)&amp;CHAR(10)&amp;('AI 1'!D9)&amp;CHAR(10)&amp;('AI 1'!E9)&amp;CHAR(10)&amp;('AI 1'!F9)&amp;CHAR(10)&amp;('AI 1'!G9)&amp;CHAR(10)&amp;('AI 1'!H9),"")</f>
        <v/>
      </c>
      <c r="H9" s="163" t="str">
        <f>IF(COUNTA(Starterlist!J$17)&gt;0,'AI 2'!J9:J9,"")</f>
        <v/>
      </c>
      <c r="I9" s="229" t="str">
        <f>IF(COUNTA(Starterlist!J$16)&gt;0,('AI 2'!C9)&amp;CHAR(10)&amp;('AI 2'!D9)&amp;CHAR(10)&amp;('AI 2'!E9)&amp;CHAR(10)&amp;('AI 2'!F9)&amp;CHAR(10)&amp;('AI 2'!G9)&amp;CHAR(10)&amp;('AI 2'!H9),"")</f>
        <v/>
      </c>
      <c r="J9" s="163" t="str">
        <f>IF(COUNTA(Starterlist!J$18)&gt;0,'AI 3'!J9:J9,"")</f>
        <v/>
      </c>
      <c r="K9" s="229" t="str">
        <f>IF(COUNTA(Starterlist!J$16)&gt;0,('AI 3'!C9)&amp;CHAR(10)&amp;('AI 3'!D9)&amp;CHAR(10)&amp;('AI 3'!E9)&amp;CHAR(10)&amp;('AI 3'!F9)&amp;CHAR(10)&amp;('AI 3'!G9)&amp;CHAR(10)&amp;('AI 3'!H9),"")</f>
        <v/>
      </c>
      <c r="L9" s="137" t="str">
        <f>IF(COUNTA(Starterlist!J$19)&gt;0,'DIF 1'!Y12:Y12,"")</f>
        <v/>
      </c>
      <c r="M9" s="135" t="str">
        <f>IF(COUNTA(Starterlist!J$20)&gt;0,'DIF 2'!Y12:Y12,"")</f>
        <v/>
      </c>
      <c r="N9" s="136" t="str">
        <f>IF(COUNTA(Starterlist!J$21)&gt;0,'DIF 3'!Y12:Y12,"")</f>
        <v/>
      </c>
      <c r="O9" s="84">
        <f>Export!N5</f>
        <v>0</v>
      </c>
      <c r="P9" s="85">
        <f>Export!O5</f>
        <v>0</v>
      </c>
      <c r="Q9" s="82">
        <f>Export!P5</f>
        <v>0</v>
      </c>
      <c r="R9" s="81">
        <f>Export!Q5</f>
        <v>0</v>
      </c>
      <c r="S9" s="98">
        <f t="shared" si="0"/>
        <v>0</v>
      </c>
      <c r="T9" s="99">
        <f t="shared" si="1"/>
        <v>0</v>
      </c>
      <c r="U9" s="100">
        <f t="shared" si="2"/>
        <v>0</v>
      </c>
      <c r="V9" s="101">
        <f t="shared" si="3"/>
        <v>0</v>
      </c>
      <c r="W9" s="102" t="str">
        <f t="shared" si="4"/>
        <v/>
      </c>
      <c r="Y9" s="38"/>
      <c r="Z9" s="22"/>
      <c r="AA9" s="22"/>
      <c r="AB9" s="22"/>
      <c r="AC9" s="22"/>
      <c r="AD9" s="22"/>
      <c r="AE9" s="22"/>
      <c r="AF9" s="22"/>
    </row>
    <row r="10" spans="1:32" ht="46.5" customHeight="1" thickBot="1" x14ac:dyDescent="0.3">
      <c r="A10" s="232">
        <v>5</v>
      </c>
      <c r="B10" s="234" t="str">
        <f>(Starterlist!B17)&amp;CHAR(10)&amp;(Starterlist!D17)&amp;CHAR(10)&amp;(Starterlist!F17)</f>
        <v xml:space="preserve">
</v>
      </c>
      <c r="C10" s="209" t="str">
        <f>IF(COUNTA(Starterlist!J$13)&gt;0,'EX 1'!H10,"")</f>
        <v/>
      </c>
      <c r="D10" s="210" t="str">
        <f>IF(COUNTA(Starterlist!J$14)&gt;0,'EX 2'!H10,"")</f>
        <v/>
      </c>
      <c r="E10" s="211" t="str">
        <f>IF(COUNTA(Starterlist!J$15)&gt;0,'EX 3'!H10,"")</f>
        <v/>
      </c>
      <c r="F10" s="212" t="str">
        <f>IF(COUNTA(Starterlist!J$16)&gt;0,'AI 1'!J10:J10,"")</f>
        <v/>
      </c>
      <c r="G10" s="229" t="str">
        <f>IF(COUNTA(Starterlist!J$16)&gt;0,('AI 1'!C10)&amp;CHAR(10)&amp;('AI 1'!D10)&amp;CHAR(10)&amp;('AI 1'!E10)&amp;CHAR(10)&amp;('AI 1'!F10)&amp;CHAR(10)&amp;('AI 1'!G10)&amp;CHAR(10)&amp;('AI 1'!H10),"")</f>
        <v/>
      </c>
      <c r="H10" s="213" t="str">
        <f>IF(COUNTA(Starterlist!J$17)&gt;0,'AI 2'!J10:J10,"")</f>
        <v/>
      </c>
      <c r="I10" s="229" t="str">
        <f>IF(COUNTA(Starterlist!J$16)&gt;0,('AI 2'!C10)&amp;CHAR(10)&amp;('AI 2'!D10)&amp;CHAR(10)&amp;('AI 2'!E10)&amp;CHAR(10)&amp;('AI 2'!F10)&amp;CHAR(10)&amp;('AI 2'!G10)&amp;CHAR(10)&amp;('AI 2'!H10),"")</f>
        <v/>
      </c>
      <c r="J10" s="213" t="str">
        <f>IF(COUNTA(Starterlist!J$18)&gt;0,'AI 3'!J10:J10,"")</f>
        <v/>
      </c>
      <c r="K10" s="229" t="str">
        <f>IF(COUNTA(Starterlist!J$16)&gt;0,('AI 3'!C10)&amp;CHAR(10)&amp;('AI 3'!D10)&amp;CHAR(10)&amp;('AI 3'!E10)&amp;CHAR(10)&amp;('AI 3'!F10)&amp;CHAR(10)&amp;('AI 3'!G10)&amp;CHAR(10)&amp;('AI 3'!H10),"")</f>
        <v/>
      </c>
      <c r="L10" s="137" t="str">
        <f>IF(COUNTA(Starterlist!J$19)&gt;0,'DIF 1'!Y14:Y14,"")</f>
        <v/>
      </c>
      <c r="M10" s="135" t="str">
        <f>IF(COUNTA(Starterlist!J$20)&gt;0,'DIF 2'!Y14:Y14,"")</f>
        <v/>
      </c>
      <c r="N10" s="136" t="str">
        <f>IF(COUNTA(Starterlist!J$21)&gt;0,'DIF 3'!Y14:Y14,"")</f>
        <v/>
      </c>
      <c r="O10" s="84">
        <f>Export!N6</f>
        <v>0</v>
      </c>
      <c r="P10" s="85">
        <f>Export!O6</f>
        <v>0</v>
      </c>
      <c r="Q10" s="82">
        <f>Export!P6</f>
        <v>0</v>
      </c>
      <c r="R10" s="81">
        <f>Export!Q6</f>
        <v>0</v>
      </c>
      <c r="S10" s="98">
        <f t="shared" si="0"/>
        <v>0</v>
      </c>
      <c r="T10" s="99">
        <f t="shared" si="1"/>
        <v>0</v>
      </c>
      <c r="U10" s="100">
        <f t="shared" si="2"/>
        <v>0</v>
      </c>
      <c r="V10" s="101">
        <f t="shared" si="3"/>
        <v>0</v>
      </c>
      <c r="W10" s="102" t="str">
        <f t="shared" si="4"/>
        <v/>
      </c>
      <c r="Y10" s="39"/>
      <c r="Z10" s="22"/>
      <c r="AA10" s="22"/>
      <c r="AB10" s="22"/>
      <c r="AC10" s="22"/>
      <c r="AD10" s="22"/>
      <c r="AE10" s="22"/>
      <c r="AF10" s="22"/>
    </row>
    <row r="11" spans="1:32" ht="46.5" customHeight="1" thickBot="1" x14ac:dyDescent="0.3">
      <c r="A11" s="97">
        <v>6</v>
      </c>
      <c r="B11" s="112" t="str">
        <f>(Starterlist!B18)&amp;CHAR(10)&amp;(Starterlist!D18)&amp;CHAR(10)&amp;(Starterlist!F18)</f>
        <v xml:space="preserve">
</v>
      </c>
      <c r="C11" s="134" t="str">
        <f>IF(COUNTA(Starterlist!J$13)&gt;0,'EX 1'!H11,"")</f>
        <v/>
      </c>
      <c r="D11" s="135" t="str">
        <f>IF(COUNTA(Starterlist!J$14)&gt;0,'EX 2'!H11,"")</f>
        <v/>
      </c>
      <c r="E11" s="136" t="str">
        <f>IF(COUNTA(Starterlist!J$15)&gt;0,'EX 3'!H11,"")</f>
        <v/>
      </c>
      <c r="F11" s="161" t="str">
        <f>IF(COUNTA(Starterlist!J$16)&gt;0,'AI 1'!J11:J11,"")</f>
        <v/>
      </c>
      <c r="G11" s="229" t="str">
        <f>IF(COUNTA(Starterlist!J$16)&gt;0,('AI 1'!C11)&amp;CHAR(10)&amp;('AI 1'!D11)&amp;CHAR(10)&amp;('AI 1'!E11)&amp;CHAR(10)&amp;('AI 1'!F11)&amp;CHAR(10)&amp;('AI 1'!G11)&amp;CHAR(10)&amp;('AI 1'!H11),"")</f>
        <v/>
      </c>
      <c r="H11" s="163" t="str">
        <f>IF(COUNTA(Starterlist!J$17)&gt;0,'AI 2'!J11:J11,"")</f>
        <v/>
      </c>
      <c r="I11" s="229" t="str">
        <f>IF(COUNTA(Starterlist!J$16)&gt;0,('AI 2'!C11)&amp;CHAR(10)&amp;('AI 2'!D11)&amp;CHAR(10)&amp;('AI 2'!E11)&amp;CHAR(10)&amp;('AI 2'!F11)&amp;CHAR(10)&amp;('AI 2'!G11)&amp;CHAR(10)&amp;('AI 2'!H11),"")</f>
        <v/>
      </c>
      <c r="J11" s="163" t="str">
        <f>IF(COUNTA(Starterlist!J$18)&gt;0,'AI 3'!J11:J11,"")</f>
        <v/>
      </c>
      <c r="K11" s="229" t="str">
        <f>IF(COUNTA(Starterlist!J$16)&gt;0,('AI 3'!C11)&amp;CHAR(10)&amp;('AI 3'!D11)&amp;CHAR(10)&amp;('AI 3'!E11)&amp;CHAR(10)&amp;('AI 3'!F11)&amp;CHAR(10)&amp;('AI 3'!G11)&amp;CHAR(10)&amp;('AI 3'!H11),"")</f>
        <v/>
      </c>
      <c r="L11" s="137" t="str">
        <f>IF(COUNTA(Starterlist!J$19)&gt;0,'DIF 1'!Y16:Y16,"")</f>
        <v/>
      </c>
      <c r="M11" s="135" t="str">
        <f>IF(COUNTA(Starterlist!J$20)&gt;0,'DIF 2'!Y16:Y16,"")</f>
        <v/>
      </c>
      <c r="N11" s="136" t="str">
        <f>IF(COUNTA(Starterlist!J$21)&gt;0,'DIF 3'!Y16:Y16,"")</f>
        <v/>
      </c>
      <c r="O11" s="84">
        <f>Export!N7</f>
        <v>0</v>
      </c>
      <c r="P11" s="85">
        <f>Export!O7</f>
        <v>0</v>
      </c>
      <c r="Q11" s="82">
        <f>Export!P7</f>
        <v>0</v>
      </c>
      <c r="R11" s="81">
        <f>Export!Q7</f>
        <v>0</v>
      </c>
      <c r="S11" s="98">
        <f t="shared" si="0"/>
        <v>0</v>
      </c>
      <c r="T11" s="99">
        <f t="shared" si="1"/>
        <v>0</v>
      </c>
      <c r="U11" s="100">
        <f t="shared" si="2"/>
        <v>0</v>
      </c>
      <c r="V11" s="101">
        <f t="shared" si="3"/>
        <v>0</v>
      </c>
      <c r="W11" s="83" t="str">
        <f t="shared" si="4"/>
        <v/>
      </c>
      <c r="Y11" s="38"/>
      <c r="Z11" s="22"/>
      <c r="AA11" s="22"/>
      <c r="AB11" s="22"/>
      <c r="AC11" s="22"/>
      <c r="AD11" s="22"/>
      <c r="AE11" s="22"/>
      <c r="AF11" s="22"/>
    </row>
    <row r="12" spans="1:32" ht="46.5" customHeight="1" thickBot="1" x14ac:dyDescent="0.3">
      <c r="A12" s="97">
        <v>7</v>
      </c>
      <c r="B12" s="112" t="str">
        <f>(Starterlist!B19)&amp;CHAR(10)&amp;(Starterlist!D19)&amp;CHAR(10)&amp;(Starterlist!F19)</f>
        <v xml:space="preserve">
</v>
      </c>
      <c r="C12" s="134" t="str">
        <f>IF(COUNTA(Starterlist!J$13)&gt;0,'EX 1'!H12,"")</f>
        <v/>
      </c>
      <c r="D12" s="135" t="str">
        <f>IF(COUNTA(Starterlist!J$14)&gt;0,'EX 2'!H12,"")</f>
        <v/>
      </c>
      <c r="E12" s="136" t="str">
        <f>IF(COUNTA(Starterlist!J$15)&gt;0,'EX 3'!H12,"")</f>
        <v/>
      </c>
      <c r="F12" s="161" t="str">
        <f>IF(COUNTA(Starterlist!J$16)&gt;0,'AI 1'!J12:J12,"")</f>
        <v/>
      </c>
      <c r="G12" s="230" t="str">
        <f>IF(COUNTA(Starterlist!J$16)&gt;0,('AI 1'!C12)&amp;CHAR(10)&amp;('AI 1'!D12)&amp;CHAR(10)&amp;('AI 1'!E12)&amp;CHAR(10)&amp;('AI 1'!F12)&amp;CHAR(10)&amp;('AI 1'!G12)&amp;CHAR(10)&amp;('AI 1'!H12),"")</f>
        <v/>
      </c>
      <c r="H12" s="163" t="str">
        <f>IF(COUNTA(Starterlist!J$17)&gt;0,'AI 2'!J12:J12,"")</f>
        <v/>
      </c>
      <c r="I12" s="230" t="str">
        <f>IF(COUNTA(Starterlist!J$16)&gt;0,('AI 2'!C12)&amp;CHAR(10)&amp;('AI 2'!D12)&amp;CHAR(10)&amp;('AI 2'!E12)&amp;CHAR(10)&amp;('AI 2'!F12)&amp;CHAR(10)&amp;('AI 2'!G12)&amp;CHAR(10)&amp;('AI 2'!H12),"")</f>
        <v/>
      </c>
      <c r="J12" s="163" t="str">
        <f>IF(COUNTA(Starterlist!J$18)&gt;0,'AI 3'!J12:J12,"")</f>
        <v/>
      </c>
      <c r="K12" s="230" t="str">
        <f>IF(COUNTA(Starterlist!J$16)&gt;0,('AI 3'!C12)&amp;CHAR(10)&amp;('AI 3'!D12)&amp;CHAR(10)&amp;('AI 3'!E12)&amp;CHAR(10)&amp;('AI 3'!F12)&amp;CHAR(10)&amp;('AI 3'!G12)&amp;CHAR(10)&amp;('AI 3'!H12),"")</f>
        <v/>
      </c>
      <c r="L12" s="137" t="str">
        <f>IF(COUNTA(Starterlist!J$19)&gt;0,'DIF 1'!Y18:Y18,"")</f>
        <v/>
      </c>
      <c r="M12" s="135" t="str">
        <f>IF(COUNTA(Starterlist!J$20)&gt;0,'DIF 2'!Y18:Y18,"")</f>
        <v/>
      </c>
      <c r="N12" s="136" t="str">
        <f>IF(COUNTA(Starterlist!J$21)&gt;0,'DIF 3'!Y18:Y18,"")</f>
        <v/>
      </c>
      <c r="O12" s="84">
        <f>Export!N8</f>
        <v>0</v>
      </c>
      <c r="P12" s="85">
        <f>Export!O8</f>
        <v>0</v>
      </c>
      <c r="Q12" s="82">
        <f>Export!P8</f>
        <v>0</v>
      </c>
      <c r="R12" s="81">
        <f>Export!Q8</f>
        <v>0</v>
      </c>
      <c r="S12" s="98">
        <f t="shared" si="0"/>
        <v>0</v>
      </c>
      <c r="T12" s="99">
        <f t="shared" si="1"/>
        <v>0</v>
      </c>
      <c r="U12" s="100">
        <f t="shared" si="2"/>
        <v>0</v>
      </c>
      <c r="V12" s="101">
        <f t="shared" si="3"/>
        <v>0</v>
      </c>
      <c r="W12" s="102" t="str">
        <f t="shared" si="4"/>
        <v/>
      </c>
      <c r="Y12" s="38"/>
      <c r="Z12" s="22"/>
      <c r="AA12" s="22"/>
      <c r="AB12" s="22"/>
      <c r="AC12" s="22"/>
      <c r="AD12" s="22"/>
      <c r="AE12" s="22"/>
      <c r="AF12" s="22"/>
    </row>
    <row r="13" spans="1:32" ht="46.5" customHeight="1" thickBot="1" x14ac:dyDescent="0.3">
      <c r="A13" s="232">
        <v>8</v>
      </c>
      <c r="B13" s="234" t="str">
        <f>(Starterlist!B20)&amp;CHAR(10)&amp;(Starterlist!D20)&amp;CHAR(10)&amp;(Starterlist!F20)</f>
        <v xml:space="preserve">
</v>
      </c>
      <c r="C13" s="209" t="str">
        <f>IF(COUNTA(Starterlist!J$13)&gt;0,'EX 1'!H13,"")</f>
        <v/>
      </c>
      <c r="D13" s="210" t="str">
        <f>IF(COUNTA(Starterlist!J$14)&gt;0,'EX 2'!H13,"")</f>
        <v/>
      </c>
      <c r="E13" s="211" t="str">
        <f>IF(COUNTA(Starterlist!J$15)&gt;0,'EX 3'!H13,"")</f>
        <v/>
      </c>
      <c r="F13" s="212" t="str">
        <f>IF(COUNTA(Starterlist!J$16)&gt;0,'AI 1'!J13:J13,"")</f>
        <v/>
      </c>
      <c r="G13" s="243" t="str">
        <f>IF(COUNTA(Starterlist!J$16)&gt;0,('AI 1'!C13)&amp;CHAR(10)&amp;('AI 1'!D13)&amp;CHAR(10)&amp;('AI 1'!E13)&amp;CHAR(10)&amp;('AI 1'!F13)&amp;CHAR(10)&amp;('AI 1'!G13)&amp;CHAR(10)&amp;('AI 1'!H13),"")</f>
        <v/>
      </c>
      <c r="H13" s="213" t="str">
        <f>IF(COUNTA(Starterlist!J$17)&gt;0,'AI 2'!J13:J13,"")</f>
        <v/>
      </c>
      <c r="I13" s="243" t="str">
        <f>IF(COUNTA(Starterlist!J$16)&gt;0,('AI 2'!C13)&amp;CHAR(10)&amp;('AI 2'!D13)&amp;CHAR(10)&amp;('AI 2'!E13)&amp;CHAR(10)&amp;('AI 2'!F13)&amp;CHAR(10)&amp;('AI 2'!G13)&amp;CHAR(10)&amp;('AI 2'!H13),"")</f>
        <v/>
      </c>
      <c r="J13" s="213" t="str">
        <f>IF(COUNTA(Starterlist!J$18)&gt;0,'AI 3'!J13:J13,"")</f>
        <v/>
      </c>
      <c r="K13" s="243" t="str">
        <f>IF(COUNTA(Starterlist!J$16)&gt;0,('AI 3'!C13)&amp;CHAR(10)&amp;('AI 3'!D13)&amp;CHAR(10)&amp;('AI 3'!E13)&amp;CHAR(10)&amp;('AI 3'!F13)&amp;CHAR(10)&amp;('AI 3'!G13)&amp;CHAR(10)&amp;('AI 3'!H13),"")</f>
        <v/>
      </c>
      <c r="L13" s="237" t="str">
        <f>IF(COUNTA(Starterlist!J$19)&gt;0,'DIF 1'!Y20:Y20,"")</f>
        <v/>
      </c>
      <c r="M13" s="210" t="str">
        <f>IF(COUNTA(Starterlist!J$20)&gt;0,'DIF 2'!Y20:Y20,"")</f>
        <v/>
      </c>
      <c r="N13" s="211" t="str">
        <f>IF(COUNTA(Starterlist!J$21)&gt;0,'DIF 3'!Y20:Y20,"")</f>
        <v/>
      </c>
      <c r="O13" s="84">
        <f>Export!N9</f>
        <v>0</v>
      </c>
      <c r="P13" s="85">
        <f>Export!O9</f>
        <v>0</v>
      </c>
      <c r="Q13" s="82">
        <f>Export!P9</f>
        <v>0</v>
      </c>
      <c r="R13" s="81">
        <f>Export!Q9</f>
        <v>0</v>
      </c>
      <c r="S13" s="238">
        <f t="shared" si="0"/>
        <v>0</v>
      </c>
      <c r="T13" s="239">
        <f t="shared" si="1"/>
        <v>0</v>
      </c>
      <c r="U13" s="240">
        <f t="shared" si="2"/>
        <v>0</v>
      </c>
      <c r="V13" s="241">
        <f t="shared" si="3"/>
        <v>0</v>
      </c>
      <c r="W13" s="244" t="str">
        <f t="shared" si="4"/>
        <v/>
      </c>
      <c r="Y13" s="39"/>
      <c r="Z13" s="22"/>
      <c r="AA13" s="22"/>
      <c r="AB13" s="22"/>
      <c r="AC13" s="22"/>
      <c r="AD13" s="22"/>
      <c r="AE13" s="22"/>
      <c r="AF13" s="22"/>
    </row>
    <row r="14" spans="1:32" ht="46.5" hidden="1" customHeight="1" thickBot="1" x14ac:dyDescent="0.3">
      <c r="A14" s="232">
        <v>9</v>
      </c>
      <c r="B14" s="234" t="str">
        <f>(Starterlist!B21)&amp;CHAR(10)&amp;(Starterlist!D21)&amp;CHAR(10)&amp;(Starterlist!F21)</f>
        <v xml:space="preserve">
</v>
      </c>
      <c r="C14" s="209" t="str">
        <f>IF(COUNTA(Starterlist!J$13)&gt;0,'EX 1'!H14,"")</f>
        <v/>
      </c>
      <c r="D14" s="210" t="str">
        <f>IF(COUNTA(Starterlist!J$14)&gt;0,'EX 2'!H14,"")</f>
        <v/>
      </c>
      <c r="E14" s="211" t="str">
        <f>IF(COUNTA(Starterlist!J$15)&gt;0,'EX 3'!H14,"")</f>
        <v/>
      </c>
      <c r="F14" s="212" t="str">
        <f>IF(COUNTA(Starterlist!J$16)&gt;0,'AI 1'!J14:J14,"")</f>
        <v/>
      </c>
      <c r="G14" s="236" t="str">
        <f>IF(COUNTA(Starterlist!J$16)&gt;0,('AI 1'!C14)&amp;CHAR(10)&amp;('AI 1'!D14)&amp;CHAR(10)&amp;('AI 1'!E14)&amp;CHAR(10)&amp;('AI 1'!F14)&amp;CHAR(10)&amp;('AI 1'!G14)&amp;CHAR(10)&amp;('AI 1'!H14),"")</f>
        <v/>
      </c>
      <c r="H14" s="213" t="str">
        <f>IF(COUNTA(Starterlist!J$17)&gt;0,'AI 2'!J14:J14,"")</f>
        <v/>
      </c>
      <c r="I14" s="236" t="str">
        <f>IF(COUNTA(Starterlist!J$16)&gt;0,('AI 2'!C14)&amp;CHAR(10)&amp;('AI 2'!D14)&amp;CHAR(10)&amp;('AI 2'!E14)&amp;CHAR(10)&amp;('AI 2'!F14)&amp;CHAR(10)&amp;('AI 2'!G14)&amp;CHAR(10)&amp;('AI 1'!H14),"")</f>
        <v/>
      </c>
      <c r="J14" s="213" t="str">
        <f>IF(COUNTA(Starterlist!J$18)&gt;0,'AI 3'!J14:J14,"")</f>
        <v/>
      </c>
      <c r="K14" s="236" t="str">
        <f>IF(COUNTA(Starterlist!J$16)&gt;0,('AI 3'!C14)&amp;CHAR(10)&amp;('AI 3'!D14)&amp;CHAR(10)&amp;('AI 3'!E14)&amp;CHAR(10)&amp;('AI 3'!F14)&amp;CHAR(10)&amp;('AI 3'!G14)&amp;CHAR(10)&amp;('AI 3'!H14),"")</f>
        <v/>
      </c>
      <c r="L14" s="237" t="str">
        <f>IF(COUNTA(Starterlist!J$19)&gt;0,'DIF 1'!Y22:Y22,"")</f>
        <v/>
      </c>
      <c r="M14" s="210" t="str">
        <f>IF(COUNTA(Starterlist!J$20)&gt;0,'DIF 2'!Y22:Y22,"")</f>
        <v/>
      </c>
      <c r="N14" s="211" t="str">
        <f>IF(COUNTA(Starterlist!J$21)&gt;0,'DIF 3'!Y22:Y22,"")</f>
        <v/>
      </c>
      <c r="O14" s="84">
        <f>Export!N10</f>
        <v>0</v>
      </c>
      <c r="P14" s="85">
        <f>Export!O10</f>
        <v>0</v>
      </c>
      <c r="Q14" s="82">
        <f>Export!P10</f>
        <v>0</v>
      </c>
      <c r="R14" s="81">
        <f>Export!Q10</f>
        <v>0</v>
      </c>
      <c r="S14" s="238">
        <f t="shared" si="0"/>
        <v>0</v>
      </c>
      <c r="T14" s="239">
        <f t="shared" si="1"/>
        <v>0</v>
      </c>
      <c r="U14" s="240">
        <f t="shared" si="2"/>
        <v>0</v>
      </c>
      <c r="V14" s="241">
        <f t="shared" si="3"/>
        <v>0</v>
      </c>
      <c r="W14" s="242" t="str">
        <f t="shared" si="4"/>
        <v/>
      </c>
      <c r="Y14" s="38"/>
      <c r="Z14" s="22"/>
      <c r="AA14" s="22"/>
      <c r="AB14" s="22"/>
      <c r="AC14" s="22"/>
      <c r="AD14" s="22"/>
      <c r="AE14" s="22"/>
      <c r="AF14" s="22"/>
    </row>
    <row r="15" spans="1:32" ht="46.5" hidden="1" customHeight="1" thickBot="1" x14ac:dyDescent="0.3">
      <c r="A15" s="97">
        <v>10</v>
      </c>
      <c r="B15" s="112" t="str">
        <f>(Starterlist!B22)&amp;CHAR(10)&amp;(Starterlist!D22)&amp;CHAR(10)&amp;(Starterlist!F22)</f>
        <v xml:space="preserve">
</v>
      </c>
      <c r="C15" s="134" t="str">
        <f>IF(COUNTA(Starterlist!J$13)&gt;0,'EX 1'!H15,"")</f>
        <v/>
      </c>
      <c r="D15" s="135" t="str">
        <f>IF(COUNTA(Starterlist!J$14)&gt;0,'EX 2'!H15,"")</f>
        <v/>
      </c>
      <c r="E15" s="136" t="str">
        <f>IF(COUNTA(Starterlist!J$15)&gt;0,'EX 3'!H15,"")</f>
        <v/>
      </c>
      <c r="F15" s="161" t="str">
        <f>IF(COUNTA(Starterlist!J$16)&gt;0,'AI 1'!J15:J15,"")</f>
        <v/>
      </c>
      <c r="G15" s="230" t="str">
        <f>IF(COUNTA(Starterlist!J$16)&gt;0,('AI 1'!C15)&amp;CHAR(10)&amp;('AI 1'!D15)&amp;CHAR(10)&amp;('AI 1'!E15)&amp;CHAR(10)&amp;('AI 1'!F15)&amp;CHAR(10)&amp;('AI 1'!G15)&amp;CHAR(10)&amp;('AI 1'!H15),"")</f>
        <v/>
      </c>
      <c r="H15" s="163" t="str">
        <f>IF(COUNTA(Starterlist!J$17)&gt;0,'AI 2'!J15:J15,"")</f>
        <v/>
      </c>
      <c r="I15" s="230" t="str">
        <f>IF(COUNTA(Starterlist!J$16)&gt;0,('AI 2'!C15)&amp;CHAR(10)&amp;('AI 2'!D15)&amp;CHAR(10)&amp;('AI 2'!E15)&amp;CHAR(10)&amp;('AI 2'!F15)&amp;CHAR(10)&amp;('AI 2'!G15)&amp;CHAR(10)&amp;('AI 1'!H15),"")</f>
        <v/>
      </c>
      <c r="J15" s="163" t="str">
        <f>IF(COUNTA(Starterlist!J$18)&gt;0,'AI 3'!J15:J15,"")</f>
        <v/>
      </c>
      <c r="K15" s="230" t="str">
        <f>IF(COUNTA(Starterlist!J$16)&gt;0,('AI 3'!C15)&amp;CHAR(10)&amp;('AI 3'!D15)&amp;CHAR(10)&amp;('AI 3'!E15)&amp;CHAR(10)&amp;('AI 3'!F15)&amp;CHAR(10)&amp;('AI 3'!G15)&amp;CHAR(10)&amp;('AI 3'!H15),"")</f>
        <v/>
      </c>
      <c r="L15" s="137" t="str">
        <f>IF(COUNTA(Starterlist!J$19)&gt;0,'DIF 1'!Y24:Y24,"")</f>
        <v/>
      </c>
      <c r="M15" s="135" t="str">
        <f>IF(COUNTA(Starterlist!J$20)&gt;0,'DIF 2'!Y24:Y24,"")</f>
        <v/>
      </c>
      <c r="N15" s="136" t="str">
        <f>IF(COUNTA(Starterlist!J$21)&gt;0,'DIF 3'!Y24:Y24,"")</f>
        <v/>
      </c>
      <c r="O15" s="98">
        <f>Export!N11</f>
        <v>0</v>
      </c>
      <c r="P15" s="99">
        <f>Export!O11</f>
        <v>0</v>
      </c>
      <c r="Q15" s="100">
        <f>Export!P11</f>
        <v>0</v>
      </c>
      <c r="R15" s="397">
        <f>Export!Q11</f>
        <v>0</v>
      </c>
      <c r="S15" s="98">
        <f t="shared" si="0"/>
        <v>0</v>
      </c>
      <c r="T15" s="99">
        <f t="shared" si="1"/>
        <v>0</v>
      </c>
      <c r="U15" s="100">
        <f t="shared" si="2"/>
        <v>0</v>
      </c>
      <c r="V15" s="101">
        <f t="shared" si="3"/>
        <v>0</v>
      </c>
      <c r="W15" s="102" t="str">
        <f t="shared" si="4"/>
        <v/>
      </c>
    </row>
    <row r="16" spans="1:32" ht="14.25" hidden="1" customHeight="1" x14ac:dyDescent="0.25">
      <c r="A16" s="39"/>
      <c r="B16" s="22"/>
      <c r="C16" s="22"/>
      <c r="D16" s="22"/>
      <c r="E16" s="22"/>
      <c r="F16" s="22"/>
      <c r="G16" s="22"/>
      <c r="H16" s="22"/>
      <c r="I16" s="22"/>
      <c r="J16" s="22"/>
      <c r="K16" s="22"/>
      <c r="L16"/>
      <c r="M16"/>
      <c r="N16"/>
      <c r="O16"/>
      <c r="S16"/>
    </row>
    <row r="17" spans="1:32" ht="14.25" customHeight="1" x14ac:dyDescent="0.25">
      <c r="A17" s="38"/>
      <c r="B17" s="22"/>
      <c r="C17" s="22"/>
      <c r="D17" s="22"/>
      <c r="E17" s="22"/>
      <c r="F17" s="22"/>
      <c r="G17" s="22"/>
      <c r="H17" s="22"/>
      <c r="I17" s="22"/>
      <c r="J17" s="22"/>
      <c r="K17" s="22"/>
      <c r="L17"/>
      <c r="M17"/>
      <c r="N17"/>
      <c r="O17"/>
      <c r="S17"/>
    </row>
    <row r="18" spans="1:32" ht="14.25" customHeight="1" x14ac:dyDescent="0.3">
      <c r="A18" s="38"/>
      <c r="B18" s="22"/>
      <c r="C18" s="22"/>
      <c r="D18" s="22"/>
      <c r="E18" s="22"/>
      <c r="F18" s="22"/>
      <c r="G18" s="22"/>
      <c r="H18" s="22"/>
      <c r="I18" s="22"/>
      <c r="J18" s="22"/>
      <c r="K18" s="22"/>
      <c r="L18"/>
      <c r="M18"/>
      <c r="N18"/>
      <c r="O18"/>
      <c r="Q18" s="372" t="s">
        <v>1354</v>
      </c>
      <c r="S18"/>
      <c r="U18" s="372" t="s">
        <v>1354</v>
      </c>
    </row>
    <row r="19" spans="1:32" ht="14.25" customHeight="1" x14ac:dyDescent="0.25">
      <c r="A19" s="39"/>
      <c r="B19" s="22"/>
      <c r="C19" s="22"/>
      <c r="D19" s="22"/>
      <c r="E19" s="22"/>
      <c r="F19" s="22"/>
      <c r="G19" s="22"/>
      <c r="H19" s="22"/>
      <c r="I19" s="22"/>
      <c r="J19" s="22"/>
      <c r="K19" s="22"/>
      <c r="L19"/>
      <c r="M19"/>
      <c r="N19"/>
      <c r="O19"/>
      <c r="S19"/>
    </row>
    <row r="20" spans="1:32" ht="14.25" customHeight="1" x14ac:dyDescent="0.25">
      <c r="A20" s="38"/>
      <c r="B20" s="22"/>
      <c r="C20" s="22"/>
      <c r="D20" s="22"/>
      <c r="E20" s="22"/>
      <c r="F20" s="22"/>
      <c r="G20" s="22"/>
      <c r="H20" s="22"/>
      <c r="I20" s="22"/>
      <c r="J20" s="22"/>
      <c r="K20" s="22"/>
      <c r="L20"/>
      <c r="M20"/>
      <c r="N20"/>
      <c r="O20"/>
      <c r="S20"/>
    </row>
    <row r="21" spans="1:32" ht="14.25" customHeight="1" x14ac:dyDescent="0.25">
      <c r="A21" s="38"/>
      <c r="B21" s="22"/>
      <c r="C21" s="22"/>
      <c r="D21" s="22"/>
      <c r="E21" s="22"/>
      <c r="F21" s="22"/>
      <c r="G21" s="22"/>
      <c r="H21" s="22"/>
      <c r="I21" s="22"/>
      <c r="J21" s="22"/>
      <c r="K21" s="22"/>
      <c r="L21"/>
      <c r="M21"/>
      <c r="N21"/>
      <c r="O21"/>
      <c r="S21"/>
    </row>
    <row r="22" spans="1:32" ht="14.25" customHeight="1" x14ac:dyDescent="0.25">
      <c r="A22" s="39"/>
      <c r="B22" s="22"/>
      <c r="C22" s="22"/>
      <c r="D22" s="22"/>
      <c r="E22" s="22"/>
      <c r="F22" s="22"/>
      <c r="G22" s="22"/>
      <c r="H22" s="22"/>
      <c r="I22" s="22"/>
      <c r="J22" s="22"/>
      <c r="K22" s="22"/>
      <c r="L22"/>
      <c r="M22"/>
      <c r="N22"/>
      <c r="O22"/>
      <c r="S22"/>
    </row>
    <row r="23" spans="1:32" ht="16.5" customHeight="1" x14ac:dyDescent="0.25">
      <c r="Y23" s="38"/>
      <c r="Z23" s="22"/>
      <c r="AA23" s="22"/>
      <c r="AB23" s="22"/>
      <c r="AC23" s="22"/>
      <c r="AD23" s="22"/>
      <c r="AE23" s="22"/>
      <c r="AF23" s="22"/>
    </row>
    <row r="24" spans="1:32" ht="15.75" customHeight="1" x14ac:dyDescent="0.25">
      <c r="Y24" s="38"/>
      <c r="Z24" s="22"/>
      <c r="AA24" s="22"/>
      <c r="AB24" s="22"/>
      <c r="AC24" s="22"/>
      <c r="AD24" s="22"/>
      <c r="AE24" s="22"/>
      <c r="AF24" s="22"/>
    </row>
    <row r="25" spans="1:32" ht="15.75" customHeight="1" x14ac:dyDescent="0.25">
      <c r="Y25" s="39"/>
      <c r="Z25" s="22"/>
      <c r="AA25" s="22"/>
      <c r="AB25" s="22"/>
      <c r="AC25" s="22"/>
      <c r="AD25" s="22"/>
      <c r="AE25" s="22"/>
      <c r="AF25" s="22"/>
    </row>
    <row r="26" spans="1:32" ht="16.5" customHeight="1" x14ac:dyDescent="0.25">
      <c r="Y26" s="38"/>
      <c r="Z26" s="22"/>
      <c r="AA26" s="22"/>
      <c r="AB26" s="22"/>
      <c r="AC26" s="22"/>
      <c r="AD26" s="22"/>
      <c r="AE26" s="22"/>
      <c r="AF26" s="22"/>
    </row>
    <row r="27" spans="1:32" ht="15.75" customHeight="1" x14ac:dyDescent="0.25">
      <c r="Y27" s="38"/>
      <c r="Z27" s="22"/>
      <c r="AA27" s="22"/>
      <c r="AB27" s="22"/>
      <c r="AC27" s="22"/>
      <c r="AD27" s="22"/>
      <c r="AE27" s="22"/>
      <c r="AF27" s="22"/>
    </row>
    <row r="28" spans="1:32" ht="15.75" customHeight="1" x14ac:dyDescent="0.25">
      <c r="Y28" s="39"/>
      <c r="Z28" s="22"/>
      <c r="AA28" s="22"/>
      <c r="AB28" s="22"/>
      <c r="AC28" s="22"/>
      <c r="AD28" s="22"/>
      <c r="AE28" s="22"/>
      <c r="AF28" s="22"/>
    </row>
    <row r="29" spans="1:32" ht="16.5" customHeight="1" x14ac:dyDescent="0.25">
      <c r="Y29" s="22"/>
      <c r="Z29" s="22"/>
      <c r="AA29" s="22"/>
      <c r="AB29" s="22"/>
      <c r="AC29" s="22"/>
      <c r="AD29" s="22"/>
      <c r="AE29" s="22"/>
      <c r="AF29" s="22"/>
    </row>
    <row r="32" spans="1:32" ht="42" customHeight="1" x14ac:dyDescent="0.25"/>
  </sheetData>
  <mergeCells count="5">
    <mergeCell ref="A1:C1"/>
    <mergeCell ref="A2:C2"/>
    <mergeCell ref="F5:G5"/>
    <mergeCell ref="H5:I5"/>
    <mergeCell ref="J5:K5"/>
  </mergeCells>
  <phoneticPr fontId="0" type="noConversion"/>
  <dataValidations disablePrompts="1" count="1">
    <dataValidation type="textLength" operator="notEqual" showInputMessage="1" showErrorMessage="1" sqref="C4:N4" xr:uid="{00000000-0002-0000-1200-000000000000}">
      <formula1>0</formula1>
    </dataValidation>
  </dataValidations>
  <hyperlinks>
    <hyperlink ref="U18" r:id="rId1" tooltip="Send Results to the World Rankings" xr:uid="{00000000-0004-0000-1200-000000000000}"/>
    <hyperlink ref="Q18" r:id="rId2" tooltip="Send Results to the World Rankings" xr:uid="{00000000-0004-0000-1200-000001000000}"/>
  </hyperlinks>
  <pageMargins left="0.7" right="0.7" top="0.75" bottom="0.75" header="0.3" footer="0.3"/>
  <pageSetup paperSize="9" scale="81" orientation="landscape" r:id="rId3"/>
  <headerFooter alignWithMargins="0">
    <oddHeader>&amp;C&amp;18Results&amp;R&amp;G</oddHeader>
  </headerFooter>
  <drawing r:id="rId4"/>
  <legacyDrawingHF r:id="rId5"/>
  <webPublishItems count="3">
    <webPublishItem id="32157" divId="DM2009_Pairs_Final_32157" sourceType="sheet" destinationFile="C:\Privat\Dokumente\Frisbee\Events\2009\DM\DM2009-Results\web\DM2009_Pairs_Final2.htm"/>
    <webPublishItem id="29573" divId="Scoresheets_1.2_29573" sourceType="sheet" destinationFile="C:\Privat\Dokumente\Frisbee\Events\2009\DM\Scoresheets_1.mht"/>
    <webPublishItem id="20070" divId="DM2009_Pairs_Final_20070" sourceType="range" sourceRef="B1:X29" destinationFile="C:\Privat\Dokumente\Frisbee\Events\2009\DM\DM2009-Results\web\DM2009_Pairs_Final.htm"/>
  </webPublishItem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TextRes">
    <tabColor theme="0"/>
  </sheetPr>
  <dimension ref="A1:H27"/>
  <sheetViews>
    <sheetView showRowColHeaders="0" showWhiteSpace="0" zoomScale="85" zoomScaleNormal="85" workbookViewId="0">
      <selection activeCell="A9" sqref="A9"/>
    </sheetView>
  </sheetViews>
  <sheetFormatPr defaultColWidth="9.140625" defaultRowHeight="15" x14ac:dyDescent="0.25"/>
  <cols>
    <col min="1" max="1" width="84.28515625" customWidth="1"/>
    <col min="2" max="256" width="11.42578125" customWidth="1"/>
  </cols>
  <sheetData>
    <row r="1" spans="1:8" ht="12" customHeight="1" x14ac:dyDescent="0.25">
      <c r="A1" t="str">
        <f>Starterlist!A1</f>
        <v>FPAW 2018</v>
      </c>
    </row>
    <row r="2" spans="1:8" ht="12" customHeight="1" x14ac:dyDescent="0.25">
      <c r="A2" s="22" t="str">
        <f>Starterlist!A2</f>
        <v>Trnava, Slowakia</v>
      </c>
    </row>
    <row r="3" spans="1:8" ht="12" customHeight="1" x14ac:dyDescent="0.25">
      <c r="A3" s="119">
        <f>Starterlist!J3</f>
        <v>42322</v>
      </c>
    </row>
    <row r="4" spans="1:8" ht="12" customHeight="1" x14ac:dyDescent="0.25">
      <c r="H4" s="22"/>
    </row>
    <row r="5" spans="1:8" ht="12" customHeight="1" x14ac:dyDescent="0.25">
      <c r="A5" t="str">
        <f>CONCATENATE(Starterlist!B4," ",Starterlist!D4," ",Starterlist!F3," ",Starterlist!F4)</f>
        <v>Open Pairs Semi-Final Pool A</v>
      </c>
      <c r="D5" s="121"/>
      <c r="E5" s="122"/>
      <c r="H5" s="22"/>
    </row>
    <row r="6" spans="1:8" ht="12" customHeight="1" x14ac:dyDescent="0.25">
      <c r="H6" s="22"/>
    </row>
    <row r="7" spans="1:8" x14ac:dyDescent="0.25">
      <c r="A7" t="str">
        <f>IF(Results!W6 = "", "", CONCATENATE(Results!W6, ". ",Export!B2,"/",Export!C2,IF(Export!D2=0,"","/"),IF(Export!D2=0,"",Export!D2)," (","TOT ",ROUND(Results!V6,1)," | EX ",ROUND(Results!S6,1)," | AI ",ROUND(Results!T6,1)," | DIF ",ROUND(Results!U6,1),")"))</f>
        <v/>
      </c>
      <c r="B7" s="123"/>
      <c r="C7" s="123"/>
      <c r="D7" s="123"/>
      <c r="E7" s="123"/>
      <c r="F7" s="123"/>
      <c r="G7" s="123"/>
    </row>
    <row r="8" spans="1:8" x14ac:dyDescent="0.25">
      <c r="A8" t="str">
        <f>IF(Results!W7 = "", "", CONCATENATE(Results!W7, ". ",Export!B3,"/",Export!C3,IF(Export!D3=0,"","/"),IF(Export!D3=0,"",Export!D3)," (","TOT ",ROUND(Results!V7,1)," | EX ",ROUND(Results!S7,1)," | AI ",ROUND(Results!T7,1)," | DIF ",ROUND(Results!U7,1),")"))</f>
        <v/>
      </c>
      <c r="B8" s="123"/>
      <c r="C8" s="123"/>
      <c r="D8" s="123"/>
      <c r="E8" s="123"/>
      <c r="F8" s="123"/>
      <c r="G8" s="123"/>
    </row>
    <row r="9" spans="1:8" x14ac:dyDescent="0.25">
      <c r="A9" t="str">
        <f>IF(Results!W8 = "", "", CONCATENATE(Results!W8, ". ",Export!B4,"/",Export!C4,IF(Export!D4=0,"","/"),IF(Export!D4=0,"",Export!D4)," (","TOT ",ROUND(Results!V8,1)," | EX ",ROUND(Results!S8,1)," | AI ",ROUND(Results!T8,1)," | DIF ",ROUND(Results!U8,1),")"))</f>
        <v/>
      </c>
      <c r="B9" s="123"/>
      <c r="C9" s="123"/>
      <c r="D9" s="123"/>
      <c r="E9" s="123"/>
      <c r="F9" s="123"/>
      <c r="G9" s="123"/>
    </row>
    <row r="10" spans="1:8" x14ac:dyDescent="0.25">
      <c r="A10" t="str">
        <f>IF(Results!W9 = "", "", CONCATENATE(Results!W9, ". ",Export!B5,"/",Export!C5,IF(Export!D5=0,"","/"),IF(Export!D5=0,"",Export!D5)," (","TOT ",ROUND(Results!V9,1)," | EX ",ROUND(Results!S9,1)," | AI ",ROUND(Results!T9,1)," | DIF ",ROUND(Results!U9,1),")"))</f>
        <v/>
      </c>
      <c r="B10" s="123"/>
      <c r="C10" s="123"/>
      <c r="D10" s="123"/>
      <c r="E10" s="123"/>
      <c r="F10" s="123"/>
      <c r="G10" s="123"/>
    </row>
    <row r="11" spans="1:8" x14ac:dyDescent="0.25">
      <c r="A11" t="str">
        <f>IF(Results!W10 = "", "", CONCATENATE(Results!W10, ". ",Export!B6,"/",Export!C6,IF(Export!D6=0,"","/"),IF(Export!D6=0,"",Export!D6)," (","TOT ",ROUND(Results!V10,1)," | EX ",ROUND(Results!S10,1)," | AI ",ROUND(Results!T10,1)," | DIF ",ROUND(Results!U10,1),")"))</f>
        <v/>
      </c>
      <c r="B11" s="123"/>
      <c r="C11" s="123"/>
      <c r="D11" s="123"/>
      <c r="E11" s="123"/>
      <c r="F11" s="123"/>
      <c r="G11" s="123"/>
    </row>
    <row r="12" spans="1:8" x14ac:dyDescent="0.25">
      <c r="A12" t="str">
        <f>IF(Results!W11 = "", "", CONCATENATE(Results!W11, ". ",Export!B7,"/",Export!C7,IF(Export!D7=0,"","/"),IF(Export!D7=0,"",Export!D7)," (","TOT ",ROUND(Results!V11,1)," | EX ",ROUND(Results!S11,1)," | AI ",ROUND(Results!T11,1)," | DIF ",ROUND(Results!U11,1),")"))</f>
        <v/>
      </c>
      <c r="B12" s="123"/>
      <c r="C12" s="123"/>
      <c r="D12" s="123"/>
      <c r="E12" s="123"/>
      <c r="F12" s="123"/>
      <c r="G12" s="123"/>
    </row>
    <row r="13" spans="1:8" x14ac:dyDescent="0.25">
      <c r="A13" t="str">
        <f>IF(Results!W12 = "", "", CONCATENATE(Results!W12, ". ",Export!B8,"/",Export!C8,IF(Export!D8=0,"","/"),IF(Export!D8=0,"",Export!D8)," (","TOT ",ROUND(Results!V12,1)," | EX ",ROUND(Results!S12,1)," | AI ",ROUND(Results!T12,1)," | DIF ",ROUND(Results!U12,1),")"))</f>
        <v/>
      </c>
      <c r="B13" s="123"/>
      <c r="C13" s="123"/>
      <c r="D13" s="123"/>
      <c r="E13" s="123"/>
      <c r="F13" s="123"/>
      <c r="G13" s="123"/>
    </row>
    <row r="14" spans="1:8" x14ac:dyDescent="0.25">
      <c r="A14" t="str">
        <f>IF(Results!W13 = "", "", CONCATENATE(Results!W13, ". ",Export!B9,"/",Export!C9,IF(Export!D9=0,"","/"),IF(Export!D9=0,"",Export!D9)," (","TOT ",ROUND(Results!V13,1)," | EX ",ROUND(Results!S13,1)," | AI ",ROUND(Results!T13,1)," | DIF ",ROUND(Results!U13,1),")"))</f>
        <v/>
      </c>
      <c r="B14" s="123"/>
      <c r="C14" s="123"/>
      <c r="D14" s="123"/>
      <c r="E14" s="123"/>
      <c r="F14" s="123"/>
      <c r="G14" s="123"/>
    </row>
    <row r="15" spans="1:8" x14ac:dyDescent="0.25">
      <c r="A15" t="str">
        <f>IF(Results!W14 = "", "", CONCATENATE(Results!W14, ". ",Export!B10,"/",Export!C10,IF(Export!D10=0,"","/"),IF(Export!D10=0,"",Export!D10)," (","TOT ",ROUND(Results!V14,1)," | EX ",ROUND(Results!S14,1)," | AI ",ROUND(Results!T14,1)," | DIF ",ROUND(Results!U14,1),")"))</f>
        <v/>
      </c>
      <c r="B15" s="123"/>
    </row>
    <row r="16" spans="1:8" x14ac:dyDescent="0.25">
      <c r="B16" s="123"/>
    </row>
    <row r="17" spans="1:2" x14ac:dyDescent="0.25">
      <c r="B17" s="123"/>
    </row>
    <row r="18" spans="1:2" x14ac:dyDescent="0.25">
      <c r="B18" s="123"/>
    </row>
    <row r="19" spans="1:2" x14ac:dyDescent="0.25">
      <c r="B19" s="123"/>
    </row>
    <row r="27" spans="1:2" x14ac:dyDescent="0.25">
      <c r="A27" s="120"/>
    </row>
  </sheetData>
  <sortState ref="A7:A27">
    <sortCondition ref="A7:A14"/>
  </sortState>
  <dataConsolidate/>
  <phoneticPr fontId="0" type="noConversion"/>
  <dataValidations disablePrompts="1" count="1">
    <dataValidation type="list" allowBlank="1" showInputMessage="1" showErrorMessage="1" sqref="C4" xr:uid="{00000000-0002-0000-1300-000000000000}">
      <formula1>EventType</formula1>
    </dataValidation>
  </dataValidations>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&amp;C&amp;18Results &amp;R&amp;G</oddHeader>
  </headerFooter>
  <legacyDrawingHF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Tabelle4"/>
  <dimension ref="A1:I1174"/>
  <sheetViews>
    <sheetView showGridLines="0" showRowColHeaders="0" zoomScale="85" zoomScaleNormal="85" zoomScaleSheetLayoutView="100" workbookViewId="0">
      <selection activeCell="A5" sqref="A5"/>
    </sheetView>
  </sheetViews>
  <sheetFormatPr defaultColWidth="9.140625" defaultRowHeight="12.75" x14ac:dyDescent="0.2"/>
  <cols>
    <col min="1" max="1" width="11.7109375" style="359" customWidth="1"/>
    <col min="2" max="2" width="11.28515625" style="359" hidden="1" customWidth="1"/>
    <col min="3" max="3" width="27.140625" style="359" hidden="1" customWidth="1"/>
    <col min="4" max="4" width="8" style="359" bestFit="1" customWidth="1"/>
    <col min="5" max="5" width="7.85546875" style="360" bestFit="1" customWidth="1"/>
    <col min="6" max="6" width="14.140625" style="359" bestFit="1" customWidth="1"/>
    <col min="7" max="7" width="10.85546875" style="359" bestFit="1" customWidth="1"/>
    <col min="8" max="8" width="10.85546875" style="359" customWidth="1"/>
    <col min="9" max="9" width="9.140625" style="359" hidden="1" customWidth="1"/>
    <col min="10" max="16384" width="9.140625" style="359"/>
  </cols>
  <sheetData>
    <row r="1" spans="1:9" s="373" customFormat="1" ht="15" x14ac:dyDescent="0.25">
      <c r="A1" s="379" t="s">
        <v>1248</v>
      </c>
      <c r="B1" s="379" t="s">
        <v>1249</v>
      </c>
      <c r="C1" s="379" t="s">
        <v>57</v>
      </c>
      <c r="D1" s="379" t="s">
        <v>76</v>
      </c>
      <c r="E1" s="379" t="s">
        <v>1336</v>
      </c>
      <c r="F1" s="379" t="s">
        <v>393</v>
      </c>
      <c r="G1" s="379" t="s">
        <v>394</v>
      </c>
      <c r="I1" s="373" t="s">
        <v>182</v>
      </c>
    </row>
    <row r="2" spans="1:9" ht="15" x14ac:dyDescent="0.25">
      <c r="A2" s="379">
        <v>1</v>
      </c>
      <c r="B2" s="379">
        <v>1</v>
      </c>
      <c r="C2" s="379" t="s">
        <v>411</v>
      </c>
      <c r="D2" s="379" t="s">
        <v>61</v>
      </c>
      <c r="E2" s="379" t="s">
        <v>1469</v>
      </c>
      <c r="F2" s="379">
        <v>1776.25</v>
      </c>
      <c r="G2" s="379">
        <v>12</v>
      </c>
      <c r="I2" s="359">
        <f>SUMPRODUCT((C$2:C$1000 &lt; C2)+(C2="")*1000)</f>
        <v>164</v>
      </c>
    </row>
    <row r="3" spans="1:9" ht="15" x14ac:dyDescent="0.25">
      <c r="A3" s="379">
        <v>2</v>
      </c>
      <c r="B3" s="379">
        <v>4</v>
      </c>
      <c r="C3" s="379" t="s">
        <v>405</v>
      </c>
      <c r="D3" s="379" t="s">
        <v>59</v>
      </c>
      <c r="E3" s="379" t="s">
        <v>1469</v>
      </c>
      <c r="F3" s="379">
        <v>1671.25</v>
      </c>
      <c r="G3" s="379">
        <v>22</v>
      </c>
      <c r="I3" s="359">
        <f t="shared" ref="I3:I66" si="0">SUMPRODUCT((C$2:C$1000 &lt; C3)+(C3="")*1000)</f>
        <v>831</v>
      </c>
    </row>
    <row r="4" spans="1:9" ht="15" x14ac:dyDescent="0.25">
      <c r="A4" s="379">
        <v>3</v>
      </c>
      <c r="B4" s="379">
        <v>3</v>
      </c>
      <c r="C4" s="379" t="s">
        <v>399</v>
      </c>
      <c r="D4" s="379" t="s">
        <v>59</v>
      </c>
      <c r="E4" s="379" t="s">
        <v>1469</v>
      </c>
      <c r="F4" s="379">
        <v>1650.75</v>
      </c>
      <c r="G4" s="379">
        <v>22</v>
      </c>
      <c r="I4" s="359">
        <f t="shared" si="0"/>
        <v>418</v>
      </c>
    </row>
    <row r="5" spans="1:9" ht="15" x14ac:dyDescent="0.25">
      <c r="A5" s="379">
        <v>4</v>
      </c>
      <c r="B5" s="379">
        <v>2</v>
      </c>
      <c r="C5" s="379" t="s">
        <v>403</v>
      </c>
      <c r="D5" s="379" t="s">
        <v>61</v>
      </c>
      <c r="E5" s="379" t="s">
        <v>1469</v>
      </c>
      <c r="F5" s="379">
        <v>1562.75</v>
      </c>
      <c r="G5" s="379">
        <v>9</v>
      </c>
      <c r="I5" s="359">
        <f t="shared" si="0"/>
        <v>25</v>
      </c>
    </row>
    <row r="6" spans="1:9" ht="15" x14ac:dyDescent="0.25">
      <c r="A6" s="379">
        <v>5</v>
      </c>
      <c r="B6" s="379">
        <v>5</v>
      </c>
      <c r="C6" s="379" t="s">
        <v>83</v>
      </c>
      <c r="D6" s="379" t="s">
        <v>61</v>
      </c>
      <c r="E6" s="379" t="s">
        <v>1469</v>
      </c>
      <c r="F6" s="379">
        <v>1536.5</v>
      </c>
      <c r="G6" s="379">
        <v>9</v>
      </c>
      <c r="I6" s="359">
        <f t="shared" si="0"/>
        <v>323</v>
      </c>
    </row>
    <row r="7" spans="1:9" ht="15" x14ac:dyDescent="0.25">
      <c r="A7" s="379">
        <v>6</v>
      </c>
      <c r="B7" s="379">
        <v>6</v>
      </c>
      <c r="C7" s="379" t="s">
        <v>562</v>
      </c>
      <c r="D7" s="379" t="s">
        <v>64</v>
      </c>
      <c r="E7" s="379" t="s">
        <v>1469</v>
      </c>
      <c r="F7" s="379">
        <v>1531.5</v>
      </c>
      <c r="G7" s="379">
        <v>28</v>
      </c>
      <c r="I7" s="359">
        <f t="shared" si="0"/>
        <v>413</v>
      </c>
    </row>
    <row r="8" spans="1:9" ht="15" x14ac:dyDescent="0.25">
      <c r="A8" s="379">
        <v>7</v>
      </c>
      <c r="B8" s="379">
        <v>7</v>
      </c>
      <c r="C8" s="379" t="s">
        <v>404</v>
      </c>
      <c r="D8" s="379" t="s">
        <v>58</v>
      </c>
      <c r="E8" s="379" t="s">
        <v>1469</v>
      </c>
      <c r="F8" s="379">
        <v>1408.25</v>
      </c>
      <c r="G8" s="379">
        <v>18</v>
      </c>
      <c r="I8" s="359">
        <f t="shared" si="0"/>
        <v>942</v>
      </c>
    </row>
    <row r="9" spans="1:9" ht="15" x14ac:dyDescent="0.25">
      <c r="A9" s="379">
        <v>8</v>
      </c>
      <c r="B9" s="379">
        <v>8</v>
      </c>
      <c r="C9" s="379" t="s">
        <v>402</v>
      </c>
      <c r="D9" s="379" t="s">
        <v>61</v>
      </c>
      <c r="E9" s="379" t="s">
        <v>1469</v>
      </c>
      <c r="F9" s="379">
        <v>1362.25</v>
      </c>
      <c r="G9" s="379">
        <v>23</v>
      </c>
      <c r="I9" s="359">
        <f t="shared" si="0"/>
        <v>665</v>
      </c>
    </row>
    <row r="10" spans="1:9" ht="15" x14ac:dyDescent="0.25">
      <c r="A10" s="379">
        <v>9</v>
      </c>
      <c r="B10" s="379">
        <v>10</v>
      </c>
      <c r="C10" s="379" t="s">
        <v>395</v>
      </c>
      <c r="D10" s="379" t="s">
        <v>59</v>
      </c>
      <c r="E10" s="379" t="s">
        <v>1469</v>
      </c>
      <c r="F10" s="379">
        <v>1355.25</v>
      </c>
      <c r="G10" s="379">
        <v>13</v>
      </c>
      <c r="I10" s="359">
        <f t="shared" si="0"/>
        <v>740</v>
      </c>
    </row>
    <row r="11" spans="1:9" ht="15" x14ac:dyDescent="0.25">
      <c r="A11" s="379">
        <v>10</v>
      </c>
      <c r="B11" s="379">
        <v>9</v>
      </c>
      <c r="C11" s="379" t="s">
        <v>406</v>
      </c>
      <c r="D11" s="379" t="s">
        <v>58</v>
      </c>
      <c r="E11" s="379" t="s">
        <v>1469</v>
      </c>
      <c r="F11" s="379">
        <v>1339</v>
      </c>
      <c r="G11" s="379">
        <v>10</v>
      </c>
      <c r="I11" s="359">
        <f t="shared" si="0"/>
        <v>608</v>
      </c>
    </row>
    <row r="12" spans="1:9" ht="15" x14ac:dyDescent="0.25">
      <c r="A12" s="379">
        <v>11</v>
      </c>
      <c r="B12" s="379">
        <v>13</v>
      </c>
      <c r="C12" s="379" t="s">
        <v>1209</v>
      </c>
      <c r="D12" s="379" t="s">
        <v>61</v>
      </c>
      <c r="E12" s="379" t="s">
        <v>1469</v>
      </c>
      <c r="F12" s="379">
        <v>1254.5</v>
      </c>
      <c r="G12" s="379">
        <v>36</v>
      </c>
      <c r="I12" s="359">
        <f t="shared" si="0"/>
        <v>332</v>
      </c>
    </row>
    <row r="13" spans="1:9" ht="15" x14ac:dyDescent="0.25">
      <c r="A13" s="379">
        <v>12</v>
      </c>
      <c r="B13" s="379">
        <v>11</v>
      </c>
      <c r="C13" s="379" t="s">
        <v>400</v>
      </c>
      <c r="D13" s="379" t="s">
        <v>59</v>
      </c>
      <c r="E13" s="379" t="s">
        <v>1469</v>
      </c>
      <c r="F13" s="379">
        <v>1241.5</v>
      </c>
      <c r="G13" s="379">
        <v>12</v>
      </c>
      <c r="I13" s="359">
        <f t="shared" si="0"/>
        <v>785</v>
      </c>
    </row>
    <row r="14" spans="1:9" ht="15" x14ac:dyDescent="0.25">
      <c r="A14" s="379">
        <v>13</v>
      </c>
      <c r="B14" s="379">
        <v>15</v>
      </c>
      <c r="C14" s="379" t="s">
        <v>443</v>
      </c>
      <c r="D14" s="379" t="s">
        <v>64</v>
      </c>
      <c r="E14" s="379" t="s">
        <v>1469</v>
      </c>
      <c r="F14" s="379">
        <v>1237.5</v>
      </c>
      <c r="G14" s="379">
        <v>10</v>
      </c>
      <c r="I14" s="359">
        <f t="shared" si="0"/>
        <v>748</v>
      </c>
    </row>
    <row r="15" spans="1:9" ht="15" x14ac:dyDescent="0.25">
      <c r="A15" s="379">
        <v>14</v>
      </c>
      <c r="B15" s="379">
        <v>12</v>
      </c>
      <c r="C15" s="379" t="s">
        <v>412</v>
      </c>
      <c r="D15" s="379" t="s">
        <v>58</v>
      </c>
      <c r="E15" s="379" t="s">
        <v>1469</v>
      </c>
      <c r="F15" s="379">
        <v>1231.25</v>
      </c>
      <c r="G15" s="379">
        <v>13</v>
      </c>
      <c r="I15" s="359">
        <f t="shared" si="0"/>
        <v>296</v>
      </c>
    </row>
    <row r="16" spans="1:9" ht="15" x14ac:dyDescent="0.25">
      <c r="A16" s="379">
        <v>15</v>
      </c>
      <c r="B16" s="379">
        <v>14</v>
      </c>
      <c r="C16" s="379" t="s">
        <v>431</v>
      </c>
      <c r="D16" s="379" t="s">
        <v>58</v>
      </c>
      <c r="E16" s="379" t="s">
        <v>1469</v>
      </c>
      <c r="F16" s="379">
        <v>1161.75</v>
      </c>
      <c r="G16" s="379">
        <v>17</v>
      </c>
      <c r="I16" s="359">
        <f t="shared" si="0"/>
        <v>57</v>
      </c>
    </row>
    <row r="17" spans="1:9" ht="15" x14ac:dyDescent="0.25">
      <c r="A17" s="379">
        <v>16</v>
      </c>
      <c r="B17" s="379">
        <v>20</v>
      </c>
      <c r="C17" s="379" t="s">
        <v>409</v>
      </c>
      <c r="D17" s="379" t="s">
        <v>59</v>
      </c>
      <c r="E17" s="379" t="s">
        <v>1469</v>
      </c>
      <c r="F17" s="379">
        <v>1117</v>
      </c>
      <c r="G17" s="379">
        <v>22</v>
      </c>
      <c r="I17" s="359">
        <f t="shared" si="0"/>
        <v>205</v>
      </c>
    </row>
    <row r="18" spans="1:9" ht="15" x14ac:dyDescent="0.25">
      <c r="A18" s="379">
        <v>17</v>
      </c>
      <c r="B18" s="379">
        <v>16</v>
      </c>
      <c r="C18" s="379" t="s">
        <v>413</v>
      </c>
      <c r="D18" s="379" t="s">
        <v>58</v>
      </c>
      <c r="E18" s="379" t="s">
        <v>1469</v>
      </c>
      <c r="F18" s="379">
        <v>1073.75</v>
      </c>
      <c r="G18" s="379">
        <v>14</v>
      </c>
      <c r="I18" s="359">
        <f t="shared" si="0"/>
        <v>599</v>
      </c>
    </row>
    <row r="19" spans="1:9" ht="15" x14ac:dyDescent="0.25">
      <c r="A19" s="379">
        <v>18</v>
      </c>
      <c r="B19" s="379">
        <v>17</v>
      </c>
      <c r="C19" s="379" t="s">
        <v>410</v>
      </c>
      <c r="D19" s="379" t="s">
        <v>61</v>
      </c>
      <c r="E19" s="379" t="s">
        <v>1469</v>
      </c>
      <c r="F19" s="379">
        <v>1024</v>
      </c>
      <c r="G19" s="379">
        <v>23</v>
      </c>
      <c r="I19" s="359">
        <f t="shared" si="0"/>
        <v>842</v>
      </c>
    </row>
    <row r="20" spans="1:9" ht="15" x14ac:dyDescent="0.25">
      <c r="A20" s="379">
        <v>19</v>
      </c>
      <c r="B20" s="379">
        <v>21</v>
      </c>
      <c r="C20" s="379" t="s">
        <v>417</v>
      </c>
      <c r="D20" s="379" t="s">
        <v>61</v>
      </c>
      <c r="E20" s="379" t="s">
        <v>1469</v>
      </c>
      <c r="F20" s="379">
        <v>981</v>
      </c>
      <c r="G20" s="379">
        <v>34</v>
      </c>
      <c r="I20" s="359">
        <f t="shared" si="0"/>
        <v>919</v>
      </c>
    </row>
    <row r="21" spans="1:9" ht="15" x14ac:dyDescent="0.25">
      <c r="A21" s="379">
        <v>20</v>
      </c>
      <c r="B21" s="379">
        <v>19</v>
      </c>
      <c r="C21" s="379" t="s">
        <v>398</v>
      </c>
      <c r="D21" s="379" t="s">
        <v>59</v>
      </c>
      <c r="E21" s="379" t="s">
        <v>1469</v>
      </c>
      <c r="F21" s="379">
        <v>916</v>
      </c>
      <c r="G21" s="379">
        <v>8</v>
      </c>
      <c r="I21" s="359">
        <f t="shared" si="0"/>
        <v>645</v>
      </c>
    </row>
    <row r="22" spans="1:9" ht="15" x14ac:dyDescent="0.25">
      <c r="A22" s="379">
        <v>21</v>
      </c>
      <c r="B22" s="379">
        <v>18</v>
      </c>
      <c r="C22" s="379" t="s">
        <v>408</v>
      </c>
      <c r="D22" s="379" t="s">
        <v>59</v>
      </c>
      <c r="E22" s="379" t="s">
        <v>1469</v>
      </c>
      <c r="F22" s="379">
        <v>908.8</v>
      </c>
      <c r="G22" s="379">
        <v>11</v>
      </c>
      <c r="I22" s="359">
        <f t="shared" si="0"/>
        <v>557</v>
      </c>
    </row>
    <row r="23" spans="1:9" ht="15" x14ac:dyDescent="0.25">
      <c r="A23" s="379">
        <v>22</v>
      </c>
      <c r="B23" s="379">
        <v>23</v>
      </c>
      <c r="C23" s="379" t="s">
        <v>424</v>
      </c>
      <c r="D23" s="379" t="s">
        <v>61</v>
      </c>
      <c r="E23" s="379" t="s">
        <v>1470</v>
      </c>
      <c r="F23" s="379">
        <v>888.5</v>
      </c>
      <c r="G23" s="379">
        <v>25</v>
      </c>
      <c r="I23" s="359">
        <f t="shared" si="0"/>
        <v>112</v>
      </c>
    </row>
    <row r="24" spans="1:9" ht="15" x14ac:dyDescent="0.25">
      <c r="A24" s="379">
        <v>23</v>
      </c>
      <c r="B24" s="379">
        <v>22</v>
      </c>
      <c r="C24" s="379" t="s">
        <v>453</v>
      </c>
      <c r="D24" s="379" t="s">
        <v>61</v>
      </c>
      <c r="E24" s="379" t="s">
        <v>1469</v>
      </c>
      <c r="F24" s="379">
        <v>862.5</v>
      </c>
      <c r="G24" s="379">
        <v>16</v>
      </c>
      <c r="I24" s="359">
        <f t="shared" si="0"/>
        <v>290</v>
      </c>
    </row>
    <row r="25" spans="1:9" ht="15" x14ac:dyDescent="0.25">
      <c r="A25" s="379">
        <v>24</v>
      </c>
      <c r="B25" s="379">
        <v>25</v>
      </c>
      <c r="C25" s="379" t="s">
        <v>465</v>
      </c>
      <c r="D25" s="379" t="s">
        <v>61</v>
      </c>
      <c r="E25" s="379" t="s">
        <v>1469</v>
      </c>
      <c r="F25" s="379">
        <v>834.75</v>
      </c>
      <c r="G25" s="379">
        <v>8</v>
      </c>
      <c r="I25" s="359">
        <f t="shared" si="0"/>
        <v>843</v>
      </c>
    </row>
    <row r="26" spans="1:9" ht="15" x14ac:dyDescent="0.25">
      <c r="A26" s="379">
        <v>25</v>
      </c>
      <c r="B26" s="379">
        <v>26</v>
      </c>
      <c r="C26" s="379" t="s">
        <v>462</v>
      </c>
      <c r="D26" s="379" t="s">
        <v>58</v>
      </c>
      <c r="E26" s="379" t="s">
        <v>1469</v>
      </c>
      <c r="F26" s="379">
        <v>830.6</v>
      </c>
      <c r="G26" s="379">
        <v>8</v>
      </c>
      <c r="I26" s="359">
        <f t="shared" si="0"/>
        <v>58</v>
      </c>
    </row>
    <row r="27" spans="1:9" ht="15" x14ac:dyDescent="0.25">
      <c r="A27" s="379">
        <v>26</v>
      </c>
      <c r="B27" s="379">
        <v>27</v>
      </c>
      <c r="C27" s="379" t="s">
        <v>766</v>
      </c>
      <c r="D27" s="379" t="s">
        <v>58</v>
      </c>
      <c r="E27" s="379" t="s">
        <v>1469</v>
      </c>
      <c r="F27" s="379">
        <v>807.75</v>
      </c>
      <c r="G27" s="379">
        <v>17</v>
      </c>
      <c r="I27" s="359">
        <f t="shared" si="0"/>
        <v>45</v>
      </c>
    </row>
    <row r="28" spans="1:9" ht="15" x14ac:dyDescent="0.25">
      <c r="A28" s="379">
        <v>27</v>
      </c>
      <c r="B28" s="379">
        <v>28</v>
      </c>
      <c r="C28" s="379" t="s">
        <v>401</v>
      </c>
      <c r="D28" s="379" t="s">
        <v>58</v>
      </c>
      <c r="E28" s="379" t="s">
        <v>1469</v>
      </c>
      <c r="F28" s="379">
        <v>772.52499999999998</v>
      </c>
      <c r="G28" s="379">
        <v>9</v>
      </c>
      <c r="I28" s="359">
        <f t="shared" si="0"/>
        <v>298</v>
      </c>
    </row>
    <row r="29" spans="1:9" ht="15" x14ac:dyDescent="0.25">
      <c r="A29" s="379">
        <v>28</v>
      </c>
      <c r="B29" s="379">
        <v>29</v>
      </c>
      <c r="C29" s="379" t="s">
        <v>1273</v>
      </c>
      <c r="D29" s="379" t="s">
        <v>58</v>
      </c>
      <c r="E29" s="379" t="s">
        <v>1469</v>
      </c>
      <c r="F29" s="379">
        <v>767.35</v>
      </c>
      <c r="G29" s="379">
        <v>7</v>
      </c>
      <c r="I29" s="359">
        <f t="shared" si="0"/>
        <v>176</v>
      </c>
    </row>
    <row r="30" spans="1:9" ht="15" x14ac:dyDescent="0.25">
      <c r="A30" s="379">
        <v>29</v>
      </c>
      <c r="B30" s="379">
        <v>47</v>
      </c>
      <c r="C30" s="379" t="s">
        <v>598</v>
      </c>
      <c r="D30" s="379" t="s">
        <v>65</v>
      </c>
      <c r="E30" s="379" t="s">
        <v>1469</v>
      </c>
      <c r="F30" s="379">
        <v>766.75</v>
      </c>
      <c r="G30" s="379">
        <v>12</v>
      </c>
      <c r="I30" s="359">
        <f t="shared" si="0"/>
        <v>97</v>
      </c>
    </row>
    <row r="31" spans="1:9" ht="15" x14ac:dyDescent="0.25">
      <c r="A31" s="379">
        <v>30</v>
      </c>
      <c r="B31" s="379">
        <v>40</v>
      </c>
      <c r="C31" s="379" t="s">
        <v>1280</v>
      </c>
      <c r="D31" s="379" t="s">
        <v>58</v>
      </c>
      <c r="E31" s="379" t="s">
        <v>1469</v>
      </c>
      <c r="F31" s="379">
        <v>750.25</v>
      </c>
      <c r="G31" s="379">
        <v>27</v>
      </c>
      <c r="I31" s="359">
        <f t="shared" si="0"/>
        <v>329</v>
      </c>
    </row>
    <row r="32" spans="1:9" ht="15" x14ac:dyDescent="0.25">
      <c r="A32" s="379">
        <v>31</v>
      </c>
      <c r="B32" s="379">
        <v>24</v>
      </c>
      <c r="C32" s="379" t="s">
        <v>441</v>
      </c>
      <c r="D32" s="379" t="s">
        <v>61</v>
      </c>
      <c r="E32" s="379" t="s">
        <v>1469</v>
      </c>
      <c r="F32" s="379">
        <v>750</v>
      </c>
      <c r="G32" s="379">
        <v>7</v>
      </c>
      <c r="I32" s="359">
        <f t="shared" si="0"/>
        <v>81</v>
      </c>
    </row>
    <row r="33" spans="1:9" ht="15" x14ac:dyDescent="0.25">
      <c r="A33" s="379">
        <v>32</v>
      </c>
      <c r="B33" s="379">
        <v>37</v>
      </c>
      <c r="C33" s="379" t="s">
        <v>1210</v>
      </c>
      <c r="D33" s="379" t="s">
        <v>61</v>
      </c>
      <c r="E33" s="379" t="s">
        <v>1469</v>
      </c>
      <c r="F33" s="379">
        <v>740.25</v>
      </c>
      <c r="G33" s="379">
        <v>33</v>
      </c>
      <c r="I33" s="359">
        <f t="shared" si="0"/>
        <v>932</v>
      </c>
    </row>
    <row r="34" spans="1:9" ht="15" x14ac:dyDescent="0.25">
      <c r="A34" s="379">
        <v>33</v>
      </c>
      <c r="B34" s="379">
        <v>31</v>
      </c>
      <c r="C34" s="379" t="s">
        <v>1290</v>
      </c>
      <c r="D34" s="379" t="s">
        <v>58</v>
      </c>
      <c r="E34" s="379" t="s">
        <v>1469</v>
      </c>
      <c r="F34" s="379">
        <v>729</v>
      </c>
      <c r="G34" s="379">
        <v>14</v>
      </c>
      <c r="I34" s="359">
        <f t="shared" si="0"/>
        <v>651</v>
      </c>
    </row>
    <row r="35" spans="1:9" ht="15" x14ac:dyDescent="0.25">
      <c r="A35" s="379">
        <v>34</v>
      </c>
      <c r="B35" s="379">
        <v>63</v>
      </c>
      <c r="C35" s="379" t="s">
        <v>1275</v>
      </c>
      <c r="D35" s="379" t="s">
        <v>61</v>
      </c>
      <c r="E35" s="379" t="s">
        <v>1469</v>
      </c>
      <c r="F35" s="379">
        <v>726.25</v>
      </c>
      <c r="G35" s="379">
        <v>12</v>
      </c>
      <c r="I35" s="359">
        <f t="shared" si="0"/>
        <v>370</v>
      </c>
    </row>
    <row r="36" spans="1:9" ht="15" x14ac:dyDescent="0.25">
      <c r="A36" s="379">
        <v>35</v>
      </c>
      <c r="B36" s="379">
        <v>34</v>
      </c>
      <c r="C36" s="379" t="s">
        <v>414</v>
      </c>
      <c r="D36" s="379" t="s">
        <v>61</v>
      </c>
      <c r="E36" s="379" t="s">
        <v>1469</v>
      </c>
      <c r="F36" s="379">
        <v>720.5</v>
      </c>
      <c r="G36" s="379">
        <v>14</v>
      </c>
      <c r="I36" s="359">
        <f t="shared" si="0"/>
        <v>809</v>
      </c>
    </row>
    <row r="37" spans="1:9" ht="15" x14ac:dyDescent="0.25">
      <c r="A37" s="379">
        <v>36</v>
      </c>
      <c r="B37" s="379">
        <v>36</v>
      </c>
      <c r="C37" s="379" t="s">
        <v>1413</v>
      </c>
      <c r="D37" s="379" t="s">
        <v>65</v>
      </c>
      <c r="E37" s="379" t="s">
        <v>1469</v>
      </c>
      <c r="F37" s="379">
        <v>712.25</v>
      </c>
      <c r="G37" s="379">
        <v>16</v>
      </c>
      <c r="I37" s="359">
        <f t="shared" si="0"/>
        <v>992</v>
      </c>
    </row>
    <row r="38" spans="1:9" ht="15" x14ac:dyDescent="0.25">
      <c r="A38" s="379">
        <v>37</v>
      </c>
      <c r="B38" s="379">
        <v>35</v>
      </c>
      <c r="C38" s="379" t="s">
        <v>1409</v>
      </c>
      <c r="D38" s="379" t="s">
        <v>61</v>
      </c>
      <c r="E38" s="379" t="s">
        <v>1469</v>
      </c>
      <c r="F38" s="379">
        <v>705</v>
      </c>
      <c r="G38" s="379">
        <v>10</v>
      </c>
      <c r="I38" s="359">
        <f t="shared" si="0"/>
        <v>967</v>
      </c>
    </row>
    <row r="39" spans="1:9" ht="15" x14ac:dyDescent="0.25">
      <c r="A39" s="379">
        <v>38</v>
      </c>
      <c r="B39" s="379">
        <v>32</v>
      </c>
      <c r="C39" s="379" t="s">
        <v>429</v>
      </c>
      <c r="D39" s="379" t="s">
        <v>58</v>
      </c>
      <c r="E39" s="379" t="s">
        <v>1469</v>
      </c>
      <c r="F39" s="379">
        <v>690.95</v>
      </c>
      <c r="G39" s="379">
        <v>15</v>
      </c>
      <c r="I39" s="359">
        <f t="shared" si="0"/>
        <v>87</v>
      </c>
    </row>
    <row r="40" spans="1:9" ht="15" x14ac:dyDescent="0.25">
      <c r="A40" s="379">
        <v>39</v>
      </c>
      <c r="B40" s="379">
        <v>65</v>
      </c>
      <c r="C40" s="379" t="s">
        <v>436</v>
      </c>
      <c r="D40" s="379" t="s">
        <v>61</v>
      </c>
      <c r="E40" s="379" t="s">
        <v>1469</v>
      </c>
      <c r="F40" s="379">
        <v>677.45</v>
      </c>
      <c r="G40" s="379">
        <v>9</v>
      </c>
      <c r="I40" s="359">
        <f t="shared" si="0"/>
        <v>874</v>
      </c>
    </row>
    <row r="41" spans="1:9" ht="15" x14ac:dyDescent="0.25">
      <c r="A41" s="379">
        <v>40</v>
      </c>
      <c r="B41" s="379">
        <v>43</v>
      </c>
      <c r="C41" s="379" t="s">
        <v>1296</v>
      </c>
      <c r="D41" s="379" t="s">
        <v>58</v>
      </c>
      <c r="E41" s="379" t="s">
        <v>1469</v>
      </c>
      <c r="F41" s="379">
        <v>664</v>
      </c>
      <c r="G41" s="379">
        <v>14</v>
      </c>
      <c r="I41" s="359">
        <f t="shared" si="0"/>
        <v>265</v>
      </c>
    </row>
    <row r="42" spans="1:9" ht="15" x14ac:dyDescent="0.25">
      <c r="A42" s="379">
        <v>41</v>
      </c>
      <c r="B42" s="379">
        <v>48</v>
      </c>
      <c r="C42" s="379" t="s">
        <v>1471</v>
      </c>
      <c r="D42" s="379" t="s">
        <v>75</v>
      </c>
      <c r="E42" s="379" t="s">
        <v>1469</v>
      </c>
      <c r="F42" s="379">
        <v>660.5</v>
      </c>
      <c r="G42" s="379">
        <v>14</v>
      </c>
      <c r="I42" s="359">
        <f t="shared" si="0"/>
        <v>554</v>
      </c>
    </row>
    <row r="43" spans="1:9" ht="15" x14ac:dyDescent="0.25">
      <c r="A43" s="379">
        <v>42</v>
      </c>
      <c r="B43" s="379">
        <v>39</v>
      </c>
      <c r="C43" s="379" t="s">
        <v>407</v>
      </c>
      <c r="D43" s="379" t="s">
        <v>61</v>
      </c>
      <c r="E43" s="379" t="s">
        <v>1469</v>
      </c>
      <c r="F43" s="379">
        <v>646.75</v>
      </c>
      <c r="G43" s="379">
        <v>6</v>
      </c>
      <c r="I43" s="359">
        <f t="shared" si="0"/>
        <v>764</v>
      </c>
    </row>
    <row r="44" spans="1:9" ht="15" x14ac:dyDescent="0.25">
      <c r="A44" s="379">
        <v>43</v>
      </c>
      <c r="B44" s="379">
        <v>41</v>
      </c>
      <c r="C44" s="379" t="s">
        <v>421</v>
      </c>
      <c r="D44" s="379" t="s">
        <v>61</v>
      </c>
      <c r="E44" s="379" t="s">
        <v>1470</v>
      </c>
      <c r="F44" s="379">
        <v>644.5</v>
      </c>
      <c r="G44" s="379">
        <v>29</v>
      </c>
      <c r="I44" s="359">
        <f t="shared" si="0"/>
        <v>395</v>
      </c>
    </row>
    <row r="45" spans="1:9" ht="15" x14ac:dyDescent="0.25">
      <c r="A45" s="379">
        <v>44</v>
      </c>
      <c r="B45" s="379">
        <v>52</v>
      </c>
      <c r="C45" s="379" t="s">
        <v>1638</v>
      </c>
      <c r="D45" s="379" t="s">
        <v>191</v>
      </c>
      <c r="E45" s="379" t="s">
        <v>1469</v>
      </c>
      <c r="F45" s="379">
        <v>627.20000000000005</v>
      </c>
      <c r="G45" s="379">
        <v>13</v>
      </c>
      <c r="I45" s="359">
        <f t="shared" si="0"/>
        <v>883</v>
      </c>
    </row>
    <row r="46" spans="1:9" ht="15" x14ac:dyDescent="0.25">
      <c r="A46" s="379">
        <v>45</v>
      </c>
      <c r="B46" s="379">
        <v>44</v>
      </c>
      <c r="C46" s="379" t="s">
        <v>611</v>
      </c>
      <c r="D46" s="379" t="s">
        <v>58</v>
      </c>
      <c r="E46" s="379" t="s">
        <v>1469</v>
      </c>
      <c r="F46" s="379">
        <v>626</v>
      </c>
      <c r="G46" s="379">
        <v>11</v>
      </c>
      <c r="I46" s="359">
        <f t="shared" si="0"/>
        <v>218</v>
      </c>
    </row>
    <row r="47" spans="1:9" ht="15" x14ac:dyDescent="0.25">
      <c r="A47" s="379">
        <v>46</v>
      </c>
      <c r="B47" s="379">
        <v>30</v>
      </c>
      <c r="C47" s="379" t="s">
        <v>396</v>
      </c>
      <c r="D47" s="379" t="s">
        <v>59</v>
      </c>
      <c r="E47" s="379" t="s">
        <v>1469</v>
      </c>
      <c r="F47" s="379">
        <v>618.25</v>
      </c>
      <c r="G47" s="379">
        <v>6</v>
      </c>
      <c r="I47" s="359">
        <f t="shared" si="0"/>
        <v>411</v>
      </c>
    </row>
    <row r="48" spans="1:9" ht="15" x14ac:dyDescent="0.25">
      <c r="A48" s="379">
        <v>47</v>
      </c>
      <c r="B48" s="379">
        <v>45</v>
      </c>
      <c r="C48" s="379" t="s">
        <v>585</v>
      </c>
      <c r="D48" s="379" t="s">
        <v>58</v>
      </c>
      <c r="E48" s="379" t="s">
        <v>1469</v>
      </c>
      <c r="F48" s="379">
        <v>617</v>
      </c>
      <c r="G48" s="379">
        <v>12</v>
      </c>
      <c r="I48" s="359">
        <f t="shared" si="0"/>
        <v>48</v>
      </c>
    </row>
    <row r="49" spans="1:9" ht="15" x14ac:dyDescent="0.25">
      <c r="A49" s="379">
        <v>48</v>
      </c>
      <c r="B49" s="379">
        <v>42</v>
      </c>
      <c r="C49" s="379" t="s">
        <v>449</v>
      </c>
      <c r="D49" s="379" t="s">
        <v>61</v>
      </c>
      <c r="E49" s="379" t="s">
        <v>1469</v>
      </c>
      <c r="F49" s="379">
        <v>585.5</v>
      </c>
      <c r="G49" s="379">
        <v>8</v>
      </c>
      <c r="I49" s="359">
        <f t="shared" si="0"/>
        <v>602</v>
      </c>
    </row>
    <row r="50" spans="1:9" ht="15" x14ac:dyDescent="0.25">
      <c r="A50" s="379">
        <v>49</v>
      </c>
      <c r="B50" s="379">
        <v>49</v>
      </c>
      <c r="C50" s="379" t="s">
        <v>420</v>
      </c>
      <c r="D50" s="379" t="s">
        <v>58</v>
      </c>
      <c r="E50" s="379" t="s">
        <v>1469</v>
      </c>
      <c r="F50" s="379">
        <v>571.6</v>
      </c>
      <c r="G50" s="379">
        <v>8</v>
      </c>
      <c r="I50" s="359">
        <f t="shared" si="0"/>
        <v>274</v>
      </c>
    </row>
    <row r="51" spans="1:9" ht="15" x14ac:dyDescent="0.25">
      <c r="A51" s="379">
        <v>50</v>
      </c>
      <c r="B51" s="379">
        <v>58</v>
      </c>
      <c r="C51" s="379" t="s">
        <v>1279</v>
      </c>
      <c r="D51" s="379" t="s">
        <v>58</v>
      </c>
      <c r="E51" s="379" t="s">
        <v>1469</v>
      </c>
      <c r="F51" s="379">
        <v>569.75</v>
      </c>
      <c r="G51" s="379">
        <v>9</v>
      </c>
      <c r="I51" s="359">
        <f t="shared" si="0"/>
        <v>300</v>
      </c>
    </row>
    <row r="52" spans="1:9" ht="15" x14ac:dyDescent="0.25">
      <c r="A52" s="379">
        <v>51</v>
      </c>
      <c r="B52" s="379">
        <v>33</v>
      </c>
      <c r="C52" s="379" t="s">
        <v>1274</v>
      </c>
      <c r="D52" s="379" t="s">
        <v>61</v>
      </c>
      <c r="E52" s="379" t="s">
        <v>1469</v>
      </c>
      <c r="F52" s="379">
        <v>562.5</v>
      </c>
      <c r="G52" s="379">
        <v>7</v>
      </c>
      <c r="I52" s="359">
        <f t="shared" si="0"/>
        <v>973</v>
      </c>
    </row>
    <row r="53" spans="1:9" ht="15" x14ac:dyDescent="0.25">
      <c r="A53" s="379">
        <v>52</v>
      </c>
      <c r="B53" s="379">
        <v>38</v>
      </c>
      <c r="C53" s="379" t="s">
        <v>1639</v>
      </c>
      <c r="D53" s="379" t="s">
        <v>65</v>
      </c>
      <c r="E53" s="379" t="s">
        <v>1469</v>
      </c>
      <c r="F53" s="379">
        <v>557.5</v>
      </c>
      <c r="G53" s="379">
        <v>11</v>
      </c>
      <c r="I53" s="359">
        <f t="shared" si="0"/>
        <v>981</v>
      </c>
    </row>
    <row r="54" spans="1:9" ht="15" x14ac:dyDescent="0.25">
      <c r="A54" s="379">
        <v>53</v>
      </c>
      <c r="B54" s="379">
        <v>51</v>
      </c>
      <c r="C54" s="379" t="s">
        <v>1414</v>
      </c>
      <c r="D54" s="379" t="s">
        <v>58</v>
      </c>
      <c r="E54" s="379" t="s">
        <v>1469</v>
      </c>
      <c r="F54" s="379">
        <v>552.25</v>
      </c>
      <c r="G54" s="379">
        <v>7</v>
      </c>
      <c r="I54" s="359">
        <f t="shared" si="0"/>
        <v>318</v>
      </c>
    </row>
    <row r="55" spans="1:9" ht="15" x14ac:dyDescent="0.25">
      <c r="A55" s="379">
        <v>54</v>
      </c>
      <c r="B55" s="379">
        <v>46</v>
      </c>
      <c r="C55" s="379" t="s">
        <v>503</v>
      </c>
      <c r="D55" s="379" t="s">
        <v>64</v>
      </c>
      <c r="E55" s="379" t="s">
        <v>1469</v>
      </c>
      <c r="F55" s="379">
        <v>546.9</v>
      </c>
      <c r="G55" s="379">
        <v>15</v>
      </c>
      <c r="I55" s="359">
        <f t="shared" si="0"/>
        <v>414</v>
      </c>
    </row>
    <row r="56" spans="1:9" ht="15" x14ac:dyDescent="0.25">
      <c r="A56" s="379">
        <v>55</v>
      </c>
      <c r="B56" s="379">
        <v>54</v>
      </c>
      <c r="C56" s="379" t="s">
        <v>451</v>
      </c>
      <c r="D56" s="379" t="s">
        <v>61</v>
      </c>
      <c r="E56" s="379" t="s">
        <v>1469</v>
      </c>
      <c r="F56" s="379">
        <v>542.54999999999995</v>
      </c>
      <c r="G56" s="379">
        <v>9</v>
      </c>
      <c r="I56" s="359">
        <f t="shared" si="0"/>
        <v>454</v>
      </c>
    </row>
    <row r="57" spans="1:9" ht="15" x14ac:dyDescent="0.25">
      <c r="A57" s="379">
        <v>56</v>
      </c>
      <c r="B57" s="379">
        <v>57</v>
      </c>
      <c r="C57" s="379" t="s">
        <v>470</v>
      </c>
      <c r="D57" s="379" t="s">
        <v>58</v>
      </c>
      <c r="E57" s="379" t="s">
        <v>1469</v>
      </c>
      <c r="F57" s="379">
        <v>520</v>
      </c>
      <c r="G57" s="379">
        <v>10</v>
      </c>
      <c r="I57" s="359">
        <f t="shared" si="0"/>
        <v>56</v>
      </c>
    </row>
    <row r="58" spans="1:9" ht="15" x14ac:dyDescent="0.25">
      <c r="A58" s="379">
        <v>57</v>
      </c>
      <c r="B58" s="379">
        <v>55</v>
      </c>
      <c r="C58" s="379" t="s">
        <v>1184</v>
      </c>
      <c r="D58" s="379" t="s">
        <v>61</v>
      </c>
      <c r="E58" s="379" t="s">
        <v>1469</v>
      </c>
      <c r="F58" s="379">
        <v>519</v>
      </c>
      <c r="G58" s="379">
        <v>7</v>
      </c>
      <c r="I58" s="359">
        <f t="shared" si="0"/>
        <v>601</v>
      </c>
    </row>
    <row r="59" spans="1:9" ht="15" x14ac:dyDescent="0.25">
      <c r="A59" s="379">
        <v>58</v>
      </c>
      <c r="B59" s="379">
        <v>77</v>
      </c>
      <c r="C59" s="379" t="s">
        <v>444</v>
      </c>
      <c r="D59" s="379" t="s">
        <v>68</v>
      </c>
      <c r="E59" s="379" t="s">
        <v>1469</v>
      </c>
      <c r="F59" s="379">
        <v>516.79999999999995</v>
      </c>
      <c r="G59" s="379">
        <v>8</v>
      </c>
      <c r="I59" s="359">
        <f t="shared" si="0"/>
        <v>429</v>
      </c>
    </row>
    <row r="60" spans="1:9" ht="15" x14ac:dyDescent="0.25">
      <c r="A60" s="379">
        <v>59</v>
      </c>
      <c r="B60" s="379">
        <v>56</v>
      </c>
      <c r="C60" s="379" t="s">
        <v>481</v>
      </c>
      <c r="D60" s="379" t="s">
        <v>59</v>
      </c>
      <c r="E60" s="379" t="s">
        <v>1469</v>
      </c>
      <c r="F60" s="379">
        <v>506.15</v>
      </c>
      <c r="G60" s="379">
        <v>11</v>
      </c>
      <c r="I60" s="359">
        <f t="shared" si="0"/>
        <v>684</v>
      </c>
    </row>
    <row r="61" spans="1:9" ht="15" x14ac:dyDescent="0.25">
      <c r="A61" s="379">
        <v>60</v>
      </c>
      <c r="B61" s="379">
        <v>50</v>
      </c>
      <c r="C61" s="379" t="s">
        <v>427</v>
      </c>
      <c r="D61" s="379" t="s">
        <v>61</v>
      </c>
      <c r="E61" s="379" t="s">
        <v>1469</v>
      </c>
      <c r="F61" s="379">
        <v>505</v>
      </c>
      <c r="G61" s="379">
        <v>6</v>
      </c>
      <c r="I61" s="359">
        <f t="shared" si="0"/>
        <v>620</v>
      </c>
    </row>
    <row r="62" spans="1:9" ht="15" x14ac:dyDescent="0.25">
      <c r="A62" s="379">
        <v>61</v>
      </c>
      <c r="B62" s="379">
        <v>59</v>
      </c>
      <c r="C62" s="379" t="s">
        <v>569</v>
      </c>
      <c r="D62" s="379" t="s">
        <v>58</v>
      </c>
      <c r="E62" s="379" t="s">
        <v>1469</v>
      </c>
      <c r="F62" s="379">
        <v>502</v>
      </c>
      <c r="G62" s="379">
        <v>9</v>
      </c>
      <c r="I62" s="359">
        <f t="shared" si="0"/>
        <v>54</v>
      </c>
    </row>
    <row r="63" spans="1:9" ht="15" x14ac:dyDescent="0.25">
      <c r="A63" s="379">
        <v>62</v>
      </c>
      <c r="B63" s="379">
        <v>60</v>
      </c>
      <c r="C63" s="379" t="s">
        <v>419</v>
      </c>
      <c r="D63" s="379" t="s">
        <v>65</v>
      </c>
      <c r="E63" s="379" t="s">
        <v>1469</v>
      </c>
      <c r="F63" s="379">
        <v>499.2</v>
      </c>
      <c r="G63" s="379">
        <v>6</v>
      </c>
      <c r="I63" s="359">
        <f t="shared" si="0"/>
        <v>196</v>
      </c>
    </row>
    <row r="64" spans="1:9" ht="15" x14ac:dyDescent="0.25">
      <c r="A64" s="379">
        <v>63</v>
      </c>
      <c r="B64" s="379">
        <v>86</v>
      </c>
      <c r="C64" s="379" t="s">
        <v>1472</v>
      </c>
      <c r="D64" s="379" t="s">
        <v>65</v>
      </c>
      <c r="E64" s="379" t="s">
        <v>1469</v>
      </c>
      <c r="F64" s="379">
        <v>491.8</v>
      </c>
      <c r="G64" s="379">
        <v>7</v>
      </c>
      <c r="I64" s="359">
        <f t="shared" si="0"/>
        <v>206</v>
      </c>
    </row>
    <row r="65" spans="1:9" ht="15" x14ac:dyDescent="0.25">
      <c r="A65" s="379">
        <v>64</v>
      </c>
      <c r="B65" s="379">
        <v>61</v>
      </c>
      <c r="C65" s="379" t="s">
        <v>525</v>
      </c>
      <c r="D65" s="379" t="s">
        <v>58</v>
      </c>
      <c r="E65" s="379" t="s">
        <v>1469</v>
      </c>
      <c r="F65" s="379">
        <v>486.5</v>
      </c>
      <c r="G65" s="379">
        <v>14</v>
      </c>
      <c r="I65" s="359">
        <f t="shared" si="0"/>
        <v>652</v>
      </c>
    </row>
    <row r="66" spans="1:9" ht="15" x14ac:dyDescent="0.25">
      <c r="A66" s="379">
        <v>65</v>
      </c>
      <c r="B66" s="379">
        <v>71</v>
      </c>
      <c r="C66" s="379" t="s">
        <v>430</v>
      </c>
      <c r="D66" s="379" t="s">
        <v>61</v>
      </c>
      <c r="E66" s="379" t="s">
        <v>1469</v>
      </c>
      <c r="F66" s="379">
        <v>483</v>
      </c>
      <c r="G66" s="379">
        <v>13</v>
      </c>
      <c r="I66" s="359">
        <f t="shared" si="0"/>
        <v>107</v>
      </c>
    </row>
    <row r="67" spans="1:9" ht="15" x14ac:dyDescent="0.25">
      <c r="A67" s="379">
        <v>66</v>
      </c>
      <c r="B67" s="379">
        <v>62</v>
      </c>
      <c r="C67" s="379" t="s">
        <v>546</v>
      </c>
      <c r="D67" s="379" t="s">
        <v>58</v>
      </c>
      <c r="E67" s="379" t="s">
        <v>1469</v>
      </c>
      <c r="F67" s="379">
        <v>479.25</v>
      </c>
      <c r="G67" s="379">
        <v>9</v>
      </c>
      <c r="I67" s="359">
        <f t="shared" ref="I67:I130" si="1">SUMPRODUCT((C$2:C$1000 &lt; C67)+(C67="")*1000)</f>
        <v>854</v>
      </c>
    </row>
    <row r="68" spans="1:9" ht="15" x14ac:dyDescent="0.25">
      <c r="A68" s="379">
        <v>67</v>
      </c>
      <c r="B68" s="379">
        <v>92</v>
      </c>
      <c r="C68" s="379" t="s">
        <v>1261</v>
      </c>
      <c r="D68" s="379" t="s">
        <v>1281</v>
      </c>
      <c r="E68" s="379" t="s">
        <v>1469</v>
      </c>
      <c r="F68" s="379">
        <v>478.95</v>
      </c>
      <c r="G68" s="379">
        <v>11</v>
      </c>
      <c r="I68" s="359">
        <f t="shared" si="1"/>
        <v>260</v>
      </c>
    </row>
    <row r="69" spans="1:9" ht="15" x14ac:dyDescent="0.25">
      <c r="A69" s="379">
        <v>68</v>
      </c>
      <c r="B69" s="379">
        <v>53</v>
      </c>
      <c r="C69" s="379" t="s">
        <v>461</v>
      </c>
      <c r="D69" s="379" t="s">
        <v>59</v>
      </c>
      <c r="E69" s="379" t="s">
        <v>1470</v>
      </c>
      <c r="F69" s="379">
        <v>471.65</v>
      </c>
      <c r="G69" s="379">
        <v>19</v>
      </c>
      <c r="I69" s="359">
        <f t="shared" si="1"/>
        <v>577</v>
      </c>
    </row>
    <row r="70" spans="1:9" ht="15" x14ac:dyDescent="0.25">
      <c r="A70" s="379">
        <v>69</v>
      </c>
      <c r="B70" s="379">
        <v>68</v>
      </c>
      <c r="C70" s="379" t="s">
        <v>691</v>
      </c>
      <c r="D70" s="379" t="s">
        <v>61</v>
      </c>
      <c r="E70" s="379" t="s">
        <v>1469</v>
      </c>
      <c r="F70" s="379">
        <v>465.88</v>
      </c>
      <c r="G70" s="379">
        <v>10</v>
      </c>
      <c r="I70" s="359">
        <f t="shared" si="1"/>
        <v>719</v>
      </c>
    </row>
    <row r="71" spans="1:9" ht="15" x14ac:dyDescent="0.25">
      <c r="A71" s="379">
        <v>70</v>
      </c>
      <c r="B71" s="379">
        <v>64</v>
      </c>
      <c r="C71" s="379" t="s">
        <v>477</v>
      </c>
      <c r="D71" s="379" t="s">
        <v>58</v>
      </c>
      <c r="E71" s="379" t="s">
        <v>1469</v>
      </c>
      <c r="F71" s="379">
        <v>465</v>
      </c>
      <c r="G71" s="379">
        <v>6</v>
      </c>
      <c r="I71" s="359">
        <f t="shared" si="1"/>
        <v>605</v>
      </c>
    </row>
    <row r="72" spans="1:9" ht="15" x14ac:dyDescent="0.25">
      <c r="A72" s="379">
        <v>71</v>
      </c>
      <c r="B72" s="379">
        <v>73</v>
      </c>
      <c r="C72" s="379" t="s">
        <v>1410</v>
      </c>
      <c r="D72" s="379" t="s">
        <v>61</v>
      </c>
      <c r="E72" s="379" t="s">
        <v>1469</v>
      </c>
      <c r="F72" s="379">
        <v>463</v>
      </c>
      <c r="G72" s="379">
        <v>21</v>
      </c>
      <c r="I72" s="359">
        <f t="shared" si="1"/>
        <v>40</v>
      </c>
    </row>
    <row r="73" spans="1:9" ht="15" x14ac:dyDescent="0.25">
      <c r="A73" s="379">
        <v>72</v>
      </c>
      <c r="B73" s="379">
        <v>66</v>
      </c>
      <c r="C73" s="379" t="s">
        <v>425</v>
      </c>
      <c r="D73" s="379" t="s">
        <v>62</v>
      </c>
      <c r="E73" s="379" t="s">
        <v>1469</v>
      </c>
      <c r="F73" s="379">
        <v>461.5</v>
      </c>
      <c r="G73" s="379">
        <v>6</v>
      </c>
      <c r="I73" s="359">
        <f t="shared" si="1"/>
        <v>468</v>
      </c>
    </row>
    <row r="74" spans="1:9" ht="15" x14ac:dyDescent="0.25">
      <c r="A74" s="379">
        <v>73</v>
      </c>
      <c r="B74" s="379">
        <v>76</v>
      </c>
      <c r="C74" s="379" t="s">
        <v>483</v>
      </c>
      <c r="D74" s="379" t="s">
        <v>61</v>
      </c>
      <c r="E74" s="379" t="s">
        <v>1469</v>
      </c>
      <c r="F74" s="379">
        <v>456.75</v>
      </c>
      <c r="G74" s="379">
        <v>18</v>
      </c>
      <c r="I74" s="359">
        <f t="shared" si="1"/>
        <v>153</v>
      </c>
    </row>
    <row r="75" spans="1:9" ht="15" x14ac:dyDescent="0.25">
      <c r="A75" s="379">
        <v>74</v>
      </c>
      <c r="B75" s="379">
        <v>80</v>
      </c>
      <c r="C75" s="379" t="s">
        <v>1288</v>
      </c>
      <c r="D75" s="379" t="s">
        <v>61</v>
      </c>
      <c r="E75" s="379" t="s">
        <v>1470</v>
      </c>
      <c r="F75" s="379">
        <v>452</v>
      </c>
      <c r="G75" s="379">
        <v>22</v>
      </c>
      <c r="I75" s="359">
        <f t="shared" si="1"/>
        <v>860</v>
      </c>
    </row>
    <row r="76" spans="1:9" ht="15" x14ac:dyDescent="0.25">
      <c r="A76" s="379">
        <v>75</v>
      </c>
      <c r="B76" s="379">
        <v>69</v>
      </c>
      <c r="C76" s="379" t="s">
        <v>1019</v>
      </c>
      <c r="D76" s="379" t="s">
        <v>65</v>
      </c>
      <c r="E76" s="379" t="s">
        <v>1469</v>
      </c>
      <c r="F76" s="379">
        <v>439.38</v>
      </c>
      <c r="G76" s="379">
        <v>8</v>
      </c>
      <c r="I76" s="359">
        <f t="shared" si="1"/>
        <v>723</v>
      </c>
    </row>
    <row r="77" spans="1:9" ht="15" x14ac:dyDescent="0.25">
      <c r="A77" s="379">
        <v>76</v>
      </c>
      <c r="B77" s="379">
        <v>70</v>
      </c>
      <c r="C77" s="379" t="s">
        <v>551</v>
      </c>
      <c r="D77" s="379" t="s">
        <v>66</v>
      </c>
      <c r="E77" s="379" t="s">
        <v>1469</v>
      </c>
      <c r="F77" s="379">
        <v>438.28</v>
      </c>
      <c r="G77" s="379">
        <v>8</v>
      </c>
      <c r="I77" s="359">
        <f t="shared" si="1"/>
        <v>438</v>
      </c>
    </row>
    <row r="78" spans="1:9" ht="15" x14ac:dyDescent="0.25">
      <c r="A78" s="379">
        <v>77</v>
      </c>
      <c r="B78" s="379">
        <v>74</v>
      </c>
      <c r="C78" s="379" t="s">
        <v>495</v>
      </c>
      <c r="D78" s="379" t="s">
        <v>64</v>
      </c>
      <c r="E78" s="379" t="s">
        <v>1469</v>
      </c>
      <c r="F78" s="379">
        <v>412.83</v>
      </c>
      <c r="G78" s="379">
        <v>7</v>
      </c>
      <c r="I78" s="359">
        <f t="shared" si="1"/>
        <v>412</v>
      </c>
    </row>
    <row r="79" spans="1:9" ht="15" x14ac:dyDescent="0.25">
      <c r="A79" s="379">
        <v>78</v>
      </c>
      <c r="B79" s="379">
        <v>75</v>
      </c>
      <c r="C79" s="379" t="s">
        <v>442</v>
      </c>
      <c r="D79" s="379" t="s">
        <v>58</v>
      </c>
      <c r="E79" s="379" t="s">
        <v>1469</v>
      </c>
      <c r="F79" s="379">
        <v>411.1</v>
      </c>
      <c r="G79" s="379">
        <v>7</v>
      </c>
      <c r="I79" s="359">
        <f t="shared" si="1"/>
        <v>52</v>
      </c>
    </row>
    <row r="80" spans="1:9" ht="15" x14ac:dyDescent="0.25">
      <c r="A80" s="379">
        <v>79</v>
      </c>
      <c r="B80" s="379">
        <v>107</v>
      </c>
      <c r="C80" s="379" t="s">
        <v>498</v>
      </c>
      <c r="D80" s="379" t="s">
        <v>191</v>
      </c>
      <c r="E80" s="379" t="s">
        <v>1469</v>
      </c>
      <c r="F80" s="379">
        <v>409.3</v>
      </c>
      <c r="G80" s="379">
        <v>5</v>
      </c>
      <c r="I80" s="359">
        <f t="shared" si="1"/>
        <v>751</v>
      </c>
    </row>
    <row r="81" spans="1:9" ht="15" x14ac:dyDescent="0.25">
      <c r="A81" s="379">
        <v>80</v>
      </c>
      <c r="B81" s="379">
        <v>121</v>
      </c>
      <c r="C81" s="379" t="s">
        <v>1254</v>
      </c>
      <c r="D81" s="379" t="s">
        <v>75</v>
      </c>
      <c r="E81" s="379" t="s">
        <v>1469</v>
      </c>
      <c r="F81" s="379">
        <v>406.9</v>
      </c>
      <c r="G81" s="379">
        <v>8</v>
      </c>
      <c r="I81" s="359">
        <f t="shared" si="1"/>
        <v>641</v>
      </c>
    </row>
    <row r="82" spans="1:9" ht="15" x14ac:dyDescent="0.25">
      <c r="A82" s="379">
        <v>81</v>
      </c>
      <c r="B82" s="379">
        <v>78</v>
      </c>
      <c r="C82" s="379" t="s">
        <v>466</v>
      </c>
      <c r="D82" s="379" t="s">
        <v>58</v>
      </c>
      <c r="E82" s="379" t="s">
        <v>1469</v>
      </c>
      <c r="F82" s="379">
        <v>404</v>
      </c>
      <c r="G82" s="379">
        <v>4</v>
      </c>
      <c r="I82" s="359">
        <f t="shared" si="1"/>
        <v>18</v>
      </c>
    </row>
    <row r="83" spans="1:9" ht="15" x14ac:dyDescent="0.25">
      <c r="A83" s="379">
        <v>82</v>
      </c>
      <c r="B83" s="379">
        <v>79</v>
      </c>
      <c r="C83" s="379" t="s">
        <v>463</v>
      </c>
      <c r="D83" s="379" t="s">
        <v>58</v>
      </c>
      <c r="E83" s="379" t="s">
        <v>1469</v>
      </c>
      <c r="F83" s="379">
        <v>404</v>
      </c>
      <c r="G83" s="379">
        <v>8</v>
      </c>
      <c r="I83" s="359">
        <f t="shared" si="1"/>
        <v>263</v>
      </c>
    </row>
    <row r="84" spans="1:9" ht="15" x14ac:dyDescent="0.25">
      <c r="A84" s="379">
        <v>83</v>
      </c>
      <c r="B84" s="379">
        <v>72</v>
      </c>
      <c r="C84" s="379" t="s">
        <v>487</v>
      </c>
      <c r="D84" s="379" t="s">
        <v>59</v>
      </c>
      <c r="E84" s="379" t="s">
        <v>1469</v>
      </c>
      <c r="F84" s="379">
        <v>393.4</v>
      </c>
      <c r="G84" s="379">
        <v>6</v>
      </c>
      <c r="I84" s="359">
        <f t="shared" si="1"/>
        <v>493</v>
      </c>
    </row>
    <row r="85" spans="1:9" ht="15" x14ac:dyDescent="0.25">
      <c r="A85" s="379">
        <v>84</v>
      </c>
      <c r="B85" s="379">
        <v>82</v>
      </c>
      <c r="C85" s="379" t="s">
        <v>572</v>
      </c>
      <c r="D85" s="379" t="s">
        <v>58</v>
      </c>
      <c r="E85" s="379" t="s">
        <v>1469</v>
      </c>
      <c r="F85" s="379">
        <v>389.7</v>
      </c>
      <c r="G85" s="379">
        <v>6</v>
      </c>
      <c r="I85" s="359">
        <f t="shared" si="1"/>
        <v>649</v>
      </c>
    </row>
    <row r="86" spans="1:9" ht="15" x14ac:dyDescent="0.25">
      <c r="A86" s="379">
        <v>85</v>
      </c>
      <c r="B86" s="379">
        <v>112</v>
      </c>
      <c r="C86" s="379" t="s">
        <v>1282</v>
      </c>
      <c r="D86" s="379" t="s">
        <v>61</v>
      </c>
      <c r="E86" s="379" t="s">
        <v>1470</v>
      </c>
      <c r="F86" s="379">
        <v>369</v>
      </c>
      <c r="G86" s="379">
        <v>12</v>
      </c>
      <c r="I86" s="359">
        <f t="shared" si="1"/>
        <v>458</v>
      </c>
    </row>
    <row r="87" spans="1:9" ht="15" x14ac:dyDescent="0.25">
      <c r="A87" s="379">
        <v>86</v>
      </c>
      <c r="B87" s="379">
        <v>84</v>
      </c>
      <c r="C87" s="379" t="s">
        <v>1201</v>
      </c>
      <c r="D87" s="379" t="s">
        <v>59</v>
      </c>
      <c r="E87" s="379" t="s">
        <v>1470</v>
      </c>
      <c r="F87" s="379">
        <v>368.5</v>
      </c>
      <c r="G87" s="379">
        <v>27</v>
      </c>
      <c r="I87" s="359">
        <f t="shared" si="1"/>
        <v>514</v>
      </c>
    </row>
    <row r="88" spans="1:9" ht="15" x14ac:dyDescent="0.25">
      <c r="A88" s="379">
        <v>87</v>
      </c>
      <c r="B88" s="379">
        <v>67</v>
      </c>
      <c r="C88" s="379" t="s">
        <v>437</v>
      </c>
      <c r="D88" s="379" t="s">
        <v>59</v>
      </c>
      <c r="E88" s="379" t="s">
        <v>1469</v>
      </c>
      <c r="F88" s="379">
        <v>365.5</v>
      </c>
      <c r="G88" s="379">
        <v>5</v>
      </c>
      <c r="I88" s="359">
        <f t="shared" si="1"/>
        <v>231</v>
      </c>
    </row>
    <row r="89" spans="1:9" ht="15" x14ac:dyDescent="0.25">
      <c r="A89" s="379">
        <v>88</v>
      </c>
      <c r="B89" s="379">
        <v>81</v>
      </c>
      <c r="C89" s="379" t="s">
        <v>422</v>
      </c>
      <c r="D89" s="379" t="s">
        <v>59</v>
      </c>
      <c r="E89" s="379" t="s">
        <v>1469</v>
      </c>
      <c r="F89" s="379">
        <v>365.05</v>
      </c>
      <c r="G89" s="379">
        <v>9</v>
      </c>
      <c r="I89" s="359">
        <f t="shared" si="1"/>
        <v>200</v>
      </c>
    </row>
    <row r="90" spans="1:9" ht="15" x14ac:dyDescent="0.25">
      <c r="A90" s="379">
        <v>89</v>
      </c>
      <c r="B90" s="379">
        <v>88</v>
      </c>
      <c r="C90" s="379" t="s">
        <v>545</v>
      </c>
      <c r="D90" s="379" t="s">
        <v>73</v>
      </c>
      <c r="E90" s="379" t="s">
        <v>1469</v>
      </c>
      <c r="F90" s="379">
        <v>362.9</v>
      </c>
      <c r="G90" s="379">
        <v>5</v>
      </c>
      <c r="I90" s="359">
        <f t="shared" si="1"/>
        <v>729</v>
      </c>
    </row>
    <row r="91" spans="1:9" ht="15" x14ac:dyDescent="0.25">
      <c r="A91" s="379">
        <v>90</v>
      </c>
      <c r="B91" s="379">
        <v>93</v>
      </c>
      <c r="C91" s="379" t="s">
        <v>732</v>
      </c>
      <c r="D91" s="379" t="s">
        <v>59</v>
      </c>
      <c r="E91" s="379" t="s">
        <v>1469</v>
      </c>
      <c r="F91" s="379">
        <v>357.3</v>
      </c>
      <c r="G91" s="379">
        <v>13</v>
      </c>
      <c r="I91" s="359">
        <f t="shared" si="1"/>
        <v>797</v>
      </c>
    </row>
    <row r="92" spans="1:9" ht="15" x14ac:dyDescent="0.25">
      <c r="A92" s="379">
        <v>91</v>
      </c>
      <c r="B92" s="379">
        <v>90</v>
      </c>
      <c r="C92" s="379" t="s">
        <v>489</v>
      </c>
      <c r="D92" s="379" t="s">
        <v>58</v>
      </c>
      <c r="E92" s="379" t="s">
        <v>1469</v>
      </c>
      <c r="F92" s="379">
        <v>356.25</v>
      </c>
      <c r="G92" s="379">
        <v>6</v>
      </c>
      <c r="I92" s="359">
        <f t="shared" si="1"/>
        <v>811</v>
      </c>
    </row>
    <row r="93" spans="1:9" ht="15" x14ac:dyDescent="0.25">
      <c r="A93" s="379">
        <v>92</v>
      </c>
      <c r="B93" s="379">
        <v>91</v>
      </c>
      <c r="C93" s="379" t="s">
        <v>709</v>
      </c>
      <c r="D93" s="379" t="s">
        <v>58</v>
      </c>
      <c r="E93" s="379" t="s">
        <v>1470</v>
      </c>
      <c r="F93" s="379">
        <v>351</v>
      </c>
      <c r="G93" s="379">
        <v>22</v>
      </c>
      <c r="I93" s="359">
        <f t="shared" si="1"/>
        <v>76</v>
      </c>
    </row>
    <row r="94" spans="1:9" ht="15" x14ac:dyDescent="0.25">
      <c r="A94" s="379">
        <v>93</v>
      </c>
      <c r="B94" s="379">
        <v>85</v>
      </c>
      <c r="C94" s="379" t="s">
        <v>1253</v>
      </c>
      <c r="D94" s="379" t="s">
        <v>61</v>
      </c>
      <c r="E94" s="379" t="s">
        <v>1469</v>
      </c>
      <c r="F94" s="379">
        <v>340</v>
      </c>
      <c r="G94" s="379">
        <v>7</v>
      </c>
      <c r="I94" s="359">
        <f t="shared" si="1"/>
        <v>768</v>
      </c>
    </row>
    <row r="95" spans="1:9" ht="15" x14ac:dyDescent="0.25">
      <c r="A95" s="379">
        <v>94</v>
      </c>
      <c r="B95" s="379">
        <v>95</v>
      </c>
      <c r="C95" s="379" t="s">
        <v>1232</v>
      </c>
      <c r="D95" s="379" t="s">
        <v>61</v>
      </c>
      <c r="E95" s="379" t="s">
        <v>1469</v>
      </c>
      <c r="F95" s="379">
        <v>337</v>
      </c>
      <c r="G95" s="379">
        <v>6</v>
      </c>
      <c r="I95" s="359">
        <f t="shared" si="1"/>
        <v>248</v>
      </c>
    </row>
    <row r="96" spans="1:9" ht="15" x14ac:dyDescent="0.25">
      <c r="A96" s="379">
        <v>95</v>
      </c>
      <c r="B96" s="379">
        <v>97</v>
      </c>
      <c r="C96" s="379" t="s">
        <v>553</v>
      </c>
      <c r="D96" s="379" t="s">
        <v>59</v>
      </c>
      <c r="E96" s="379" t="s">
        <v>1469</v>
      </c>
      <c r="F96" s="379">
        <v>323.60000000000002</v>
      </c>
      <c r="G96" s="379">
        <v>4</v>
      </c>
      <c r="I96" s="359">
        <f t="shared" si="1"/>
        <v>816</v>
      </c>
    </row>
    <row r="97" spans="1:9" ht="15" x14ac:dyDescent="0.25">
      <c r="A97" s="379">
        <v>96</v>
      </c>
      <c r="B97" s="379">
        <v>98</v>
      </c>
      <c r="C97" s="379" t="s">
        <v>510</v>
      </c>
      <c r="D97" s="379" t="s">
        <v>58</v>
      </c>
      <c r="E97" s="379" t="s">
        <v>1469</v>
      </c>
      <c r="F97" s="379">
        <v>321.8125</v>
      </c>
      <c r="G97" s="379">
        <v>5</v>
      </c>
      <c r="I97" s="359">
        <f t="shared" si="1"/>
        <v>328</v>
      </c>
    </row>
    <row r="98" spans="1:9" ht="15" x14ac:dyDescent="0.25">
      <c r="A98" s="379">
        <v>97</v>
      </c>
      <c r="B98" s="379">
        <v>99</v>
      </c>
      <c r="C98" s="379" t="s">
        <v>439</v>
      </c>
      <c r="D98" s="379" t="s">
        <v>58</v>
      </c>
      <c r="E98" s="379" t="s">
        <v>1469</v>
      </c>
      <c r="F98" s="379">
        <v>318.75</v>
      </c>
      <c r="G98" s="379">
        <v>3</v>
      </c>
      <c r="I98" s="359">
        <f t="shared" si="1"/>
        <v>44</v>
      </c>
    </row>
    <row r="99" spans="1:9" ht="15" x14ac:dyDescent="0.25">
      <c r="A99" s="379">
        <v>98</v>
      </c>
      <c r="B99" s="379">
        <v>89</v>
      </c>
      <c r="C99" s="379" t="s">
        <v>767</v>
      </c>
      <c r="D99" s="379" t="s">
        <v>65</v>
      </c>
      <c r="E99" s="379" t="s">
        <v>1469</v>
      </c>
      <c r="F99" s="379">
        <v>316.8</v>
      </c>
      <c r="G99" s="379">
        <v>9</v>
      </c>
      <c r="I99" s="359">
        <f t="shared" si="1"/>
        <v>997</v>
      </c>
    </row>
    <row r="100" spans="1:9" ht="15" x14ac:dyDescent="0.25">
      <c r="A100" s="379">
        <v>99</v>
      </c>
      <c r="B100" s="379">
        <v>94</v>
      </c>
      <c r="C100" s="379" t="s">
        <v>532</v>
      </c>
      <c r="D100" s="379" t="s">
        <v>61</v>
      </c>
      <c r="E100" s="379" t="s">
        <v>1469</v>
      </c>
      <c r="F100" s="379">
        <v>308.38</v>
      </c>
      <c r="G100" s="379">
        <v>6</v>
      </c>
      <c r="I100" s="359">
        <f t="shared" si="1"/>
        <v>923</v>
      </c>
    </row>
    <row r="101" spans="1:9" ht="15" x14ac:dyDescent="0.25">
      <c r="A101" s="379">
        <v>100</v>
      </c>
      <c r="B101" s="379">
        <v>102</v>
      </c>
      <c r="C101" s="379" t="s">
        <v>478</v>
      </c>
      <c r="D101" s="379" t="s">
        <v>62</v>
      </c>
      <c r="E101" s="379" t="s">
        <v>1469</v>
      </c>
      <c r="F101" s="379">
        <v>308</v>
      </c>
      <c r="G101" s="379">
        <v>5</v>
      </c>
      <c r="I101" s="359">
        <f t="shared" si="1"/>
        <v>61</v>
      </c>
    </row>
    <row r="102" spans="1:9" ht="15" x14ac:dyDescent="0.25">
      <c r="A102" s="379">
        <v>101</v>
      </c>
      <c r="B102" s="379">
        <v>103</v>
      </c>
      <c r="C102" s="379" t="s">
        <v>1111</v>
      </c>
      <c r="D102" s="379" t="s">
        <v>59</v>
      </c>
      <c r="E102" s="379" t="s">
        <v>1469</v>
      </c>
      <c r="F102" s="379">
        <v>307.60000000000002</v>
      </c>
      <c r="G102" s="379">
        <v>4</v>
      </c>
      <c r="I102" s="359">
        <f t="shared" si="1"/>
        <v>257</v>
      </c>
    </row>
    <row r="103" spans="1:9" ht="15" x14ac:dyDescent="0.25">
      <c r="A103" s="379">
        <v>102</v>
      </c>
      <c r="B103" s="379">
        <v>87</v>
      </c>
      <c r="C103" s="379" t="s">
        <v>428</v>
      </c>
      <c r="D103" s="379" t="s">
        <v>61</v>
      </c>
      <c r="E103" s="379" t="s">
        <v>1469</v>
      </c>
      <c r="F103" s="379">
        <v>306</v>
      </c>
      <c r="G103" s="379">
        <v>4</v>
      </c>
      <c r="I103" s="359">
        <f t="shared" si="1"/>
        <v>543</v>
      </c>
    </row>
    <row r="104" spans="1:9" ht="15" x14ac:dyDescent="0.25">
      <c r="A104" s="379">
        <v>103</v>
      </c>
      <c r="B104" s="379">
        <v>105</v>
      </c>
      <c r="C104" s="379" t="s">
        <v>1475</v>
      </c>
      <c r="D104" s="379" t="s">
        <v>65</v>
      </c>
      <c r="E104" s="379" t="s">
        <v>1469</v>
      </c>
      <c r="F104" s="379">
        <v>303.25</v>
      </c>
      <c r="G104" s="379">
        <v>6</v>
      </c>
      <c r="I104" s="359">
        <f t="shared" si="1"/>
        <v>716</v>
      </c>
    </row>
    <row r="105" spans="1:9" ht="15" x14ac:dyDescent="0.25">
      <c r="A105" s="379">
        <v>104</v>
      </c>
      <c r="B105" s="379">
        <v>106</v>
      </c>
      <c r="C105" s="379" t="s">
        <v>592</v>
      </c>
      <c r="D105" s="379" t="s">
        <v>69</v>
      </c>
      <c r="E105" s="379" t="s">
        <v>1469</v>
      </c>
      <c r="F105" s="379">
        <v>302.5</v>
      </c>
      <c r="G105" s="379">
        <v>5</v>
      </c>
      <c r="I105" s="359">
        <f t="shared" si="1"/>
        <v>990</v>
      </c>
    </row>
    <row r="106" spans="1:9" ht="15" x14ac:dyDescent="0.25">
      <c r="A106" s="379">
        <v>105</v>
      </c>
      <c r="B106" s="379">
        <v>108</v>
      </c>
      <c r="C106" s="379" t="s">
        <v>608</v>
      </c>
      <c r="D106" s="379" t="s">
        <v>64</v>
      </c>
      <c r="E106" s="379" t="s">
        <v>1469</v>
      </c>
      <c r="F106" s="379">
        <v>297.5</v>
      </c>
      <c r="G106" s="379">
        <v>5</v>
      </c>
      <c r="I106" s="359">
        <f t="shared" si="1"/>
        <v>591</v>
      </c>
    </row>
    <row r="107" spans="1:9" ht="15" x14ac:dyDescent="0.25">
      <c r="A107" s="379">
        <v>106</v>
      </c>
      <c r="B107" s="379">
        <v>110</v>
      </c>
      <c r="C107" s="379" t="s">
        <v>475</v>
      </c>
      <c r="D107" s="379" t="s">
        <v>75</v>
      </c>
      <c r="E107" s="379" t="s">
        <v>1469</v>
      </c>
      <c r="F107" s="379">
        <v>286.3</v>
      </c>
      <c r="G107" s="379">
        <v>6</v>
      </c>
      <c r="I107" s="359">
        <f t="shared" si="1"/>
        <v>676</v>
      </c>
    </row>
    <row r="108" spans="1:9" ht="15" x14ac:dyDescent="0.25">
      <c r="A108" s="379">
        <v>107</v>
      </c>
      <c r="B108" s="379">
        <v>111</v>
      </c>
      <c r="C108" s="379" t="s">
        <v>496</v>
      </c>
      <c r="D108" s="379" t="s">
        <v>189</v>
      </c>
      <c r="E108" s="379" t="s">
        <v>1469</v>
      </c>
      <c r="F108" s="379">
        <v>279.89999999999998</v>
      </c>
      <c r="G108" s="379">
        <v>5</v>
      </c>
      <c r="I108" s="359">
        <f t="shared" si="1"/>
        <v>786</v>
      </c>
    </row>
    <row r="109" spans="1:9" ht="15" x14ac:dyDescent="0.25">
      <c r="A109" s="379">
        <v>108</v>
      </c>
      <c r="B109" s="379">
        <v>96</v>
      </c>
      <c r="C109" s="379" t="s">
        <v>447</v>
      </c>
      <c r="D109" s="379" t="s">
        <v>59</v>
      </c>
      <c r="E109" s="379" t="s">
        <v>1470</v>
      </c>
      <c r="F109" s="379">
        <v>278.2</v>
      </c>
      <c r="G109" s="379">
        <v>6</v>
      </c>
      <c r="I109" s="359">
        <f t="shared" si="1"/>
        <v>278</v>
      </c>
    </row>
    <row r="110" spans="1:9" ht="15" x14ac:dyDescent="0.25">
      <c r="A110" s="379">
        <v>109</v>
      </c>
      <c r="B110" s="379">
        <v>113</v>
      </c>
      <c r="C110" s="379" t="s">
        <v>494</v>
      </c>
      <c r="D110" s="379" t="s">
        <v>58</v>
      </c>
      <c r="E110" s="379" t="s">
        <v>1469</v>
      </c>
      <c r="F110" s="379">
        <v>276.2</v>
      </c>
      <c r="G110" s="379">
        <v>9</v>
      </c>
      <c r="I110" s="359">
        <f t="shared" si="1"/>
        <v>574</v>
      </c>
    </row>
    <row r="111" spans="1:9" ht="15" x14ac:dyDescent="0.25">
      <c r="A111" s="379">
        <v>110</v>
      </c>
      <c r="B111" s="379">
        <v>161</v>
      </c>
      <c r="C111" s="379" t="s">
        <v>1252</v>
      </c>
      <c r="D111" s="379" t="s">
        <v>61</v>
      </c>
      <c r="E111" s="379" t="s">
        <v>1469</v>
      </c>
      <c r="F111" s="379">
        <v>275.8</v>
      </c>
      <c r="G111" s="379">
        <v>8</v>
      </c>
      <c r="I111" s="359">
        <f t="shared" si="1"/>
        <v>862</v>
      </c>
    </row>
    <row r="112" spans="1:9" ht="15" x14ac:dyDescent="0.25">
      <c r="A112" s="379">
        <v>111</v>
      </c>
      <c r="B112" s="379">
        <v>114</v>
      </c>
      <c r="C112" s="379" t="s">
        <v>448</v>
      </c>
      <c r="D112" s="379" t="s">
        <v>58</v>
      </c>
      <c r="E112" s="379" t="s">
        <v>1469</v>
      </c>
      <c r="F112" s="379">
        <v>267</v>
      </c>
      <c r="G112" s="379">
        <v>2</v>
      </c>
      <c r="I112" s="359">
        <f t="shared" si="1"/>
        <v>960</v>
      </c>
    </row>
    <row r="113" spans="1:9" ht="15" x14ac:dyDescent="0.25">
      <c r="A113" s="379">
        <v>112</v>
      </c>
      <c r="B113" s="379">
        <v>115</v>
      </c>
      <c r="C113" s="379" t="s">
        <v>1479</v>
      </c>
      <c r="D113" s="379" t="s">
        <v>65</v>
      </c>
      <c r="E113" s="379" t="s">
        <v>1469</v>
      </c>
      <c r="F113" s="379">
        <v>264.5</v>
      </c>
      <c r="G113" s="379">
        <v>6</v>
      </c>
      <c r="I113" s="359">
        <f t="shared" si="1"/>
        <v>948</v>
      </c>
    </row>
    <row r="114" spans="1:9" ht="15" x14ac:dyDescent="0.25">
      <c r="A114" s="379">
        <v>113</v>
      </c>
      <c r="B114" s="379">
        <v>116</v>
      </c>
      <c r="C114" s="379" t="s">
        <v>1259</v>
      </c>
      <c r="D114" s="379" t="s">
        <v>66</v>
      </c>
      <c r="E114" s="379" t="s">
        <v>1469</v>
      </c>
      <c r="F114" s="379">
        <v>262.8</v>
      </c>
      <c r="G114" s="379">
        <v>5</v>
      </c>
      <c r="I114" s="359">
        <f t="shared" si="1"/>
        <v>354</v>
      </c>
    </row>
    <row r="115" spans="1:9" ht="15" x14ac:dyDescent="0.25">
      <c r="A115" s="379">
        <v>114</v>
      </c>
      <c r="B115" s="379">
        <v>101</v>
      </c>
      <c r="C115" s="379" t="s">
        <v>434</v>
      </c>
      <c r="D115" s="379" t="s">
        <v>59</v>
      </c>
      <c r="E115" s="379" t="s">
        <v>1470</v>
      </c>
      <c r="F115" s="379">
        <v>262.25</v>
      </c>
      <c r="G115" s="379">
        <v>7</v>
      </c>
      <c r="I115" s="359">
        <f t="shared" si="1"/>
        <v>571</v>
      </c>
    </row>
    <row r="116" spans="1:9" ht="15" x14ac:dyDescent="0.25">
      <c r="A116" s="379">
        <v>115</v>
      </c>
      <c r="B116" s="379">
        <v>165</v>
      </c>
      <c r="C116" s="379" t="s">
        <v>1250</v>
      </c>
      <c r="D116" s="379" t="s">
        <v>61</v>
      </c>
      <c r="E116" s="379" t="s">
        <v>1469</v>
      </c>
      <c r="F116" s="379">
        <v>260.75</v>
      </c>
      <c r="G116" s="379">
        <v>6</v>
      </c>
      <c r="I116" s="359">
        <f t="shared" si="1"/>
        <v>864</v>
      </c>
    </row>
    <row r="117" spans="1:9" ht="15" x14ac:dyDescent="0.25">
      <c r="A117" s="379">
        <v>116</v>
      </c>
      <c r="B117" s="379">
        <v>118</v>
      </c>
      <c r="C117" s="379" t="s">
        <v>1531</v>
      </c>
      <c r="D117" s="379" t="s">
        <v>59</v>
      </c>
      <c r="E117" s="379" t="s">
        <v>1469</v>
      </c>
      <c r="F117" s="379">
        <v>260</v>
      </c>
      <c r="G117" s="379">
        <v>6</v>
      </c>
      <c r="I117" s="359">
        <f t="shared" si="1"/>
        <v>539</v>
      </c>
    </row>
    <row r="118" spans="1:9" ht="15" x14ac:dyDescent="0.25">
      <c r="A118" s="379">
        <v>117</v>
      </c>
      <c r="B118" s="379">
        <v>119</v>
      </c>
      <c r="C118" s="379" t="s">
        <v>482</v>
      </c>
      <c r="D118" s="379" t="s">
        <v>59</v>
      </c>
      <c r="E118" s="379" t="s">
        <v>1469</v>
      </c>
      <c r="F118" s="379">
        <v>259.2</v>
      </c>
      <c r="G118" s="379">
        <v>6</v>
      </c>
      <c r="I118" s="359">
        <f t="shared" si="1"/>
        <v>455</v>
      </c>
    </row>
    <row r="119" spans="1:9" ht="15" x14ac:dyDescent="0.25">
      <c r="A119" s="379">
        <v>118</v>
      </c>
      <c r="B119" s="379">
        <v>104</v>
      </c>
      <c r="C119" s="379" t="s">
        <v>1298</v>
      </c>
      <c r="D119" s="379" t="s">
        <v>59</v>
      </c>
      <c r="E119" s="379" t="s">
        <v>1470</v>
      </c>
      <c r="F119" s="379">
        <v>255.8</v>
      </c>
      <c r="G119" s="379">
        <v>15</v>
      </c>
      <c r="I119" s="359">
        <f t="shared" si="1"/>
        <v>146</v>
      </c>
    </row>
    <row r="120" spans="1:9" ht="15" x14ac:dyDescent="0.25">
      <c r="A120" s="379">
        <v>119</v>
      </c>
      <c r="B120" s="379">
        <v>223</v>
      </c>
      <c r="C120" s="379" t="s">
        <v>1300</v>
      </c>
      <c r="D120" s="379" t="s">
        <v>61</v>
      </c>
      <c r="E120" s="379" t="s">
        <v>1469</v>
      </c>
      <c r="F120" s="379">
        <v>255.6</v>
      </c>
      <c r="G120" s="379">
        <v>8</v>
      </c>
      <c r="I120" s="359">
        <f t="shared" si="1"/>
        <v>513</v>
      </c>
    </row>
    <row r="121" spans="1:9" ht="15" x14ac:dyDescent="0.25">
      <c r="A121" s="379">
        <v>120</v>
      </c>
      <c r="B121" s="379">
        <v>120</v>
      </c>
      <c r="C121" s="379" t="s">
        <v>523</v>
      </c>
      <c r="D121" s="379" t="s">
        <v>58</v>
      </c>
      <c r="E121" s="379" t="s">
        <v>1469</v>
      </c>
      <c r="F121" s="379">
        <v>254.875</v>
      </c>
      <c r="G121" s="379">
        <v>4</v>
      </c>
      <c r="I121" s="359">
        <f t="shared" si="1"/>
        <v>734</v>
      </c>
    </row>
    <row r="122" spans="1:9" ht="15" x14ac:dyDescent="0.25">
      <c r="A122" s="379">
        <v>121</v>
      </c>
      <c r="B122" s="379">
        <v>122</v>
      </c>
      <c r="C122" s="379" t="s">
        <v>467</v>
      </c>
      <c r="D122" s="379" t="s">
        <v>58</v>
      </c>
      <c r="E122" s="379" t="s">
        <v>1469</v>
      </c>
      <c r="F122" s="379">
        <v>251.2</v>
      </c>
      <c r="G122" s="379">
        <v>5</v>
      </c>
      <c r="I122" s="359">
        <f t="shared" si="1"/>
        <v>344</v>
      </c>
    </row>
    <row r="123" spans="1:9" ht="15" x14ac:dyDescent="0.25">
      <c r="A123" s="379">
        <v>122</v>
      </c>
      <c r="B123" s="379">
        <v>123</v>
      </c>
      <c r="C123" s="379" t="s">
        <v>432</v>
      </c>
      <c r="D123" s="379" t="s">
        <v>59</v>
      </c>
      <c r="E123" s="379" t="s">
        <v>1469</v>
      </c>
      <c r="F123" s="379">
        <v>249</v>
      </c>
      <c r="G123" s="379">
        <v>3</v>
      </c>
      <c r="I123" s="359">
        <f t="shared" si="1"/>
        <v>934</v>
      </c>
    </row>
    <row r="124" spans="1:9" ht="15" x14ac:dyDescent="0.25">
      <c r="A124" s="379">
        <v>123</v>
      </c>
      <c r="B124" s="379">
        <v>201</v>
      </c>
      <c r="C124" s="379" t="s">
        <v>1483</v>
      </c>
      <c r="D124" s="379" t="s">
        <v>61</v>
      </c>
      <c r="E124" s="379" t="s">
        <v>1469</v>
      </c>
      <c r="F124" s="379">
        <v>249</v>
      </c>
      <c r="G124" s="379">
        <v>8</v>
      </c>
      <c r="I124" s="359">
        <f t="shared" si="1"/>
        <v>537</v>
      </c>
    </row>
    <row r="125" spans="1:9" ht="15" x14ac:dyDescent="0.25">
      <c r="A125" s="379">
        <v>124</v>
      </c>
      <c r="B125" s="379">
        <v>124</v>
      </c>
      <c r="C125" s="379" t="s">
        <v>397</v>
      </c>
      <c r="D125" s="379" t="s">
        <v>59</v>
      </c>
      <c r="E125" s="379" t="s">
        <v>1469</v>
      </c>
      <c r="F125" s="379">
        <v>248.5</v>
      </c>
      <c r="G125" s="379">
        <v>2</v>
      </c>
      <c r="I125" s="359">
        <f t="shared" si="1"/>
        <v>92</v>
      </c>
    </row>
    <row r="126" spans="1:9" ht="15" x14ac:dyDescent="0.25">
      <c r="A126" s="379">
        <v>125</v>
      </c>
      <c r="B126" s="379">
        <v>125</v>
      </c>
      <c r="C126" s="379" t="s">
        <v>513</v>
      </c>
      <c r="D126" s="379" t="s">
        <v>59</v>
      </c>
      <c r="E126" s="379" t="s">
        <v>1469</v>
      </c>
      <c r="F126" s="379">
        <v>246.5</v>
      </c>
      <c r="G126" s="379">
        <v>4</v>
      </c>
      <c r="I126" s="359">
        <f t="shared" si="1"/>
        <v>805</v>
      </c>
    </row>
    <row r="127" spans="1:9" ht="15" x14ac:dyDescent="0.25">
      <c r="A127" s="379">
        <v>126</v>
      </c>
      <c r="B127" s="379">
        <v>152</v>
      </c>
      <c r="C127" s="379" t="s">
        <v>671</v>
      </c>
      <c r="D127" s="379" t="s">
        <v>71</v>
      </c>
      <c r="E127" s="379" t="s">
        <v>1469</v>
      </c>
      <c r="F127" s="379">
        <v>244.6</v>
      </c>
      <c r="G127" s="379">
        <v>5</v>
      </c>
      <c r="I127" s="359">
        <f t="shared" si="1"/>
        <v>401</v>
      </c>
    </row>
    <row r="128" spans="1:9" ht="15" x14ac:dyDescent="0.25">
      <c r="A128" s="379">
        <v>127</v>
      </c>
      <c r="B128" s="379">
        <v>154</v>
      </c>
      <c r="C128" s="379" t="s">
        <v>1258</v>
      </c>
      <c r="D128" s="379" t="s">
        <v>59</v>
      </c>
      <c r="E128" s="379" t="s">
        <v>1469</v>
      </c>
      <c r="F128" s="379">
        <v>244</v>
      </c>
      <c r="G128" s="379">
        <v>5</v>
      </c>
      <c r="I128" s="359">
        <f t="shared" si="1"/>
        <v>460</v>
      </c>
    </row>
    <row r="129" spans="1:9" ht="15" x14ac:dyDescent="0.25">
      <c r="A129" s="379">
        <v>128</v>
      </c>
      <c r="B129" s="379">
        <v>127</v>
      </c>
      <c r="C129" s="379" t="s">
        <v>1480</v>
      </c>
      <c r="D129" s="379" t="s">
        <v>65</v>
      </c>
      <c r="E129" s="379" t="s">
        <v>1469</v>
      </c>
      <c r="F129" s="379">
        <v>241.5</v>
      </c>
      <c r="G129" s="379">
        <v>4</v>
      </c>
      <c r="I129" s="359">
        <f t="shared" si="1"/>
        <v>976</v>
      </c>
    </row>
    <row r="130" spans="1:9" ht="15" x14ac:dyDescent="0.25">
      <c r="A130" s="379">
        <v>129</v>
      </c>
      <c r="B130" s="379">
        <v>182</v>
      </c>
      <c r="C130" s="379" t="s">
        <v>690</v>
      </c>
      <c r="D130" s="379" t="s">
        <v>61</v>
      </c>
      <c r="E130" s="379" t="s">
        <v>1469</v>
      </c>
      <c r="F130" s="379">
        <v>237.5</v>
      </c>
      <c r="G130" s="379">
        <v>7</v>
      </c>
      <c r="I130" s="359">
        <f t="shared" si="1"/>
        <v>62</v>
      </c>
    </row>
    <row r="131" spans="1:9" ht="15" x14ac:dyDescent="0.25">
      <c r="A131" s="379">
        <v>130</v>
      </c>
      <c r="B131" s="379">
        <v>128</v>
      </c>
      <c r="C131" s="379" t="s">
        <v>505</v>
      </c>
      <c r="D131" s="379" t="s">
        <v>58</v>
      </c>
      <c r="E131" s="379" t="s">
        <v>1469</v>
      </c>
      <c r="F131" s="379">
        <v>233.82499999999999</v>
      </c>
      <c r="G131" s="379">
        <v>9</v>
      </c>
      <c r="I131" s="359">
        <f t="shared" ref="I131:I194" si="2">SUMPRODUCT((C$2:C$1000 &lt; C131)+(C131="")*1000)</f>
        <v>51</v>
      </c>
    </row>
    <row r="132" spans="1:9" ht="15" x14ac:dyDescent="0.25">
      <c r="A132" s="379">
        <v>131</v>
      </c>
      <c r="B132" s="379">
        <v>150</v>
      </c>
      <c r="C132" s="379" t="s">
        <v>445</v>
      </c>
      <c r="D132" s="379" t="s">
        <v>61</v>
      </c>
      <c r="E132" s="379" t="s">
        <v>1469</v>
      </c>
      <c r="F132" s="379">
        <v>233.75</v>
      </c>
      <c r="G132" s="379">
        <v>4</v>
      </c>
      <c r="I132" s="359">
        <f t="shared" si="2"/>
        <v>432</v>
      </c>
    </row>
    <row r="133" spans="1:9" ht="15" x14ac:dyDescent="0.25">
      <c r="A133" s="379">
        <v>132</v>
      </c>
      <c r="B133" s="379">
        <v>129</v>
      </c>
      <c r="C133" s="379" t="s">
        <v>1283</v>
      </c>
      <c r="D133" s="379" t="s">
        <v>66</v>
      </c>
      <c r="E133" s="379" t="s">
        <v>1469</v>
      </c>
      <c r="F133" s="379">
        <v>232.75</v>
      </c>
      <c r="G133" s="379">
        <v>7</v>
      </c>
      <c r="I133" s="359">
        <f t="shared" si="2"/>
        <v>68</v>
      </c>
    </row>
    <row r="134" spans="1:9" ht="15" x14ac:dyDescent="0.25">
      <c r="A134" s="379">
        <v>133</v>
      </c>
      <c r="B134" s="379">
        <v>130</v>
      </c>
      <c r="C134" s="379" t="s">
        <v>1284</v>
      </c>
      <c r="D134" s="379" t="s">
        <v>61</v>
      </c>
      <c r="E134" s="379" t="s">
        <v>1469</v>
      </c>
      <c r="F134" s="379">
        <v>231.63</v>
      </c>
      <c r="G134" s="379">
        <v>5</v>
      </c>
      <c r="I134" s="359">
        <f t="shared" si="2"/>
        <v>27</v>
      </c>
    </row>
    <row r="135" spans="1:9" ht="15" x14ac:dyDescent="0.25">
      <c r="A135" s="379">
        <v>134</v>
      </c>
      <c r="B135" s="379">
        <v>156</v>
      </c>
      <c r="C135" s="379" t="s">
        <v>1144</v>
      </c>
      <c r="D135" s="379" t="s">
        <v>59</v>
      </c>
      <c r="E135" s="379" t="s">
        <v>1469</v>
      </c>
      <c r="F135" s="379">
        <v>227.8</v>
      </c>
      <c r="G135" s="379">
        <v>11</v>
      </c>
      <c r="I135" s="359">
        <f t="shared" si="2"/>
        <v>617</v>
      </c>
    </row>
    <row r="136" spans="1:9" ht="15" x14ac:dyDescent="0.25">
      <c r="A136" s="379">
        <v>135</v>
      </c>
      <c r="B136" s="379">
        <v>231</v>
      </c>
      <c r="C136" s="379" t="s">
        <v>780</v>
      </c>
      <c r="D136" s="379" t="s">
        <v>73</v>
      </c>
      <c r="E136" s="379" t="s">
        <v>1469</v>
      </c>
      <c r="F136" s="379">
        <v>223.3</v>
      </c>
      <c r="G136" s="379">
        <v>6</v>
      </c>
      <c r="I136" s="359">
        <f t="shared" si="2"/>
        <v>728</v>
      </c>
    </row>
    <row r="137" spans="1:9" ht="15" x14ac:dyDescent="0.25">
      <c r="A137" s="379">
        <v>136</v>
      </c>
      <c r="B137" s="379">
        <v>132</v>
      </c>
      <c r="C137" s="379" t="s">
        <v>1227</v>
      </c>
      <c r="D137" s="379" t="s">
        <v>66</v>
      </c>
      <c r="E137" s="379" t="s">
        <v>1470</v>
      </c>
      <c r="F137" s="379">
        <v>223.1</v>
      </c>
      <c r="G137" s="379">
        <v>15</v>
      </c>
      <c r="I137" s="359">
        <f t="shared" si="2"/>
        <v>871</v>
      </c>
    </row>
    <row r="138" spans="1:9" ht="15" x14ac:dyDescent="0.25">
      <c r="A138" s="379">
        <v>137</v>
      </c>
      <c r="B138" s="379">
        <v>83</v>
      </c>
      <c r="C138" s="379" t="s">
        <v>426</v>
      </c>
      <c r="D138" s="379" t="s">
        <v>61</v>
      </c>
      <c r="E138" s="379" t="s">
        <v>1469</v>
      </c>
      <c r="F138" s="379">
        <v>221</v>
      </c>
      <c r="G138" s="379">
        <v>3</v>
      </c>
      <c r="I138" s="359">
        <f t="shared" si="2"/>
        <v>427</v>
      </c>
    </row>
    <row r="139" spans="1:9" ht="15" x14ac:dyDescent="0.25">
      <c r="A139" s="379">
        <v>138</v>
      </c>
      <c r="B139" s="379">
        <v>109</v>
      </c>
      <c r="C139" s="379" t="s">
        <v>941</v>
      </c>
      <c r="D139" s="379" t="s">
        <v>59</v>
      </c>
      <c r="E139" s="379" t="s">
        <v>1469</v>
      </c>
      <c r="F139" s="379">
        <v>219.6</v>
      </c>
      <c r="G139" s="379">
        <v>3</v>
      </c>
      <c r="I139" s="359">
        <f t="shared" si="2"/>
        <v>477</v>
      </c>
    </row>
    <row r="140" spans="1:9" ht="15" x14ac:dyDescent="0.25">
      <c r="A140" s="379">
        <v>139</v>
      </c>
      <c r="B140" s="379">
        <v>133</v>
      </c>
      <c r="C140" s="379" t="s">
        <v>1473</v>
      </c>
      <c r="D140" s="379" t="s">
        <v>59</v>
      </c>
      <c r="E140" s="379" t="s">
        <v>1469</v>
      </c>
      <c r="F140" s="379">
        <v>217.25</v>
      </c>
      <c r="G140" s="379">
        <v>3</v>
      </c>
      <c r="I140" s="359">
        <f t="shared" si="2"/>
        <v>131</v>
      </c>
    </row>
    <row r="141" spans="1:9" ht="15" x14ac:dyDescent="0.25">
      <c r="A141" s="379">
        <v>140</v>
      </c>
      <c r="B141" s="379">
        <v>171</v>
      </c>
      <c r="C141" s="379" t="s">
        <v>452</v>
      </c>
      <c r="D141" s="379" t="s">
        <v>61</v>
      </c>
      <c r="E141" s="379" t="s">
        <v>1470</v>
      </c>
      <c r="F141" s="379">
        <v>216.5</v>
      </c>
      <c r="G141" s="379">
        <v>6</v>
      </c>
      <c r="I141" s="359">
        <f t="shared" si="2"/>
        <v>480</v>
      </c>
    </row>
    <row r="142" spans="1:9" ht="15" x14ac:dyDescent="0.25">
      <c r="A142" s="379">
        <v>141</v>
      </c>
      <c r="B142" s="379">
        <v>134</v>
      </c>
      <c r="C142" s="379" t="s">
        <v>610</v>
      </c>
      <c r="D142" s="379" t="s">
        <v>59</v>
      </c>
      <c r="E142" s="379" t="s">
        <v>1469</v>
      </c>
      <c r="F142" s="379">
        <v>213.8</v>
      </c>
      <c r="G142" s="379">
        <v>7</v>
      </c>
      <c r="I142" s="359">
        <f t="shared" si="2"/>
        <v>147</v>
      </c>
    </row>
    <row r="143" spans="1:9" ht="15" x14ac:dyDescent="0.25">
      <c r="A143" s="379">
        <v>142</v>
      </c>
      <c r="B143" s="379">
        <v>135</v>
      </c>
      <c r="C143" s="379" t="s">
        <v>582</v>
      </c>
      <c r="D143" s="379" t="s">
        <v>58</v>
      </c>
      <c r="E143" s="379" t="s">
        <v>1469</v>
      </c>
      <c r="F143" s="379">
        <v>213.5</v>
      </c>
      <c r="G143" s="379">
        <v>5</v>
      </c>
      <c r="I143" s="359">
        <f t="shared" si="2"/>
        <v>732</v>
      </c>
    </row>
    <row r="144" spans="1:9" ht="15" x14ac:dyDescent="0.25">
      <c r="A144" s="379">
        <v>143</v>
      </c>
      <c r="B144" s="379">
        <v>126</v>
      </c>
      <c r="C144" s="379" t="s">
        <v>588</v>
      </c>
      <c r="D144" s="379" t="s">
        <v>59</v>
      </c>
      <c r="E144" s="379" t="s">
        <v>1469</v>
      </c>
      <c r="F144" s="379">
        <v>213.3</v>
      </c>
      <c r="G144" s="379">
        <v>7</v>
      </c>
      <c r="I144" s="359">
        <f t="shared" si="2"/>
        <v>256</v>
      </c>
    </row>
    <row r="145" spans="1:9" ht="15" x14ac:dyDescent="0.25">
      <c r="A145" s="379">
        <v>144</v>
      </c>
      <c r="B145" s="379">
        <v>145</v>
      </c>
      <c r="C145" s="379" t="s">
        <v>479</v>
      </c>
      <c r="D145" s="379" t="s">
        <v>59</v>
      </c>
      <c r="E145" s="379" t="s">
        <v>1469</v>
      </c>
      <c r="F145" s="379">
        <v>212.25</v>
      </c>
      <c r="G145" s="379">
        <v>5</v>
      </c>
      <c r="I145" s="359">
        <f t="shared" si="2"/>
        <v>895</v>
      </c>
    </row>
    <row r="146" spans="1:9" ht="15" x14ac:dyDescent="0.25">
      <c r="A146" s="379">
        <v>145</v>
      </c>
      <c r="B146" s="379">
        <v>136</v>
      </c>
      <c r="C146" s="379" t="s">
        <v>633</v>
      </c>
      <c r="D146" s="379" t="s">
        <v>58</v>
      </c>
      <c r="E146" s="379" t="s">
        <v>1469</v>
      </c>
      <c r="F146" s="379">
        <v>209.65</v>
      </c>
      <c r="G146" s="379">
        <v>8</v>
      </c>
      <c r="I146" s="359">
        <f t="shared" si="2"/>
        <v>264</v>
      </c>
    </row>
    <row r="147" spans="1:9" ht="15" x14ac:dyDescent="0.25">
      <c r="A147" s="379">
        <v>146</v>
      </c>
      <c r="B147" s="379">
        <v>137</v>
      </c>
      <c r="C147" s="379" t="s">
        <v>1077</v>
      </c>
      <c r="D147" s="379" t="s">
        <v>65</v>
      </c>
      <c r="E147" s="379" t="s">
        <v>1469</v>
      </c>
      <c r="F147" s="379">
        <v>209.5</v>
      </c>
      <c r="G147" s="379">
        <v>2</v>
      </c>
      <c r="I147" s="359">
        <f t="shared" si="2"/>
        <v>721</v>
      </c>
    </row>
    <row r="148" spans="1:9" ht="15" x14ac:dyDescent="0.25">
      <c r="A148" s="379">
        <v>147</v>
      </c>
      <c r="B148" s="379">
        <v>138</v>
      </c>
      <c r="C148" s="379" t="s">
        <v>476</v>
      </c>
      <c r="D148" s="379" t="s">
        <v>58</v>
      </c>
      <c r="E148" s="379" t="s">
        <v>1469</v>
      </c>
      <c r="F148" s="379">
        <v>208.3</v>
      </c>
      <c r="G148" s="379">
        <v>2</v>
      </c>
      <c r="I148" s="359">
        <f t="shared" si="2"/>
        <v>648</v>
      </c>
    </row>
    <row r="149" spans="1:9" ht="15" x14ac:dyDescent="0.25">
      <c r="A149" s="379">
        <v>148</v>
      </c>
      <c r="B149" s="379">
        <v>117</v>
      </c>
      <c r="C149" s="379" t="s">
        <v>1276</v>
      </c>
      <c r="D149" s="379" t="s">
        <v>61</v>
      </c>
      <c r="E149" s="379" t="s">
        <v>1469</v>
      </c>
      <c r="F149" s="379">
        <v>202.5</v>
      </c>
      <c r="G149" s="379">
        <v>4</v>
      </c>
      <c r="I149" s="359">
        <f t="shared" si="2"/>
        <v>935</v>
      </c>
    </row>
    <row r="150" spans="1:9" ht="15" x14ac:dyDescent="0.25">
      <c r="A150" s="379">
        <v>149</v>
      </c>
      <c r="B150" s="379">
        <v>141</v>
      </c>
      <c r="C150" s="379" t="s">
        <v>1411</v>
      </c>
      <c r="D150" s="379" t="s">
        <v>61</v>
      </c>
      <c r="E150" s="379" t="s">
        <v>1469</v>
      </c>
      <c r="F150" s="379">
        <v>202</v>
      </c>
      <c r="G150" s="379">
        <v>6</v>
      </c>
      <c r="I150" s="359">
        <f t="shared" si="2"/>
        <v>622</v>
      </c>
    </row>
    <row r="151" spans="1:9" ht="15" x14ac:dyDescent="0.25">
      <c r="A151" s="379">
        <v>150</v>
      </c>
      <c r="B151" s="379">
        <v>142</v>
      </c>
      <c r="C151" s="379" t="s">
        <v>688</v>
      </c>
      <c r="D151" s="379" t="s">
        <v>191</v>
      </c>
      <c r="E151" s="379" t="s">
        <v>1469</v>
      </c>
      <c r="F151" s="379">
        <v>198.43</v>
      </c>
      <c r="G151" s="379">
        <v>6</v>
      </c>
      <c r="I151" s="359">
        <f t="shared" si="2"/>
        <v>704</v>
      </c>
    </row>
    <row r="152" spans="1:9" ht="15" x14ac:dyDescent="0.25">
      <c r="A152" s="379">
        <v>151</v>
      </c>
      <c r="B152" s="379">
        <v>143</v>
      </c>
      <c r="C152" s="379" t="s">
        <v>485</v>
      </c>
      <c r="D152" s="379" t="s">
        <v>58</v>
      </c>
      <c r="E152" s="379" t="s">
        <v>1469</v>
      </c>
      <c r="F152" s="379">
        <v>197.6</v>
      </c>
      <c r="G152" s="379">
        <v>6</v>
      </c>
      <c r="I152" s="359">
        <f t="shared" si="2"/>
        <v>576</v>
      </c>
    </row>
    <row r="153" spans="1:9" ht="15" x14ac:dyDescent="0.25">
      <c r="A153" s="379">
        <v>152</v>
      </c>
      <c r="B153" s="379">
        <v>144</v>
      </c>
      <c r="C153" s="379" t="s">
        <v>1478</v>
      </c>
      <c r="D153" s="379" t="s">
        <v>65</v>
      </c>
      <c r="E153" s="379" t="s">
        <v>1469</v>
      </c>
      <c r="F153" s="379">
        <v>194.5</v>
      </c>
      <c r="G153" s="379">
        <v>5</v>
      </c>
      <c r="I153" s="359">
        <f t="shared" si="2"/>
        <v>35</v>
      </c>
    </row>
    <row r="154" spans="1:9" ht="15" x14ac:dyDescent="0.25">
      <c r="A154" s="379">
        <v>153</v>
      </c>
      <c r="B154" s="379">
        <v>257</v>
      </c>
      <c r="C154" s="379" t="s">
        <v>1494</v>
      </c>
      <c r="D154" s="379" t="s">
        <v>59</v>
      </c>
      <c r="E154" s="379" t="s">
        <v>1469</v>
      </c>
      <c r="F154" s="379">
        <v>194.3</v>
      </c>
      <c r="G154" s="379">
        <v>5</v>
      </c>
      <c r="I154" s="359">
        <f t="shared" si="2"/>
        <v>803</v>
      </c>
    </row>
    <row r="155" spans="1:9" ht="15" x14ac:dyDescent="0.25">
      <c r="A155" s="379">
        <v>154</v>
      </c>
      <c r="B155" s="379">
        <v>146</v>
      </c>
      <c r="C155" s="379" t="s">
        <v>516</v>
      </c>
      <c r="D155" s="379" t="s">
        <v>58</v>
      </c>
      <c r="E155" s="379" t="s">
        <v>1469</v>
      </c>
      <c r="F155" s="379">
        <v>193.25</v>
      </c>
      <c r="G155" s="379">
        <v>5</v>
      </c>
      <c r="I155" s="359">
        <f t="shared" si="2"/>
        <v>299</v>
      </c>
    </row>
    <row r="156" spans="1:9" ht="15" x14ac:dyDescent="0.25">
      <c r="A156" s="379">
        <v>155</v>
      </c>
      <c r="B156" s="379">
        <v>147</v>
      </c>
      <c r="C156" s="379" t="s">
        <v>488</v>
      </c>
      <c r="D156" s="379" t="s">
        <v>59</v>
      </c>
      <c r="E156" s="379" t="s">
        <v>1469</v>
      </c>
      <c r="F156" s="379">
        <v>191.5</v>
      </c>
      <c r="G156" s="379">
        <v>7</v>
      </c>
      <c r="I156" s="359">
        <f t="shared" si="2"/>
        <v>492</v>
      </c>
    </row>
    <row r="157" spans="1:9" ht="15" x14ac:dyDescent="0.25">
      <c r="A157" s="379">
        <v>156</v>
      </c>
      <c r="B157" s="379">
        <v>148</v>
      </c>
      <c r="C157" s="379" t="s">
        <v>1489</v>
      </c>
      <c r="D157" s="379" t="s">
        <v>65</v>
      </c>
      <c r="E157" s="379" t="s">
        <v>1470</v>
      </c>
      <c r="F157" s="379">
        <v>188.5</v>
      </c>
      <c r="G157" s="379">
        <v>6</v>
      </c>
      <c r="I157" s="359">
        <f t="shared" si="2"/>
        <v>100</v>
      </c>
    </row>
    <row r="158" spans="1:9" ht="15" x14ac:dyDescent="0.25">
      <c r="A158" s="379">
        <v>157</v>
      </c>
      <c r="B158" s="379">
        <v>149</v>
      </c>
      <c r="C158" s="379" t="s">
        <v>580</v>
      </c>
      <c r="D158" s="379" t="s">
        <v>58</v>
      </c>
      <c r="E158" s="379" t="s">
        <v>1469</v>
      </c>
      <c r="F158" s="379">
        <v>187.5</v>
      </c>
      <c r="G158" s="379">
        <v>3</v>
      </c>
      <c r="I158" s="359">
        <f t="shared" si="2"/>
        <v>347</v>
      </c>
    </row>
    <row r="159" spans="1:9" ht="15" x14ac:dyDescent="0.25">
      <c r="A159" s="379">
        <v>158</v>
      </c>
      <c r="B159" s="379">
        <v>151</v>
      </c>
      <c r="C159" s="379" t="s">
        <v>1272</v>
      </c>
      <c r="D159" s="379" t="s">
        <v>60</v>
      </c>
      <c r="E159" s="379" t="s">
        <v>1469</v>
      </c>
      <c r="F159" s="379">
        <v>184.2</v>
      </c>
      <c r="G159" s="379">
        <v>3</v>
      </c>
      <c r="I159" s="359">
        <f t="shared" si="2"/>
        <v>99</v>
      </c>
    </row>
    <row r="160" spans="1:9" ht="15" x14ac:dyDescent="0.25">
      <c r="A160" s="379">
        <v>159</v>
      </c>
      <c r="B160" s="379">
        <v>153</v>
      </c>
      <c r="C160" s="379" t="s">
        <v>484</v>
      </c>
      <c r="D160" s="379" t="s">
        <v>58</v>
      </c>
      <c r="E160" s="379" t="s">
        <v>1469</v>
      </c>
      <c r="F160" s="379">
        <v>183.3</v>
      </c>
      <c r="G160" s="379">
        <v>6</v>
      </c>
      <c r="I160" s="359">
        <f t="shared" si="2"/>
        <v>49</v>
      </c>
    </row>
    <row r="161" spans="1:9" ht="15" x14ac:dyDescent="0.25">
      <c r="A161" s="379">
        <v>160</v>
      </c>
      <c r="B161" s="379">
        <v>155</v>
      </c>
      <c r="C161" s="379" t="s">
        <v>1311</v>
      </c>
      <c r="D161" s="379" t="s">
        <v>75</v>
      </c>
      <c r="E161" s="379" t="s">
        <v>1469</v>
      </c>
      <c r="F161" s="379">
        <v>182.25</v>
      </c>
      <c r="G161" s="379">
        <v>5</v>
      </c>
      <c r="I161" s="359">
        <f t="shared" si="2"/>
        <v>852</v>
      </c>
    </row>
    <row r="162" spans="1:9" ht="15" x14ac:dyDescent="0.25">
      <c r="A162" s="379">
        <v>161</v>
      </c>
      <c r="B162" s="379">
        <v>157</v>
      </c>
      <c r="C162" s="379" t="s">
        <v>1476</v>
      </c>
      <c r="D162" s="379" t="s">
        <v>1477</v>
      </c>
      <c r="E162" s="379" t="s">
        <v>1469</v>
      </c>
      <c r="F162" s="379">
        <v>180</v>
      </c>
      <c r="G162" s="379">
        <v>3</v>
      </c>
      <c r="I162" s="359">
        <f t="shared" si="2"/>
        <v>345</v>
      </c>
    </row>
    <row r="163" spans="1:9" ht="15" x14ac:dyDescent="0.25">
      <c r="A163" s="379">
        <v>162</v>
      </c>
      <c r="B163" s="379">
        <v>158</v>
      </c>
      <c r="C163" s="379" t="s">
        <v>1437</v>
      </c>
      <c r="D163" s="379" t="s">
        <v>72</v>
      </c>
      <c r="E163" s="379" t="s">
        <v>1469</v>
      </c>
      <c r="F163" s="379">
        <v>179.8</v>
      </c>
      <c r="G163" s="379">
        <v>3</v>
      </c>
      <c r="I163" s="359">
        <f t="shared" si="2"/>
        <v>133</v>
      </c>
    </row>
    <row r="164" spans="1:9" ht="15" x14ac:dyDescent="0.25">
      <c r="A164" s="379">
        <v>163</v>
      </c>
      <c r="B164" s="379">
        <v>159</v>
      </c>
      <c r="C164" s="379" t="s">
        <v>602</v>
      </c>
      <c r="D164" s="379" t="s">
        <v>58</v>
      </c>
      <c r="E164" s="379" t="s">
        <v>1469</v>
      </c>
      <c r="F164" s="379">
        <v>179.5</v>
      </c>
      <c r="G164" s="379">
        <v>4</v>
      </c>
      <c r="I164" s="359">
        <f t="shared" si="2"/>
        <v>587</v>
      </c>
    </row>
    <row r="165" spans="1:9" ht="15" x14ac:dyDescent="0.25">
      <c r="A165" s="379">
        <v>164</v>
      </c>
      <c r="B165" s="379">
        <v>160</v>
      </c>
      <c r="C165" s="379" t="s">
        <v>544</v>
      </c>
      <c r="D165" s="379" t="s">
        <v>75</v>
      </c>
      <c r="E165" s="379" t="s">
        <v>1469</v>
      </c>
      <c r="F165" s="379">
        <v>179.25</v>
      </c>
      <c r="G165" s="379">
        <v>5</v>
      </c>
      <c r="I165" s="359">
        <f t="shared" si="2"/>
        <v>235</v>
      </c>
    </row>
    <row r="166" spans="1:9" ht="15" x14ac:dyDescent="0.25">
      <c r="A166" s="379">
        <v>165</v>
      </c>
      <c r="B166" s="379">
        <v>100</v>
      </c>
      <c r="C166" s="379" t="s">
        <v>418</v>
      </c>
      <c r="D166" s="379" t="s">
        <v>59</v>
      </c>
      <c r="E166" s="379" t="s">
        <v>1469</v>
      </c>
      <c r="F166" s="379">
        <v>176.55</v>
      </c>
      <c r="G166" s="379">
        <v>3</v>
      </c>
      <c r="I166" s="359">
        <f t="shared" si="2"/>
        <v>114</v>
      </c>
    </row>
    <row r="167" spans="1:9" ht="15" x14ac:dyDescent="0.25">
      <c r="A167" s="379">
        <v>166</v>
      </c>
      <c r="B167" s="379">
        <v>162</v>
      </c>
      <c r="C167" s="379" t="s">
        <v>416</v>
      </c>
      <c r="D167" s="379" t="s">
        <v>59</v>
      </c>
      <c r="E167" s="379" t="s">
        <v>1469</v>
      </c>
      <c r="F167" s="379">
        <v>175</v>
      </c>
      <c r="G167" s="379">
        <v>2</v>
      </c>
      <c r="I167" s="359">
        <f t="shared" si="2"/>
        <v>450</v>
      </c>
    </row>
    <row r="168" spans="1:9" ht="15" x14ac:dyDescent="0.25">
      <c r="A168" s="379">
        <v>167</v>
      </c>
      <c r="B168" s="379">
        <v>163</v>
      </c>
      <c r="C168" s="379" t="s">
        <v>1500</v>
      </c>
      <c r="D168" s="379" t="s">
        <v>1477</v>
      </c>
      <c r="E168" s="379" t="s">
        <v>1469</v>
      </c>
      <c r="F168" s="379">
        <v>173.25</v>
      </c>
      <c r="G168" s="379">
        <v>3</v>
      </c>
      <c r="I168" s="359">
        <f t="shared" si="2"/>
        <v>781</v>
      </c>
    </row>
    <row r="169" spans="1:9" ht="15" x14ac:dyDescent="0.25">
      <c r="A169" s="379">
        <v>168</v>
      </c>
      <c r="B169" s="379">
        <v>164</v>
      </c>
      <c r="C169" s="379" t="s">
        <v>511</v>
      </c>
      <c r="D169" s="379" t="s">
        <v>75</v>
      </c>
      <c r="E169" s="379" t="s">
        <v>1469</v>
      </c>
      <c r="F169" s="379">
        <v>172.45</v>
      </c>
      <c r="G169" s="379">
        <v>6</v>
      </c>
      <c r="I169" s="359">
        <f t="shared" si="2"/>
        <v>545</v>
      </c>
    </row>
    <row r="170" spans="1:9" ht="15" x14ac:dyDescent="0.25">
      <c r="A170" s="379">
        <v>169</v>
      </c>
      <c r="B170" s="379">
        <v>166</v>
      </c>
      <c r="C170" s="379" t="s">
        <v>519</v>
      </c>
      <c r="D170" s="379" t="s">
        <v>59</v>
      </c>
      <c r="E170" s="379" t="s">
        <v>1469</v>
      </c>
      <c r="F170" s="379">
        <v>172</v>
      </c>
      <c r="G170" s="379">
        <v>4</v>
      </c>
      <c r="I170" s="359">
        <f t="shared" si="2"/>
        <v>371</v>
      </c>
    </row>
    <row r="171" spans="1:9" ht="15" x14ac:dyDescent="0.25">
      <c r="A171" s="379">
        <v>170</v>
      </c>
      <c r="B171" s="379">
        <v>168</v>
      </c>
      <c r="C171" s="379" t="s">
        <v>1474</v>
      </c>
      <c r="D171" s="379" t="s">
        <v>72</v>
      </c>
      <c r="E171" s="379" t="s">
        <v>1470</v>
      </c>
      <c r="F171" s="379">
        <v>168.75</v>
      </c>
      <c r="G171" s="379">
        <v>7</v>
      </c>
      <c r="I171" s="359">
        <f t="shared" si="2"/>
        <v>105</v>
      </c>
    </row>
    <row r="172" spans="1:9" ht="15" x14ac:dyDescent="0.25">
      <c r="A172" s="379">
        <v>171</v>
      </c>
      <c r="B172" s="379">
        <v>221</v>
      </c>
      <c r="C172" s="379" t="s">
        <v>1233</v>
      </c>
      <c r="D172" s="379" t="s">
        <v>61</v>
      </c>
      <c r="E172" s="379" t="s">
        <v>1469</v>
      </c>
      <c r="F172" s="379">
        <v>168.5</v>
      </c>
      <c r="G172" s="379">
        <v>4</v>
      </c>
      <c r="I172" s="359">
        <f t="shared" si="2"/>
        <v>600</v>
      </c>
    </row>
    <row r="173" spans="1:9" ht="15" x14ac:dyDescent="0.25">
      <c r="A173" s="379">
        <v>172</v>
      </c>
      <c r="B173" s="379">
        <v>170</v>
      </c>
      <c r="C173" s="379" t="s">
        <v>521</v>
      </c>
      <c r="D173" s="379" t="s">
        <v>58</v>
      </c>
      <c r="E173" s="379" t="s">
        <v>1469</v>
      </c>
      <c r="F173" s="379">
        <v>167.3125</v>
      </c>
      <c r="G173" s="379">
        <v>5</v>
      </c>
      <c r="I173" s="359">
        <f t="shared" si="2"/>
        <v>173</v>
      </c>
    </row>
    <row r="174" spans="1:9" ht="15" x14ac:dyDescent="0.25">
      <c r="A174" s="379">
        <v>173</v>
      </c>
      <c r="B174" s="379">
        <v>172</v>
      </c>
      <c r="C174" s="379" t="s">
        <v>509</v>
      </c>
      <c r="D174" s="379" t="s">
        <v>58</v>
      </c>
      <c r="E174" s="379" t="s">
        <v>1469</v>
      </c>
      <c r="F174" s="379">
        <v>164.25</v>
      </c>
      <c r="G174" s="379">
        <v>1</v>
      </c>
      <c r="I174" s="359">
        <f t="shared" si="2"/>
        <v>171</v>
      </c>
    </row>
    <row r="175" spans="1:9" ht="15" x14ac:dyDescent="0.25">
      <c r="A175" s="379">
        <v>174</v>
      </c>
      <c r="B175" s="379">
        <v>173</v>
      </c>
      <c r="C175" s="379" t="s">
        <v>1548</v>
      </c>
      <c r="D175" s="379" t="s">
        <v>1477</v>
      </c>
      <c r="E175" s="379" t="s">
        <v>1469</v>
      </c>
      <c r="F175" s="379">
        <v>161.9</v>
      </c>
      <c r="G175" s="379">
        <v>5</v>
      </c>
      <c r="I175" s="359">
        <f t="shared" si="2"/>
        <v>268</v>
      </c>
    </row>
    <row r="176" spans="1:9" ht="15" x14ac:dyDescent="0.25">
      <c r="A176" s="379">
        <v>175</v>
      </c>
      <c r="B176" s="379">
        <v>244</v>
      </c>
      <c r="C176" s="379" t="s">
        <v>615</v>
      </c>
      <c r="D176" s="379" t="s">
        <v>71</v>
      </c>
      <c r="E176" s="379" t="s">
        <v>1469</v>
      </c>
      <c r="F176" s="379">
        <v>158.5</v>
      </c>
      <c r="G176" s="379">
        <v>3</v>
      </c>
      <c r="I176" s="359">
        <f t="shared" si="2"/>
        <v>360</v>
      </c>
    </row>
    <row r="177" spans="1:9" ht="15" x14ac:dyDescent="0.25">
      <c r="A177" s="379">
        <v>176</v>
      </c>
      <c r="B177" s="379">
        <v>177</v>
      </c>
      <c r="C177" s="379" t="s">
        <v>684</v>
      </c>
      <c r="D177" s="379" t="s">
        <v>61</v>
      </c>
      <c r="E177" s="379" t="s">
        <v>1469</v>
      </c>
      <c r="F177" s="379">
        <v>153</v>
      </c>
      <c r="G177" s="379">
        <v>2</v>
      </c>
      <c r="I177" s="359">
        <f t="shared" si="2"/>
        <v>445</v>
      </c>
    </row>
    <row r="178" spans="1:9" ht="15" x14ac:dyDescent="0.25">
      <c r="A178" s="379">
        <v>177</v>
      </c>
      <c r="B178" s="379">
        <v>178</v>
      </c>
      <c r="C178" s="379" t="s">
        <v>457</v>
      </c>
      <c r="D178" s="379" t="s">
        <v>58</v>
      </c>
      <c r="E178" s="379" t="s">
        <v>1469</v>
      </c>
      <c r="F178" s="379">
        <v>152.5</v>
      </c>
      <c r="G178" s="379">
        <v>1</v>
      </c>
      <c r="I178" s="359">
        <f t="shared" si="2"/>
        <v>607</v>
      </c>
    </row>
    <row r="179" spans="1:9" ht="15" x14ac:dyDescent="0.25">
      <c r="A179" s="379">
        <v>178</v>
      </c>
      <c r="B179" s="379">
        <v>179</v>
      </c>
      <c r="C179" s="379" t="s">
        <v>630</v>
      </c>
      <c r="D179" s="379" t="s">
        <v>69</v>
      </c>
      <c r="E179" s="379" t="s">
        <v>1469</v>
      </c>
      <c r="F179" s="379">
        <v>152.5</v>
      </c>
      <c r="G179" s="379">
        <v>3</v>
      </c>
      <c r="I179" s="359">
        <f t="shared" si="2"/>
        <v>385</v>
      </c>
    </row>
    <row r="180" spans="1:9" ht="15" x14ac:dyDescent="0.25">
      <c r="A180" s="379">
        <v>179</v>
      </c>
      <c r="B180" s="379">
        <v>303</v>
      </c>
      <c r="C180" s="379" t="s">
        <v>543</v>
      </c>
      <c r="D180" s="379" t="s">
        <v>61</v>
      </c>
      <c r="E180" s="379" t="s">
        <v>1469</v>
      </c>
      <c r="F180" s="379">
        <v>150.5</v>
      </c>
      <c r="G180" s="379">
        <v>3</v>
      </c>
      <c r="I180" s="359">
        <f t="shared" si="2"/>
        <v>711</v>
      </c>
    </row>
    <row r="181" spans="1:9" ht="15" x14ac:dyDescent="0.25">
      <c r="A181" s="379">
        <v>180</v>
      </c>
      <c r="B181" s="379">
        <v>180</v>
      </c>
      <c r="C181" s="379" t="s">
        <v>1229</v>
      </c>
      <c r="D181" s="379" t="s">
        <v>61</v>
      </c>
      <c r="E181" s="379" t="s">
        <v>1469</v>
      </c>
      <c r="F181" s="379">
        <v>150</v>
      </c>
      <c r="G181" s="379">
        <v>1</v>
      </c>
      <c r="I181" s="359">
        <f t="shared" si="2"/>
        <v>875</v>
      </c>
    </row>
    <row r="182" spans="1:9" ht="15" x14ac:dyDescent="0.25">
      <c r="A182" s="379">
        <v>181</v>
      </c>
      <c r="B182" s="379">
        <v>183</v>
      </c>
      <c r="C182" s="379" t="s">
        <v>646</v>
      </c>
      <c r="D182" s="379" t="s">
        <v>67</v>
      </c>
      <c r="E182" s="379" t="s">
        <v>1469</v>
      </c>
      <c r="F182" s="379">
        <v>146</v>
      </c>
      <c r="G182" s="379">
        <v>2</v>
      </c>
      <c r="I182" s="359">
        <f t="shared" si="2"/>
        <v>926</v>
      </c>
    </row>
    <row r="183" spans="1:9" ht="15" x14ac:dyDescent="0.25">
      <c r="A183" s="379">
        <v>182</v>
      </c>
      <c r="B183" s="379">
        <v>184</v>
      </c>
      <c r="C183" s="379" t="s">
        <v>1481</v>
      </c>
      <c r="D183" s="379" t="s">
        <v>65</v>
      </c>
      <c r="E183" s="379" t="s">
        <v>1469</v>
      </c>
      <c r="F183" s="379">
        <v>145</v>
      </c>
      <c r="G183" s="379">
        <v>3</v>
      </c>
      <c r="I183" s="359">
        <f t="shared" si="2"/>
        <v>821</v>
      </c>
    </row>
    <row r="184" spans="1:9" ht="15" x14ac:dyDescent="0.25">
      <c r="A184" s="379" t="s">
        <v>1640</v>
      </c>
      <c r="B184" s="379" t="s">
        <v>1641</v>
      </c>
      <c r="C184" s="379" t="s">
        <v>522</v>
      </c>
      <c r="D184" s="379" t="s">
        <v>69</v>
      </c>
      <c r="E184" s="379" t="s">
        <v>1469</v>
      </c>
      <c r="F184" s="379">
        <v>144.25</v>
      </c>
      <c r="G184" s="379">
        <v>2</v>
      </c>
      <c r="I184" s="359">
        <f t="shared" si="2"/>
        <v>983</v>
      </c>
    </row>
    <row r="185" spans="1:9" ht="15" x14ac:dyDescent="0.25">
      <c r="A185" s="379" t="s">
        <v>1640</v>
      </c>
      <c r="B185" s="379" t="s">
        <v>1641</v>
      </c>
      <c r="C185" s="379" t="s">
        <v>703</v>
      </c>
      <c r="D185" s="379" t="s">
        <v>69</v>
      </c>
      <c r="E185" s="379" t="s">
        <v>1469</v>
      </c>
      <c r="F185" s="379">
        <v>144.25</v>
      </c>
      <c r="G185" s="379">
        <v>2</v>
      </c>
      <c r="I185" s="359">
        <f t="shared" si="2"/>
        <v>636</v>
      </c>
    </row>
    <row r="186" spans="1:9" ht="15" x14ac:dyDescent="0.25">
      <c r="A186" s="379">
        <v>185</v>
      </c>
      <c r="B186" s="379">
        <v>185</v>
      </c>
      <c r="C186" s="379" t="s">
        <v>574</v>
      </c>
      <c r="D186" s="379" t="s">
        <v>58</v>
      </c>
      <c r="E186" s="379" t="s">
        <v>1469</v>
      </c>
      <c r="F186" s="379">
        <v>143.75</v>
      </c>
      <c r="G186" s="379">
        <v>5</v>
      </c>
      <c r="I186" s="359">
        <f t="shared" si="2"/>
        <v>310</v>
      </c>
    </row>
    <row r="187" spans="1:9" ht="15" x14ac:dyDescent="0.25">
      <c r="A187" s="379">
        <v>186</v>
      </c>
      <c r="B187" s="379">
        <v>243</v>
      </c>
      <c r="C187" s="379" t="s">
        <v>982</v>
      </c>
      <c r="D187" s="379" t="s">
        <v>61</v>
      </c>
      <c r="E187" s="379" t="s">
        <v>1469</v>
      </c>
      <c r="F187" s="379">
        <v>142.15</v>
      </c>
      <c r="G187" s="379">
        <v>5</v>
      </c>
      <c r="I187" s="359">
        <f t="shared" si="2"/>
        <v>954</v>
      </c>
    </row>
    <row r="188" spans="1:9" ht="15" x14ac:dyDescent="0.25">
      <c r="A188" s="379">
        <v>187</v>
      </c>
      <c r="B188" s="379">
        <v>189</v>
      </c>
      <c r="C188" s="379" t="s">
        <v>1299</v>
      </c>
      <c r="D188" s="379" t="s">
        <v>61</v>
      </c>
      <c r="E188" s="379" t="s">
        <v>1469</v>
      </c>
      <c r="F188" s="379">
        <v>141.85</v>
      </c>
      <c r="G188" s="379">
        <v>5</v>
      </c>
      <c r="I188" s="359">
        <f t="shared" si="2"/>
        <v>902</v>
      </c>
    </row>
    <row r="189" spans="1:9" ht="15" x14ac:dyDescent="0.25">
      <c r="A189" s="379">
        <v>188</v>
      </c>
      <c r="B189" s="379">
        <v>191</v>
      </c>
      <c r="C189" s="379" t="s">
        <v>1642</v>
      </c>
      <c r="D189" s="379" t="s">
        <v>1477</v>
      </c>
      <c r="E189" s="379" t="s">
        <v>1469</v>
      </c>
      <c r="F189" s="379">
        <v>136.5</v>
      </c>
      <c r="G189" s="379">
        <v>3</v>
      </c>
      <c r="I189" s="359">
        <f t="shared" si="2"/>
        <v>977</v>
      </c>
    </row>
    <row r="190" spans="1:9" ht="15" x14ac:dyDescent="0.25">
      <c r="A190" s="379">
        <v>189</v>
      </c>
      <c r="B190" s="379">
        <v>193</v>
      </c>
      <c r="C190" s="379" t="s">
        <v>526</v>
      </c>
      <c r="D190" s="379" t="s">
        <v>58</v>
      </c>
      <c r="E190" s="379" t="s">
        <v>1469</v>
      </c>
      <c r="F190" s="379">
        <v>135.1</v>
      </c>
      <c r="G190" s="379">
        <v>5</v>
      </c>
      <c r="I190" s="359">
        <f t="shared" si="2"/>
        <v>695</v>
      </c>
    </row>
    <row r="191" spans="1:9" ht="15" x14ac:dyDescent="0.25">
      <c r="A191" s="379">
        <v>190</v>
      </c>
      <c r="B191" s="379">
        <v>194</v>
      </c>
      <c r="C191" s="379" t="s">
        <v>1418</v>
      </c>
      <c r="D191" s="379" t="s">
        <v>69</v>
      </c>
      <c r="E191" s="379" t="s">
        <v>1469</v>
      </c>
      <c r="F191" s="379">
        <v>129</v>
      </c>
      <c r="G191" s="379">
        <v>3</v>
      </c>
      <c r="I191" s="359">
        <f t="shared" si="2"/>
        <v>905</v>
      </c>
    </row>
    <row r="192" spans="1:9" ht="15" x14ac:dyDescent="0.25">
      <c r="A192" s="379">
        <v>191</v>
      </c>
      <c r="B192" s="379">
        <v>181</v>
      </c>
      <c r="C192" s="379" t="s">
        <v>541</v>
      </c>
      <c r="D192" s="379" t="s">
        <v>59</v>
      </c>
      <c r="E192" s="379" t="s">
        <v>1469</v>
      </c>
      <c r="F192" s="379">
        <v>128.5</v>
      </c>
      <c r="G192" s="379">
        <v>4</v>
      </c>
      <c r="I192" s="359">
        <f t="shared" si="2"/>
        <v>179</v>
      </c>
    </row>
    <row r="193" spans="1:9" ht="15" x14ac:dyDescent="0.25">
      <c r="A193" s="379">
        <v>192</v>
      </c>
      <c r="B193" s="379">
        <v>196</v>
      </c>
      <c r="C193" s="379" t="s">
        <v>576</v>
      </c>
      <c r="D193" s="379" t="s">
        <v>58</v>
      </c>
      <c r="E193" s="379" t="s">
        <v>1469</v>
      </c>
      <c r="F193" s="379">
        <v>128</v>
      </c>
      <c r="G193" s="379">
        <v>3</v>
      </c>
      <c r="I193" s="359">
        <f t="shared" si="2"/>
        <v>343</v>
      </c>
    </row>
    <row r="194" spans="1:9" ht="15" x14ac:dyDescent="0.25">
      <c r="A194" s="379">
        <v>193</v>
      </c>
      <c r="B194" s="379">
        <v>176</v>
      </c>
      <c r="C194" s="379" t="s">
        <v>535</v>
      </c>
      <c r="D194" s="379" t="s">
        <v>59</v>
      </c>
      <c r="E194" s="379" t="s">
        <v>1469</v>
      </c>
      <c r="F194" s="379">
        <v>127</v>
      </c>
      <c r="G194" s="379">
        <v>2</v>
      </c>
      <c r="I194" s="359">
        <f t="shared" si="2"/>
        <v>800</v>
      </c>
    </row>
    <row r="195" spans="1:9" ht="15" x14ac:dyDescent="0.25">
      <c r="A195" s="379">
        <v>194</v>
      </c>
      <c r="B195" s="379">
        <v>197</v>
      </c>
      <c r="C195" s="379" t="s">
        <v>507</v>
      </c>
      <c r="D195" s="379" t="s">
        <v>58</v>
      </c>
      <c r="E195" s="379" t="s">
        <v>1470</v>
      </c>
      <c r="F195" s="379">
        <v>127</v>
      </c>
      <c r="G195" s="379">
        <v>8</v>
      </c>
      <c r="I195" s="359">
        <f t="shared" ref="I195:I258" si="3">SUMPRODUCT((C$2:C$1000 &lt; C195)+(C195="")*1000)</f>
        <v>292</v>
      </c>
    </row>
    <row r="196" spans="1:9" ht="15" x14ac:dyDescent="0.25">
      <c r="A196" s="379">
        <v>195</v>
      </c>
      <c r="B196" s="379">
        <v>198</v>
      </c>
      <c r="C196" s="379" t="s">
        <v>904</v>
      </c>
      <c r="D196" s="379" t="s">
        <v>58</v>
      </c>
      <c r="E196" s="379" t="s">
        <v>1469</v>
      </c>
      <c r="F196" s="379">
        <v>126.5</v>
      </c>
      <c r="G196" s="379">
        <v>3</v>
      </c>
      <c r="I196" s="359">
        <f t="shared" si="3"/>
        <v>780</v>
      </c>
    </row>
    <row r="197" spans="1:9" ht="15" x14ac:dyDescent="0.25">
      <c r="A197" s="379">
        <v>196</v>
      </c>
      <c r="B197" s="379">
        <v>199</v>
      </c>
      <c r="C197" s="379" t="s">
        <v>473</v>
      </c>
      <c r="D197" s="379" t="s">
        <v>59</v>
      </c>
      <c r="E197" s="379" t="s">
        <v>1469</v>
      </c>
      <c r="F197" s="379">
        <v>125.5</v>
      </c>
      <c r="G197" s="379">
        <v>2</v>
      </c>
      <c r="I197" s="359">
        <f t="shared" si="3"/>
        <v>814</v>
      </c>
    </row>
    <row r="198" spans="1:9" ht="15" x14ac:dyDescent="0.25">
      <c r="A198" s="379">
        <v>197</v>
      </c>
      <c r="B198" s="379">
        <v>200</v>
      </c>
      <c r="C198" s="379" t="s">
        <v>515</v>
      </c>
      <c r="D198" s="379" t="s">
        <v>69</v>
      </c>
      <c r="E198" s="379" t="s">
        <v>1469</v>
      </c>
      <c r="F198" s="379">
        <v>125</v>
      </c>
      <c r="G198" s="379">
        <v>2</v>
      </c>
      <c r="I198" s="359">
        <f t="shared" si="3"/>
        <v>635</v>
      </c>
    </row>
    <row r="199" spans="1:9" ht="15" x14ac:dyDescent="0.25">
      <c r="A199" s="379">
        <v>198</v>
      </c>
      <c r="B199" s="379">
        <v>174</v>
      </c>
      <c r="C199" s="379" t="s">
        <v>554</v>
      </c>
      <c r="D199" s="379" t="s">
        <v>59</v>
      </c>
      <c r="E199" s="379" t="s">
        <v>1469</v>
      </c>
      <c r="F199" s="379">
        <v>124.5</v>
      </c>
      <c r="G199" s="379">
        <v>3</v>
      </c>
      <c r="I199" s="359">
        <f t="shared" si="3"/>
        <v>939</v>
      </c>
    </row>
    <row r="200" spans="1:9" ht="15" x14ac:dyDescent="0.25">
      <c r="A200" s="379">
        <v>199</v>
      </c>
      <c r="B200" s="379">
        <v>203</v>
      </c>
      <c r="C200" s="379" t="s">
        <v>1493</v>
      </c>
      <c r="D200" s="379" t="s">
        <v>65</v>
      </c>
      <c r="E200" s="379" t="s">
        <v>1469</v>
      </c>
      <c r="F200" s="379">
        <v>122.5</v>
      </c>
      <c r="G200" s="379">
        <v>3</v>
      </c>
      <c r="I200" s="359">
        <f t="shared" si="3"/>
        <v>208</v>
      </c>
    </row>
    <row r="201" spans="1:9" ht="15" x14ac:dyDescent="0.25">
      <c r="A201" s="379">
        <v>200</v>
      </c>
      <c r="B201" s="379">
        <v>204</v>
      </c>
      <c r="C201" s="379" t="s">
        <v>578</v>
      </c>
      <c r="D201" s="379" t="s">
        <v>59</v>
      </c>
      <c r="E201" s="379" t="s">
        <v>1469</v>
      </c>
      <c r="F201" s="379">
        <v>121</v>
      </c>
      <c r="G201" s="379">
        <v>3</v>
      </c>
      <c r="I201" s="359">
        <f t="shared" si="3"/>
        <v>122</v>
      </c>
    </row>
    <row r="202" spans="1:9" ht="15" x14ac:dyDescent="0.25">
      <c r="A202" s="379">
        <v>201</v>
      </c>
      <c r="B202" s="379">
        <v>175</v>
      </c>
      <c r="C202" s="379" t="s">
        <v>471</v>
      </c>
      <c r="D202" s="379" t="s">
        <v>59</v>
      </c>
      <c r="E202" s="379" t="s">
        <v>1470</v>
      </c>
      <c r="F202" s="379">
        <v>120.25</v>
      </c>
      <c r="G202" s="379">
        <v>3</v>
      </c>
      <c r="I202" s="359">
        <f t="shared" si="3"/>
        <v>170</v>
      </c>
    </row>
    <row r="203" spans="1:9" ht="15" x14ac:dyDescent="0.25">
      <c r="A203" s="379">
        <v>202</v>
      </c>
      <c r="B203" s="379">
        <v>265</v>
      </c>
      <c r="C203" s="379" t="s">
        <v>828</v>
      </c>
      <c r="D203" s="379" t="s">
        <v>61</v>
      </c>
      <c r="E203" s="379" t="s">
        <v>1469</v>
      </c>
      <c r="F203" s="379">
        <v>120</v>
      </c>
      <c r="G203" s="379">
        <v>2</v>
      </c>
      <c r="I203" s="359">
        <f t="shared" si="3"/>
        <v>167</v>
      </c>
    </row>
    <row r="204" spans="1:9" ht="15" x14ac:dyDescent="0.25">
      <c r="A204" s="379">
        <v>203</v>
      </c>
      <c r="B204" s="379">
        <v>205</v>
      </c>
      <c r="C204" s="379" t="s">
        <v>533</v>
      </c>
      <c r="D204" s="379" t="s">
        <v>58</v>
      </c>
      <c r="E204" s="379" t="s">
        <v>1469</v>
      </c>
      <c r="F204" s="379">
        <v>120</v>
      </c>
      <c r="G204" s="379">
        <v>3</v>
      </c>
      <c r="I204" s="359">
        <f t="shared" si="3"/>
        <v>301</v>
      </c>
    </row>
    <row r="205" spans="1:9" ht="15" x14ac:dyDescent="0.25">
      <c r="A205" s="379">
        <v>204</v>
      </c>
      <c r="B205" s="379">
        <v>192</v>
      </c>
      <c r="C205" s="379" t="s">
        <v>571</v>
      </c>
      <c r="D205" s="379" t="s">
        <v>62</v>
      </c>
      <c r="E205" s="379" t="s">
        <v>1469</v>
      </c>
      <c r="F205" s="379">
        <v>119.5</v>
      </c>
      <c r="G205" s="379">
        <v>2</v>
      </c>
      <c r="I205" s="359">
        <f t="shared" si="3"/>
        <v>251</v>
      </c>
    </row>
    <row r="206" spans="1:9" ht="15" x14ac:dyDescent="0.25">
      <c r="A206" s="379">
        <v>205</v>
      </c>
      <c r="B206" s="379">
        <v>207</v>
      </c>
      <c r="C206" s="379" t="s">
        <v>460</v>
      </c>
      <c r="D206" s="379" t="s">
        <v>61</v>
      </c>
      <c r="E206" s="379" t="s">
        <v>1469</v>
      </c>
      <c r="F206" s="379">
        <v>119</v>
      </c>
      <c r="G206" s="379">
        <v>1</v>
      </c>
      <c r="I206" s="359">
        <f t="shared" si="3"/>
        <v>619</v>
      </c>
    </row>
    <row r="207" spans="1:9" ht="15" x14ac:dyDescent="0.25">
      <c r="A207" s="379">
        <v>206</v>
      </c>
      <c r="B207" s="379">
        <v>208</v>
      </c>
      <c r="C207" s="379" t="s">
        <v>696</v>
      </c>
      <c r="D207" s="379" t="s">
        <v>189</v>
      </c>
      <c r="E207" s="379" t="s">
        <v>1469</v>
      </c>
      <c r="F207" s="379">
        <v>118.75</v>
      </c>
      <c r="G207" s="379">
        <v>2</v>
      </c>
      <c r="I207" s="359">
        <f t="shared" si="3"/>
        <v>515</v>
      </c>
    </row>
    <row r="208" spans="1:9" ht="15" x14ac:dyDescent="0.25">
      <c r="A208" s="379">
        <v>207</v>
      </c>
      <c r="B208" s="379">
        <v>209</v>
      </c>
      <c r="C208" s="379" t="s">
        <v>1416</v>
      </c>
      <c r="D208" s="379" t="s">
        <v>61</v>
      </c>
      <c r="E208" s="379" t="s">
        <v>1469</v>
      </c>
      <c r="F208" s="379">
        <v>116.5</v>
      </c>
      <c r="G208" s="379">
        <v>3</v>
      </c>
      <c r="I208" s="359">
        <f t="shared" si="3"/>
        <v>293</v>
      </c>
    </row>
    <row r="209" spans="1:9" ht="15" x14ac:dyDescent="0.25">
      <c r="A209" s="379">
        <v>208</v>
      </c>
      <c r="B209" s="379">
        <v>210</v>
      </c>
      <c r="C209" s="379" t="s">
        <v>961</v>
      </c>
      <c r="D209" s="379" t="s">
        <v>59</v>
      </c>
      <c r="E209" s="379" t="s">
        <v>1469</v>
      </c>
      <c r="F209" s="379">
        <v>116</v>
      </c>
      <c r="G209" s="379">
        <v>2</v>
      </c>
      <c r="I209" s="359">
        <f t="shared" si="3"/>
        <v>129</v>
      </c>
    </row>
    <row r="210" spans="1:9" ht="15" x14ac:dyDescent="0.25">
      <c r="A210" s="379">
        <v>209</v>
      </c>
      <c r="B210" s="379">
        <v>211</v>
      </c>
      <c r="C210" s="379" t="s">
        <v>1539</v>
      </c>
      <c r="D210" s="379" t="s">
        <v>61</v>
      </c>
      <c r="E210" s="379" t="s">
        <v>1469</v>
      </c>
      <c r="F210" s="379">
        <v>114.1</v>
      </c>
      <c r="G210" s="379">
        <v>5</v>
      </c>
      <c r="I210" s="359">
        <f t="shared" si="3"/>
        <v>865</v>
      </c>
    </row>
    <row r="211" spans="1:9" ht="15" x14ac:dyDescent="0.25">
      <c r="A211" s="379">
        <v>210</v>
      </c>
      <c r="B211" s="379">
        <v>213</v>
      </c>
      <c r="C211" s="379" t="s">
        <v>1092</v>
      </c>
      <c r="D211" s="379" t="s">
        <v>58</v>
      </c>
      <c r="E211" s="379" t="s">
        <v>1469</v>
      </c>
      <c r="F211" s="379">
        <v>113</v>
      </c>
      <c r="G211" s="379">
        <v>1</v>
      </c>
      <c r="I211" s="359">
        <f t="shared" si="3"/>
        <v>796</v>
      </c>
    </row>
    <row r="212" spans="1:9" ht="15" x14ac:dyDescent="0.25">
      <c r="A212" s="379">
        <v>211</v>
      </c>
      <c r="B212" s="379">
        <v>131</v>
      </c>
      <c r="C212" s="379" t="s">
        <v>577</v>
      </c>
      <c r="D212" s="379" t="s">
        <v>59</v>
      </c>
      <c r="E212" s="379" t="s">
        <v>1470</v>
      </c>
      <c r="F212" s="379">
        <v>113</v>
      </c>
      <c r="G212" s="379">
        <v>4</v>
      </c>
      <c r="I212" s="359">
        <f t="shared" si="3"/>
        <v>37</v>
      </c>
    </row>
    <row r="213" spans="1:9" ht="15" x14ac:dyDescent="0.25">
      <c r="A213" s="379">
        <v>212</v>
      </c>
      <c r="B213" s="379">
        <v>214</v>
      </c>
      <c r="C213" s="379" t="s">
        <v>591</v>
      </c>
      <c r="D213" s="379" t="s">
        <v>69</v>
      </c>
      <c r="E213" s="379" t="s">
        <v>1469</v>
      </c>
      <c r="F213" s="379">
        <v>112.5</v>
      </c>
      <c r="G213" s="379">
        <v>2</v>
      </c>
      <c r="I213" s="359">
        <f t="shared" si="3"/>
        <v>950</v>
      </c>
    </row>
    <row r="214" spans="1:9" ht="15" x14ac:dyDescent="0.25">
      <c r="A214" s="379">
        <v>213</v>
      </c>
      <c r="B214" s="379">
        <v>190</v>
      </c>
      <c r="C214" s="379" t="s">
        <v>710</v>
      </c>
      <c r="D214" s="379" t="s">
        <v>61</v>
      </c>
      <c r="E214" s="379" t="s">
        <v>1469</v>
      </c>
      <c r="F214" s="379">
        <v>112.5</v>
      </c>
      <c r="G214" s="379">
        <v>3</v>
      </c>
      <c r="I214" s="359">
        <f t="shared" si="3"/>
        <v>372</v>
      </c>
    </row>
    <row r="215" spans="1:9" ht="15" x14ac:dyDescent="0.25">
      <c r="A215" s="379" t="s">
        <v>1643</v>
      </c>
      <c r="B215" s="379" t="s">
        <v>1644</v>
      </c>
      <c r="C215" s="379" t="s">
        <v>1007</v>
      </c>
      <c r="D215" s="379" t="s">
        <v>58</v>
      </c>
      <c r="E215" s="379" t="s">
        <v>1469</v>
      </c>
      <c r="F215" s="379">
        <v>112</v>
      </c>
      <c r="G215" s="379">
        <v>2</v>
      </c>
      <c r="I215" s="359">
        <f t="shared" si="3"/>
        <v>71</v>
      </c>
    </row>
    <row r="216" spans="1:9" ht="15" x14ac:dyDescent="0.25">
      <c r="A216" s="379" t="s">
        <v>1643</v>
      </c>
      <c r="B216" s="379" t="s">
        <v>1644</v>
      </c>
      <c r="C216" s="379" t="s">
        <v>499</v>
      </c>
      <c r="D216" s="379" t="s">
        <v>59</v>
      </c>
      <c r="E216" s="379" t="s">
        <v>1469</v>
      </c>
      <c r="F216" s="379">
        <v>112</v>
      </c>
      <c r="G216" s="379">
        <v>2</v>
      </c>
      <c r="I216" s="359">
        <f t="shared" si="3"/>
        <v>736</v>
      </c>
    </row>
    <row r="217" spans="1:9" ht="15" x14ac:dyDescent="0.25">
      <c r="A217" s="379">
        <v>216</v>
      </c>
      <c r="B217" s="379">
        <v>217</v>
      </c>
      <c r="C217" s="379" t="s">
        <v>1262</v>
      </c>
      <c r="D217" s="379" t="s">
        <v>59</v>
      </c>
      <c r="E217" s="379" t="s">
        <v>1469</v>
      </c>
      <c r="F217" s="379">
        <v>111.55</v>
      </c>
      <c r="G217" s="379">
        <v>3</v>
      </c>
      <c r="I217" s="359">
        <f t="shared" si="3"/>
        <v>72</v>
      </c>
    </row>
    <row r="218" spans="1:9" ht="15" x14ac:dyDescent="0.25">
      <c r="A218" s="379" t="s">
        <v>1645</v>
      </c>
      <c r="B218" s="379" t="s">
        <v>1646</v>
      </c>
      <c r="C218" s="379" t="s">
        <v>514</v>
      </c>
      <c r="D218" s="379" t="s">
        <v>59</v>
      </c>
      <c r="E218" s="379" t="s">
        <v>1469</v>
      </c>
      <c r="F218" s="379">
        <v>111.5</v>
      </c>
      <c r="G218" s="379">
        <v>1</v>
      </c>
      <c r="I218" s="359">
        <f t="shared" si="3"/>
        <v>221</v>
      </c>
    </row>
    <row r="219" spans="1:9" ht="15" x14ac:dyDescent="0.25">
      <c r="A219" s="379" t="s">
        <v>1645</v>
      </c>
      <c r="B219" s="379" t="s">
        <v>1646</v>
      </c>
      <c r="C219" s="379" t="s">
        <v>1278</v>
      </c>
      <c r="D219" s="379" t="s">
        <v>67</v>
      </c>
      <c r="E219" s="379" t="s">
        <v>1469</v>
      </c>
      <c r="F219" s="379">
        <v>111.5</v>
      </c>
      <c r="G219" s="379">
        <v>1</v>
      </c>
      <c r="I219" s="359">
        <f t="shared" si="3"/>
        <v>773</v>
      </c>
    </row>
    <row r="220" spans="1:9" ht="15" x14ac:dyDescent="0.25">
      <c r="A220" s="379">
        <v>219</v>
      </c>
      <c r="B220" s="379">
        <v>256</v>
      </c>
      <c r="C220" s="379" t="s">
        <v>1524</v>
      </c>
      <c r="D220" s="379" t="s">
        <v>1525</v>
      </c>
      <c r="E220" s="379" t="s">
        <v>1469</v>
      </c>
      <c r="F220" s="379">
        <v>109</v>
      </c>
      <c r="G220" s="379">
        <v>3</v>
      </c>
      <c r="I220" s="359">
        <f t="shared" si="3"/>
        <v>185</v>
      </c>
    </row>
    <row r="221" spans="1:9" ht="15" x14ac:dyDescent="0.25">
      <c r="A221" s="379">
        <v>220</v>
      </c>
      <c r="B221" s="379" t="s">
        <v>1647</v>
      </c>
      <c r="C221" s="379" t="s">
        <v>1224</v>
      </c>
      <c r="D221" s="379" t="s">
        <v>61</v>
      </c>
      <c r="E221" s="379" t="s">
        <v>1469</v>
      </c>
      <c r="F221" s="379">
        <v>108.25</v>
      </c>
      <c r="G221" s="379">
        <v>3</v>
      </c>
      <c r="I221" s="359">
        <f t="shared" si="3"/>
        <v>117</v>
      </c>
    </row>
    <row r="222" spans="1:9" ht="15" x14ac:dyDescent="0.25">
      <c r="A222" s="379">
        <v>221</v>
      </c>
      <c r="B222" s="379">
        <v>186</v>
      </c>
      <c r="C222" s="379" t="s">
        <v>568</v>
      </c>
      <c r="D222" s="379" t="s">
        <v>59</v>
      </c>
      <c r="E222" s="379" t="s">
        <v>1469</v>
      </c>
      <c r="F222" s="379">
        <v>108</v>
      </c>
      <c r="G222" s="379">
        <v>3</v>
      </c>
      <c r="I222" s="359">
        <f t="shared" si="3"/>
        <v>403</v>
      </c>
    </row>
    <row r="223" spans="1:9" ht="15" x14ac:dyDescent="0.25">
      <c r="A223" s="379">
        <v>222</v>
      </c>
      <c r="B223" s="379">
        <v>188</v>
      </c>
      <c r="C223" s="379" t="s">
        <v>464</v>
      </c>
      <c r="D223" s="379" t="s">
        <v>59</v>
      </c>
      <c r="E223" s="379" t="s">
        <v>1469</v>
      </c>
      <c r="F223" s="379">
        <v>106</v>
      </c>
      <c r="G223" s="379">
        <v>3</v>
      </c>
      <c r="I223" s="359">
        <f t="shared" si="3"/>
        <v>953</v>
      </c>
    </row>
    <row r="224" spans="1:9" ht="15" x14ac:dyDescent="0.25">
      <c r="A224" s="379">
        <v>223</v>
      </c>
      <c r="B224" s="379">
        <v>277</v>
      </c>
      <c r="C224" s="379" t="s">
        <v>1124</v>
      </c>
      <c r="D224" s="379" t="s">
        <v>70</v>
      </c>
      <c r="E224" s="379" t="s">
        <v>1469</v>
      </c>
      <c r="F224" s="379">
        <v>105.98</v>
      </c>
      <c r="G224" s="379">
        <v>5</v>
      </c>
      <c r="I224" s="359">
        <f t="shared" si="3"/>
        <v>145</v>
      </c>
    </row>
    <row r="225" spans="1:9" ht="15" x14ac:dyDescent="0.25">
      <c r="A225" s="379">
        <v>224</v>
      </c>
      <c r="B225" s="379">
        <v>224</v>
      </c>
      <c r="C225" s="379" t="s">
        <v>1257</v>
      </c>
      <c r="D225" s="379" t="s">
        <v>61</v>
      </c>
      <c r="E225" s="379" t="s">
        <v>1470</v>
      </c>
      <c r="F225" s="379">
        <v>104.5</v>
      </c>
      <c r="G225" s="379">
        <v>7</v>
      </c>
      <c r="I225" s="359">
        <f t="shared" si="3"/>
        <v>747</v>
      </c>
    </row>
    <row r="226" spans="1:9" ht="15" x14ac:dyDescent="0.25">
      <c r="A226" s="379">
        <v>225</v>
      </c>
      <c r="B226" s="379">
        <v>225</v>
      </c>
      <c r="C226" s="379" t="s">
        <v>1507</v>
      </c>
      <c r="D226" s="379" t="s">
        <v>61</v>
      </c>
      <c r="E226" s="379" t="s">
        <v>1469</v>
      </c>
      <c r="F226" s="379">
        <v>104</v>
      </c>
      <c r="G226" s="379">
        <v>3</v>
      </c>
      <c r="I226" s="359">
        <f t="shared" si="3"/>
        <v>434</v>
      </c>
    </row>
    <row r="227" spans="1:9" ht="15" x14ac:dyDescent="0.25">
      <c r="A227" s="379">
        <v>226</v>
      </c>
      <c r="B227" s="379">
        <v>226</v>
      </c>
      <c r="C227" s="379" t="s">
        <v>769</v>
      </c>
      <c r="D227" s="379" t="s">
        <v>64</v>
      </c>
      <c r="E227" s="379" t="s">
        <v>1469</v>
      </c>
      <c r="F227" s="379">
        <v>103.95</v>
      </c>
      <c r="G227" s="379">
        <v>5</v>
      </c>
      <c r="I227" s="359">
        <f t="shared" si="3"/>
        <v>593</v>
      </c>
    </row>
    <row r="228" spans="1:9" ht="15" x14ac:dyDescent="0.25">
      <c r="A228" s="379">
        <v>227</v>
      </c>
      <c r="B228" s="379">
        <v>227</v>
      </c>
      <c r="C228" s="379" t="s">
        <v>1185</v>
      </c>
      <c r="D228" s="379" t="s">
        <v>58</v>
      </c>
      <c r="E228" s="379" t="s">
        <v>1469</v>
      </c>
      <c r="F228" s="379">
        <v>103</v>
      </c>
      <c r="G228" s="379">
        <v>2</v>
      </c>
      <c r="I228" s="359">
        <f t="shared" si="3"/>
        <v>288</v>
      </c>
    </row>
    <row r="229" spans="1:9" ht="15" x14ac:dyDescent="0.25">
      <c r="A229" s="379">
        <v>228</v>
      </c>
      <c r="B229" s="379">
        <v>228</v>
      </c>
      <c r="C229" s="379" t="s">
        <v>632</v>
      </c>
      <c r="D229" s="379" t="s">
        <v>69</v>
      </c>
      <c r="E229" s="379" t="s">
        <v>1469</v>
      </c>
      <c r="F229" s="379">
        <v>102.5</v>
      </c>
      <c r="G229" s="379">
        <v>2</v>
      </c>
      <c r="I229" s="359">
        <f t="shared" si="3"/>
        <v>908</v>
      </c>
    </row>
    <row r="230" spans="1:9" ht="15" x14ac:dyDescent="0.25">
      <c r="A230" s="379">
        <v>229</v>
      </c>
      <c r="B230" s="379">
        <v>229</v>
      </c>
      <c r="C230" s="379" t="s">
        <v>1482</v>
      </c>
      <c r="D230" s="379" t="s">
        <v>1477</v>
      </c>
      <c r="E230" s="379" t="s">
        <v>1469</v>
      </c>
      <c r="F230" s="379">
        <v>101</v>
      </c>
      <c r="G230" s="379">
        <v>1</v>
      </c>
      <c r="I230" s="359">
        <f t="shared" si="3"/>
        <v>34</v>
      </c>
    </row>
    <row r="231" spans="1:9" ht="15" x14ac:dyDescent="0.25">
      <c r="A231" s="379">
        <v>230</v>
      </c>
      <c r="B231" s="379">
        <v>167</v>
      </c>
      <c r="C231" s="379" t="s">
        <v>1215</v>
      </c>
      <c r="D231" s="379" t="s">
        <v>59</v>
      </c>
      <c r="E231" s="379" t="s">
        <v>1470</v>
      </c>
      <c r="F231" s="379">
        <v>100.75</v>
      </c>
      <c r="G231" s="379">
        <v>6</v>
      </c>
      <c r="I231" s="359">
        <f t="shared" si="3"/>
        <v>522</v>
      </c>
    </row>
    <row r="232" spans="1:9" ht="15" x14ac:dyDescent="0.25">
      <c r="A232" s="379">
        <v>231</v>
      </c>
      <c r="B232" s="379">
        <v>230</v>
      </c>
      <c r="C232" s="379" t="s">
        <v>528</v>
      </c>
      <c r="D232" s="379" t="s">
        <v>62</v>
      </c>
      <c r="E232" s="379" t="s">
        <v>1469</v>
      </c>
      <c r="F232" s="379">
        <v>100.5</v>
      </c>
      <c r="G232" s="379">
        <v>1</v>
      </c>
      <c r="I232" s="359">
        <f t="shared" si="3"/>
        <v>876</v>
      </c>
    </row>
    <row r="233" spans="1:9" ht="15" x14ac:dyDescent="0.25">
      <c r="A233" s="379">
        <v>232</v>
      </c>
      <c r="B233" s="379">
        <v>232</v>
      </c>
      <c r="C233" s="379" t="s">
        <v>1484</v>
      </c>
      <c r="D233" s="379" t="s">
        <v>58</v>
      </c>
      <c r="E233" s="379" t="s">
        <v>1469</v>
      </c>
      <c r="F233" s="379">
        <v>97.8125</v>
      </c>
      <c r="G233" s="379">
        <v>2</v>
      </c>
      <c r="I233" s="359">
        <f t="shared" si="3"/>
        <v>650</v>
      </c>
    </row>
    <row r="234" spans="1:9" ht="15" x14ac:dyDescent="0.25">
      <c r="A234" s="379">
        <v>233</v>
      </c>
      <c r="B234" s="379">
        <v>233</v>
      </c>
      <c r="C234" s="379" t="s">
        <v>1503</v>
      </c>
      <c r="D234" s="379" t="s">
        <v>1477</v>
      </c>
      <c r="E234" s="379" t="s">
        <v>1469</v>
      </c>
      <c r="F234" s="379">
        <v>97</v>
      </c>
      <c r="G234" s="379">
        <v>2</v>
      </c>
      <c r="I234" s="359">
        <f t="shared" si="3"/>
        <v>392</v>
      </c>
    </row>
    <row r="235" spans="1:9" ht="15" x14ac:dyDescent="0.25">
      <c r="A235" s="379">
        <v>234</v>
      </c>
      <c r="B235" s="379">
        <v>195</v>
      </c>
      <c r="C235" s="379" t="s">
        <v>1313</v>
      </c>
      <c r="D235" s="379" t="s">
        <v>75</v>
      </c>
      <c r="E235" s="379" t="s">
        <v>1469</v>
      </c>
      <c r="F235" s="379">
        <v>96.5</v>
      </c>
      <c r="G235" s="379">
        <v>3</v>
      </c>
      <c r="I235" s="359">
        <f t="shared" si="3"/>
        <v>317</v>
      </c>
    </row>
    <row r="236" spans="1:9" ht="15" x14ac:dyDescent="0.25">
      <c r="A236" s="379">
        <v>235</v>
      </c>
      <c r="B236" s="379">
        <v>236</v>
      </c>
      <c r="C236" s="379" t="s">
        <v>718</v>
      </c>
      <c r="D236" s="379" t="s">
        <v>59</v>
      </c>
      <c r="E236" s="379" t="s">
        <v>1470</v>
      </c>
      <c r="F236" s="379">
        <v>95.5</v>
      </c>
      <c r="G236" s="379">
        <v>6</v>
      </c>
      <c r="I236" s="359">
        <f t="shared" si="3"/>
        <v>111</v>
      </c>
    </row>
    <row r="237" spans="1:9" ht="15" x14ac:dyDescent="0.25">
      <c r="A237" s="379">
        <v>236</v>
      </c>
      <c r="B237" s="379">
        <v>237</v>
      </c>
      <c r="C237" s="379" t="s">
        <v>1485</v>
      </c>
      <c r="D237" s="379" t="s">
        <v>58</v>
      </c>
      <c r="E237" s="379" t="s">
        <v>1469</v>
      </c>
      <c r="F237" s="379">
        <v>94</v>
      </c>
      <c r="G237" s="379">
        <v>3</v>
      </c>
      <c r="I237" s="359">
        <f t="shared" si="3"/>
        <v>660</v>
      </c>
    </row>
    <row r="238" spans="1:9" ht="15" x14ac:dyDescent="0.25">
      <c r="A238" s="379">
        <v>237</v>
      </c>
      <c r="B238" s="379">
        <v>169</v>
      </c>
      <c r="C238" s="379" t="s">
        <v>606</v>
      </c>
      <c r="D238" s="379" t="s">
        <v>59</v>
      </c>
      <c r="E238" s="379" t="s">
        <v>1469</v>
      </c>
      <c r="F238" s="379">
        <v>92.1</v>
      </c>
      <c r="G238" s="379">
        <v>4</v>
      </c>
      <c r="I238" s="359">
        <f t="shared" si="3"/>
        <v>616</v>
      </c>
    </row>
    <row r="239" spans="1:9" ht="15" x14ac:dyDescent="0.25">
      <c r="A239" s="379">
        <v>238</v>
      </c>
      <c r="B239" s="379">
        <v>239</v>
      </c>
      <c r="C239" s="379" t="s">
        <v>1490</v>
      </c>
      <c r="D239" s="379" t="s">
        <v>1491</v>
      </c>
      <c r="E239" s="379" t="s">
        <v>1469</v>
      </c>
      <c r="F239" s="379">
        <v>91.2</v>
      </c>
      <c r="G239" s="379">
        <v>3</v>
      </c>
      <c r="I239" s="359">
        <f t="shared" si="3"/>
        <v>553</v>
      </c>
    </row>
    <row r="240" spans="1:9" ht="15" x14ac:dyDescent="0.25">
      <c r="A240" s="379">
        <v>239</v>
      </c>
      <c r="B240" s="379">
        <v>202</v>
      </c>
      <c r="C240" s="379" t="s">
        <v>1307</v>
      </c>
      <c r="D240" s="379" t="s">
        <v>75</v>
      </c>
      <c r="E240" s="379" t="s">
        <v>1470</v>
      </c>
      <c r="F240" s="379">
        <v>89.5</v>
      </c>
      <c r="G240" s="379">
        <v>5</v>
      </c>
      <c r="I240" s="359">
        <f t="shared" si="3"/>
        <v>74</v>
      </c>
    </row>
    <row r="241" spans="1:9" ht="15" x14ac:dyDescent="0.25">
      <c r="A241" s="379">
        <v>240</v>
      </c>
      <c r="B241" s="379">
        <v>241</v>
      </c>
      <c r="C241" s="379" t="s">
        <v>1486</v>
      </c>
      <c r="D241" s="379" t="s">
        <v>1487</v>
      </c>
      <c r="E241" s="379" t="s">
        <v>1469</v>
      </c>
      <c r="F241" s="379">
        <v>89</v>
      </c>
      <c r="G241" s="379">
        <v>2</v>
      </c>
      <c r="I241" s="359">
        <f t="shared" si="3"/>
        <v>563</v>
      </c>
    </row>
    <row r="242" spans="1:9" ht="15" x14ac:dyDescent="0.25">
      <c r="A242" s="379">
        <v>241</v>
      </c>
      <c r="B242" s="379">
        <v>242</v>
      </c>
      <c r="C242" s="379" t="s">
        <v>468</v>
      </c>
      <c r="D242" s="379" t="s">
        <v>58</v>
      </c>
      <c r="E242" s="379" t="s">
        <v>1469</v>
      </c>
      <c r="F242" s="379">
        <v>88.912499999999994</v>
      </c>
      <c r="G242" s="379">
        <v>4</v>
      </c>
      <c r="I242" s="359">
        <f t="shared" si="3"/>
        <v>53</v>
      </c>
    </row>
    <row r="243" spans="1:9" ht="15" x14ac:dyDescent="0.25">
      <c r="A243" s="379">
        <v>242</v>
      </c>
      <c r="B243" s="379">
        <v>298</v>
      </c>
      <c r="C243" s="379" t="s">
        <v>1425</v>
      </c>
      <c r="D243" s="379" t="s">
        <v>62</v>
      </c>
      <c r="E243" s="379" t="s">
        <v>1469</v>
      </c>
      <c r="F243" s="379">
        <v>86.8</v>
      </c>
      <c r="G243" s="379">
        <v>2</v>
      </c>
      <c r="I243" s="359">
        <f t="shared" si="3"/>
        <v>497</v>
      </c>
    </row>
    <row r="244" spans="1:9" ht="15" x14ac:dyDescent="0.25">
      <c r="A244" s="379">
        <v>243</v>
      </c>
      <c r="B244" s="379">
        <v>245</v>
      </c>
      <c r="C244" s="379" t="s">
        <v>1522</v>
      </c>
      <c r="D244" s="379" t="s">
        <v>58</v>
      </c>
      <c r="E244" s="379" t="s">
        <v>1470</v>
      </c>
      <c r="F244" s="379">
        <v>85.875</v>
      </c>
      <c r="G244" s="379">
        <v>7</v>
      </c>
      <c r="I244" s="359">
        <f t="shared" si="3"/>
        <v>348</v>
      </c>
    </row>
    <row r="245" spans="1:9" ht="15" x14ac:dyDescent="0.25">
      <c r="A245" s="379">
        <v>244</v>
      </c>
      <c r="B245" s="379" t="s">
        <v>1648</v>
      </c>
      <c r="C245" s="379" t="s">
        <v>1126</v>
      </c>
      <c r="D245" s="379" t="s">
        <v>62</v>
      </c>
      <c r="E245" s="379" t="s">
        <v>1469</v>
      </c>
      <c r="F245" s="379">
        <v>84.8</v>
      </c>
      <c r="G245" s="379">
        <v>2</v>
      </c>
      <c r="I245" s="359">
        <f t="shared" si="3"/>
        <v>884</v>
      </c>
    </row>
    <row r="246" spans="1:9" ht="15" x14ac:dyDescent="0.25">
      <c r="A246" s="379">
        <v>245</v>
      </c>
      <c r="B246" s="379">
        <v>247</v>
      </c>
      <c r="C246" s="379" t="s">
        <v>614</v>
      </c>
      <c r="D246" s="379" t="s">
        <v>59</v>
      </c>
      <c r="E246" s="379" t="s">
        <v>1469</v>
      </c>
      <c r="F246" s="379">
        <v>84.3</v>
      </c>
      <c r="G246" s="379">
        <v>4</v>
      </c>
      <c r="I246" s="359">
        <f t="shared" si="3"/>
        <v>578</v>
      </c>
    </row>
    <row r="247" spans="1:9" ht="15" x14ac:dyDescent="0.25">
      <c r="A247" s="379">
        <v>246</v>
      </c>
      <c r="B247" s="379">
        <v>248</v>
      </c>
      <c r="C247" s="379" t="s">
        <v>1488</v>
      </c>
      <c r="D247" s="379" t="s">
        <v>75</v>
      </c>
      <c r="E247" s="379" t="s">
        <v>1469</v>
      </c>
      <c r="F247" s="379">
        <v>84</v>
      </c>
      <c r="G247" s="379">
        <v>1</v>
      </c>
      <c r="I247" s="359">
        <f t="shared" si="3"/>
        <v>423</v>
      </c>
    </row>
    <row r="248" spans="1:9" ht="15" x14ac:dyDescent="0.25">
      <c r="A248" s="379">
        <v>247</v>
      </c>
      <c r="B248" s="379">
        <v>304</v>
      </c>
      <c r="C248" s="379" t="s">
        <v>1265</v>
      </c>
      <c r="D248" s="379" t="s">
        <v>66</v>
      </c>
      <c r="E248" s="379" t="s">
        <v>1469</v>
      </c>
      <c r="F248" s="379">
        <v>84</v>
      </c>
      <c r="G248" s="379">
        <v>2</v>
      </c>
      <c r="I248" s="359">
        <f t="shared" si="3"/>
        <v>894</v>
      </c>
    </row>
    <row r="249" spans="1:9" ht="15" x14ac:dyDescent="0.25">
      <c r="A249" s="379">
        <v>248</v>
      </c>
      <c r="B249" s="379">
        <v>249</v>
      </c>
      <c r="C249" s="379" t="s">
        <v>415</v>
      </c>
      <c r="D249" s="379" t="s">
        <v>59</v>
      </c>
      <c r="E249" s="379" t="s">
        <v>1469</v>
      </c>
      <c r="F249" s="379">
        <v>81.5</v>
      </c>
      <c r="G249" s="379">
        <v>1</v>
      </c>
      <c r="I249" s="359">
        <f t="shared" si="3"/>
        <v>230</v>
      </c>
    </row>
    <row r="250" spans="1:9" ht="15" x14ac:dyDescent="0.25">
      <c r="A250" s="379">
        <v>249</v>
      </c>
      <c r="B250" s="379">
        <v>250</v>
      </c>
      <c r="C250" s="379" t="s">
        <v>1492</v>
      </c>
      <c r="D250" s="379" t="s">
        <v>59</v>
      </c>
      <c r="E250" s="379" t="s">
        <v>1470</v>
      </c>
      <c r="F250" s="379">
        <v>81</v>
      </c>
      <c r="G250" s="379">
        <v>2</v>
      </c>
      <c r="I250" s="359">
        <f t="shared" si="3"/>
        <v>675</v>
      </c>
    </row>
    <row r="251" spans="1:9" ht="15" x14ac:dyDescent="0.25">
      <c r="A251" s="379" t="s">
        <v>1649</v>
      </c>
      <c r="B251" s="379" t="s">
        <v>51</v>
      </c>
      <c r="C251" s="379" t="s">
        <v>493</v>
      </c>
      <c r="D251" s="379" t="s">
        <v>62</v>
      </c>
      <c r="E251" s="379" t="s">
        <v>1469</v>
      </c>
      <c r="F251" s="379">
        <v>80.5</v>
      </c>
      <c r="G251" s="379">
        <v>1</v>
      </c>
      <c r="I251" s="359">
        <f t="shared" si="3"/>
        <v>682</v>
      </c>
    </row>
    <row r="252" spans="1:9" ht="15" x14ac:dyDescent="0.25">
      <c r="A252" s="379" t="s">
        <v>1649</v>
      </c>
      <c r="B252" s="379" t="s">
        <v>1650</v>
      </c>
      <c r="C252" s="379" t="s">
        <v>625</v>
      </c>
      <c r="D252" s="379" t="s">
        <v>62</v>
      </c>
      <c r="E252" s="379" t="s">
        <v>1469</v>
      </c>
      <c r="F252" s="379">
        <v>80.5</v>
      </c>
      <c r="G252" s="379">
        <v>1</v>
      </c>
      <c r="I252" s="359">
        <f t="shared" si="3"/>
        <v>756</v>
      </c>
    </row>
    <row r="253" spans="1:9" ht="15" x14ac:dyDescent="0.25">
      <c r="A253" s="379">
        <v>252</v>
      </c>
      <c r="B253" s="379">
        <v>251</v>
      </c>
      <c r="C253" s="379" t="s">
        <v>1309</v>
      </c>
      <c r="D253" s="379" t="s">
        <v>61</v>
      </c>
      <c r="E253" s="379" t="s">
        <v>1470</v>
      </c>
      <c r="F253" s="379">
        <v>80.5</v>
      </c>
      <c r="G253" s="379">
        <v>2</v>
      </c>
      <c r="I253" s="359">
        <f t="shared" si="3"/>
        <v>367</v>
      </c>
    </row>
    <row r="254" spans="1:9" ht="15" x14ac:dyDescent="0.25">
      <c r="A254" s="379">
        <v>253</v>
      </c>
      <c r="B254" s="379">
        <v>255</v>
      </c>
      <c r="C254" s="379" t="s">
        <v>1651</v>
      </c>
      <c r="D254" s="379" t="s">
        <v>1652</v>
      </c>
      <c r="E254" s="379" t="s">
        <v>1470</v>
      </c>
      <c r="F254" s="379">
        <v>79.3</v>
      </c>
      <c r="G254" s="379">
        <v>2</v>
      </c>
      <c r="I254" s="359">
        <f t="shared" si="3"/>
        <v>98</v>
      </c>
    </row>
    <row r="255" spans="1:9" ht="15" x14ac:dyDescent="0.25">
      <c r="A255" s="379">
        <v>254</v>
      </c>
      <c r="B255" s="379">
        <v>258</v>
      </c>
      <c r="C255" s="379" t="s">
        <v>1003</v>
      </c>
      <c r="D255" s="379" t="s">
        <v>58</v>
      </c>
      <c r="E255" s="379" t="s">
        <v>1469</v>
      </c>
      <c r="F255" s="379">
        <v>78</v>
      </c>
      <c r="G255" s="379">
        <v>1</v>
      </c>
      <c r="I255" s="359">
        <f t="shared" si="3"/>
        <v>733</v>
      </c>
    </row>
    <row r="256" spans="1:9" ht="15" x14ac:dyDescent="0.25">
      <c r="A256" s="379">
        <v>255</v>
      </c>
      <c r="B256" s="379">
        <v>259</v>
      </c>
      <c r="C256" s="379" t="s">
        <v>501</v>
      </c>
      <c r="D256" s="379" t="s">
        <v>58</v>
      </c>
      <c r="E256" s="379" t="s">
        <v>1469</v>
      </c>
      <c r="F256" s="379">
        <v>77.8125</v>
      </c>
      <c r="G256" s="379">
        <v>3</v>
      </c>
      <c r="I256" s="359">
        <f t="shared" si="3"/>
        <v>777</v>
      </c>
    </row>
    <row r="257" spans="1:9" ht="15" x14ac:dyDescent="0.25">
      <c r="A257" s="379">
        <v>256</v>
      </c>
      <c r="B257" s="379">
        <v>260</v>
      </c>
      <c r="C257" s="379" t="s">
        <v>1264</v>
      </c>
      <c r="D257" s="379" t="s">
        <v>66</v>
      </c>
      <c r="E257" s="379" t="s">
        <v>1469</v>
      </c>
      <c r="F257" s="379">
        <v>77.599999999999994</v>
      </c>
      <c r="G257" s="379">
        <v>3</v>
      </c>
      <c r="I257" s="359">
        <f t="shared" si="3"/>
        <v>691</v>
      </c>
    </row>
    <row r="258" spans="1:9" ht="15" x14ac:dyDescent="0.25">
      <c r="A258" s="379">
        <v>257</v>
      </c>
      <c r="B258" s="379">
        <v>261</v>
      </c>
      <c r="C258" s="379" t="s">
        <v>1495</v>
      </c>
      <c r="D258" s="379" t="s">
        <v>58</v>
      </c>
      <c r="E258" s="379" t="s">
        <v>1469</v>
      </c>
      <c r="F258" s="379">
        <v>77.5</v>
      </c>
      <c r="G258" s="379">
        <v>1</v>
      </c>
      <c r="I258" s="359">
        <f t="shared" si="3"/>
        <v>349</v>
      </c>
    </row>
    <row r="259" spans="1:9" ht="15" x14ac:dyDescent="0.25">
      <c r="A259" s="379">
        <v>258</v>
      </c>
      <c r="B259" s="379">
        <v>262</v>
      </c>
      <c r="C259" s="379" t="s">
        <v>567</v>
      </c>
      <c r="D259" s="379" t="s">
        <v>61</v>
      </c>
      <c r="E259" s="379" t="s">
        <v>1469</v>
      </c>
      <c r="F259" s="379">
        <v>77</v>
      </c>
      <c r="G259" s="379">
        <v>1</v>
      </c>
      <c r="I259" s="359">
        <f t="shared" ref="I259:I322" si="4">SUMPRODUCT((C$2:C$1000 &lt; C259)+(C259="")*1000)</f>
        <v>559</v>
      </c>
    </row>
    <row r="260" spans="1:9" ht="15" x14ac:dyDescent="0.25">
      <c r="A260" s="379">
        <v>259</v>
      </c>
      <c r="B260" s="379">
        <v>263</v>
      </c>
      <c r="C260" s="379" t="s">
        <v>1509</v>
      </c>
      <c r="D260" s="379" t="s">
        <v>58</v>
      </c>
      <c r="E260" s="379" t="s">
        <v>1469</v>
      </c>
      <c r="F260" s="379">
        <v>76.05</v>
      </c>
      <c r="G260" s="379">
        <v>4</v>
      </c>
      <c r="I260" s="359">
        <f t="shared" si="4"/>
        <v>239</v>
      </c>
    </row>
    <row r="261" spans="1:9" ht="15" x14ac:dyDescent="0.25">
      <c r="A261" s="379">
        <v>260</v>
      </c>
      <c r="B261" s="379">
        <v>266</v>
      </c>
      <c r="C261" s="379" t="s">
        <v>520</v>
      </c>
      <c r="D261" s="379" t="s">
        <v>64</v>
      </c>
      <c r="E261" s="379" t="s">
        <v>1469</v>
      </c>
      <c r="F261" s="379">
        <v>74.45</v>
      </c>
      <c r="G261" s="379">
        <v>3</v>
      </c>
      <c r="I261" s="359">
        <f t="shared" si="4"/>
        <v>467</v>
      </c>
    </row>
    <row r="262" spans="1:9" ht="15" x14ac:dyDescent="0.25">
      <c r="A262" s="379">
        <v>261</v>
      </c>
      <c r="B262" s="379">
        <v>349</v>
      </c>
      <c r="C262" s="379" t="s">
        <v>547</v>
      </c>
      <c r="D262" s="379" t="s">
        <v>61</v>
      </c>
      <c r="E262" s="379" t="s">
        <v>1469</v>
      </c>
      <c r="F262" s="379">
        <v>72.75</v>
      </c>
      <c r="G262" s="379">
        <v>2</v>
      </c>
      <c r="I262" s="359">
        <f t="shared" si="4"/>
        <v>931</v>
      </c>
    </row>
    <row r="263" spans="1:9" ht="15" x14ac:dyDescent="0.25">
      <c r="A263" s="379">
        <v>262</v>
      </c>
      <c r="B263" s="379">
        <v>268</v>
      </c>
      <c r="C263" s="379" t="s">
        <v>472</v>
      </c>
      <c r="D263" s="379" t="s">
        <v>61</v>
      </c>
      <c r="E263" s="379" t="s">
        <v>1469</v>
      </c>
      <c r="F263" s="379">
        <v>71.5</v>
      </c>
      <c r="G263" s="379">
        <v>2</v>
      </c>
      <c r="I263" s="359">
        <f t="shared" si="4"/>
        <v>357</v>
      </c>
    </row>
    <row r="264" spans="1:9" ht="15" x14ac:dyDescent="0.25">
      <c r="A264" s="379">
        <v>263</v>
      </c>
      <c r="B264" s="379">
        <v>269</v>
      </c>
      <c r="C264" s="379" t="s">
        <v>604</v>
      </c>
      <c r="D264" s="379" t="s">
        <v>58</v>
      </c>
      <c r="E264" s="379" t="s">
        <v>1470</v>
      </c>
      <c r="F264" s="379">
        <v>71</v>
      </c>
      <c r="G264" s="379">
        <v>3</v>
      </c>
      <c r="I264" s="359">
        <f t="shared" si="4"/>
        <v>352</v>
      </c>
    </row>
    <row r="265" spans="1:9" ht="15" x14ac:dyDescent="0.25">
      <c r="A265" s="379">
        <v>264</v>
      </c>
      <c r="B265" s="379">
        <v>270</v>
      </c>
      <c r="C265" s="379" t="s">
        <v>1498</v>
      </c>
      <c r="D265" s="379" t="s">
        <v>58</v>
      </c>
      <c r="E265" s="379" t="s">
        <v>1469</v>
      </c>
      <c r="F265" s="379">
        <v>70.25</v>
      </c>
      <c r="G265" s="379">
        <v>3</v>
      </c>
      <c r="I265" s="359">
        <f t="shared" si="4"/>
        <v>180</v>
      </c>
    </row>
    <row r="266" spans="1:9" ht="15" x14ac:dyDescent="0.25">
      <c r="A266" s="379">
        <v>265</v>
      </c>
      <c r="B266" s="379">
        <v>271</v>
      </c>
      <c r="C266" s="379" t="s">
        <v>890</v>
      </c>
      <c r="D266" s="379" t="s">
        <v>189</v>
      </c>
      <c r="E266" s="379" t="s">
        <v>1469</v>
      </c>
      <c r="F266" s="379">
        <v>69.650000000000006</v>
      </c>
      <c r="G266" s="379">
        <v>3</v>
      </c>
      <c r="I266" s="359">
        <f t="shared" si="4"/>
        <v>657</v>
      </c>
    </row>
    <row r="267" spans="1:9" ht="15" x14ac:dyDescent="0.25">
      <c r="A267" s="379">
        <v>266</v>
      </c>
      <c r="B267" s="379">
        <v>212</v>
      </c>
      <c r="C267" s="379" t="s">
        <v>644</v>
      </c>
      <c r="D267" s="379" t="s">
        <v>64</v>
      </c>
      <c r="E267" s="379" t="s">
        <v>1469</v>
      </c>
      <c r="F267" s="379">
        <v>68.83</v>
      </c>
      <c r="G267" s="379">
        <v>3</v>
      </c>
      <c r="I267" s="359">
        <f t="shared" si="4"/>
        <v>415</v>
      </c>
    </row>
    <row r="268" spans="1:9" ht="15" x14ac:dyDescent="0.25">
      <c r="A268" s="379">
        <v>267</v>
      </c>
      <c r="B268" s="379">
        <v>272</v>
      </c>
      <c r="C268" s="379" t="s">
        <v>492</v>
      </c>
      <c r="D268" s="379" t="s">
        <v>58</v>
      </c>
      <c r="E268" s="379" t="s">
        <v>1469</v>
      </c>
      <c r="F268" s="379">
        <v>68</v>
      </c>
      <c r="G268" s="379">
        <v>1</v>
      </c>
      <c r="I268" s="359">
        <f t="shared" si="4"/>
        <v>326</v>
      </c>
    </row>
    <row r="269" spans="1:9" ht="15" x14ac:dyDescent="0.25">
      <c r="A269" s="379" t="s">
        <v>1653</v>
      </c>
      <c r="B269" s="379" t="s">
        <v>1654</v>
      </c>
      <c r="C269" s="379" t="s">
        <v>685</v>
      </c>
      <c r="D269" s="379" t="s">
        <v>59</v>
      </c>
      <c r="E269" s="379" t="s">
        <v>1469</v>
      </c>
      <c r="F269" s="379">
        <v>67.5</v>
      </c>
      <c r="G269" s="379">
        <v>2</v>
      </c>
      <c r="I269" s="359">
        <f t="shared" si="4"/>
        <v>339</v>
      </c>
    </row>
    <row r="270" spans="1:9" ht="15" x14ac:dyDescent="0.25">
      <c r="A270" s="379" t="s">
        <v>1653</v>
      </c>
      <c r="B270" s="379" t="s">
        <v>1654</v>
      </c>
      <c r="C270" s="379" t="s">
        <v>720</v>
      </c>
      <c r="D270" s="379" t="s">
        <v>59</v>
      </c>
      <c r="E270" s="379" t="s">
        <v>1469</v>
      </c>
      <c r="F270" s="379">
        <v>67.5</v>
      </c>
      <c r="G270" s="379">
        <v>2</v>
      </c>
      <c r="I270" s="359">
        <f t="shared" si="4"/>
        <v>157</v>
      </c>
    </row>
    <row r="271" spans="1:9" ht="15" x14ac:dyDescent="0.25">
      <c r="A271" s="379" t="s">
        <v>1655</v>
      </c>
      <c r="B271" s="379">
        <v>355</v>
      </c>
      <c r="C271" s="379" t="s">
        <v>583</v>
      </c>
      <c r="D271" s="379" t="s">
        <v>62</v>
      </c>
      <c r="E271" s="379" t="s">
        <v>1469</v>
      </c>
      <c r="F271" s="379">
        <v>66.8</v>
      </c>
      <c r="G271" s="379">
        <v>2</v>
      </c>
      <c r="I271" s="359">
        <f t="shared" si="4"/>
        <v>496</v>
      </c>
    </row>
    <row r="272" spans="1:9" ht="15" x14ac:dyDescent="0.25">
      <c r="A272" s="379" t="s">
        <v>1655</v>
      </c>
      <c r="B272" s="379" t="s">
        <v>1656</v>
      </c>
      <c r="C272" s="379" t="s">
        <v>621</v>
      </c>
      <c r="D272" s="379" t="s">
        <v>62</v>
      </c>
      <c r="E272" s="379" t="s">
        <v>1469</v>
      </c>
      <c r="F272" s="379">
        <v>66.8</v>
      </c>
      <c r="G272" s="379">
        <v>2</v>
      </c>
      <c r="I272" s="359">
        <f t="shared" si="4"/>
        <v>754</v>
      </c>
    </row>
    <row r="273" spans="1:9" ht="15" x14ac:dyDescent="0.25">
      <c r="A273" s="379" t="s">
        <v>1655</v>
      </c>
      <c r="B273" s="379" t="s">
        <v>1656</v>
      </c>
      <c r="C273" s="379" t="s">
        <v>1244</v>
      </c>
      <c r="D273" s="379" t="s">
        <v>62</v>
      </c>
      <c r="E273" s="379" t="s">
        <v>1469</v>
      </c>
      <c r="F273" s="379">
        <v>66.8</v>
      </c>
      <c r="G273" s="379">
        <v>2</v>
      </c>
      <c r="I273" s="359">
        <f t="shared" si="4"/>
        <v>82</v>
      </c>
    </row>
    <row r="274" spans="1:9" ht="15" x14ac:dyDescent="0.25">
      <c r="A274" s="379">
        <v>273</v>
      </c>
      <c r="B274" s="379">
        <v>275</v>
      </c>
      <c r="C274" s="379" t="s">
        <v>454</v>
      </c>
      <c r="D274" s="379" t="s">
        <v>58</v>
      </c>
      <c r="E274" s="379" t="s">
        <v>1470</v>
      </c>
      <c r="F274" s="379">
        <v>66.5</v>
      </c>
      <c r="G274" s="379">
        <v>3</v>
      </c>
      <c r="I274" s="359">
        <f t="shared" si="4"/>
        <v>272</v>
      </c>
    </row>
    <row r="275" spans="1:9" ht="15" x14ac:dyDescent="0.25">
      <c r="A275" s="379">
        <v>274</v>
      </c>
      <c r="B275" s="379">
        <v>254</v>
      </c>
      <c r="C275" s="379" t="s">
        <v>707</v>
      </c>
      <c r="D275" s="379" t="s">
        <v>59</v>
      </c>
      <c r="E275" s="379" t="s">
        <v>1469</v>
      </c>
      <c r="F275" s="379">
        <v>65.8</v>
      </c>
      <c r="G275" s="379">
        <v>3</v>
      </c>
      <c r="I275" s="359">
        <f t="shared" si="4"/>
        <v>834</v>
      </c>
    </row>
    <row r="276" spans="1:9" ht="15" x14ac:dyDescent="0.25">
      <c r="A276" s="379">
        <v>275</v>
      </c>
      <c r="B276" s="379">
        <v>279</v>
      </c>
      <c r="C276" s="379" t="s">
        <v>1277</v>
      </c>
      <c r="D276" s="379" t="s">
        <v>61</v>
      </c>
      <c r="E276" s="379" t="s">
        <v>1469</v>
      </c>
      <c r="F276" s="379">
        <v>65.25</v>
      </c>
      <c r="G276" s="379">
        <v>3</v>
      </c>
      <c r="I276" s="359">
        <f t="shared" si="4"/>
        <v>209</v>
      </c>
    </row>
    <row r="277" spans="1:9" ht="15" x14ac:dyDescent="0.25">
      <c r="A277" s="379">
        <v>276</v>
      </c>
      <c r="B277" s="379">
        <v>280</v>
      </c>
      <c r="C277" s="379" t="s">
        <v>1501</v>
      </c>
      <c r="D277" s="379" t="s">
        <v>1487</v>
      </c>
      <c r="E277" s="379" t="s">
        <v>1469</v>
      </c>
      <c r="F277" s="379">
        <v>65</v>
      </c>
      <c r="G277" s="379">
        <v>1</v>
      </c>
      <c r="I277" s="359">
        <f t="shared" si="4"/>
        <v>548</v>
      </c>
    </row>
    <row r="278" spans="1:9" ht="15" x14ac:dyDescent="0.25">
      <c r="A278" s="379">
        <v>277</v>
      </c>
      <c r="B278" s="379">
        <v>281</v>
      </c>
      <c r="C278" s="379" t="s">
        <v>1502</v>
      </c>
      <c r="D278" s="379" t="s">
        <v>75</v>
      </c>
      <c r="E278" s="379" t="s">
        <v>1469</v>
      </c>
      <c r="F278" s="379">
        <v>65</v>
      </c>
      <c r="G278" s="379">
        <v>2</v>
      </c>
      <c r="I278" s="359">
        <f t="shared" si="4"/>
        <v>252</v>
      </c>
    </row>
    <row r="279" spans="1:9" ht="15" x14ac:dyDescent="0.25">
      <c r="A279" s="379">
        <v>278</v>
      </c>
      <c r="B279" s="379">
        <v>284</v>
      </c>
      <c r="C279" s="379" t="s">
        <v>458</v>
      </c>
      <c r="D279" s="379" t="s">
        <v>59</v>
      </c>
      <c r="E279" s="379" t="s">
        <v>1469</v>
      </c>
      <c r="F279" s="379">
        <v>63.5</v>
      </c>
      <c r="G279" s="379">
        <v>1</v>
      </c>
      <c r="I279" s="359">
        <f t="shared" si="4"/>
        <v>501</v>
      </c>
    </row>
    <row r="280" spans="1:9" ht="15" x14ac:dyDescent="0.25">
      <c r="A280" s="379">
        <v>279</v>
      </c>
      <c r="B280" s="379">
        <v>285</v>
      </c>
      <c r="C280" s="379" t="s">
        <v>558</v>
      </c>
      <c r="D280" s="379" t="s">
        <v>75</v>
      </c>
      <c r="E280" s="379" t="s">
        <v>1469</v>
      </c>
      <c r="F280" s="379">
        <v>62</v>
      </c>
      <c r="G280" s="379">
        <v>2</v>
      </c>
      <c r="I280" s="359">
        <f t="shared" si="4"/>
        <v>547</v>
      </c>
    </row>
    <row r="281" spans="1:9" ht="15" x14ac:dyDescent="0.25">
      <c r="A281" s="379">
        <v>280</v>
      </c>
      <c r="B281" s="379">
        <v>286</v>
      </c>
      <c r="C281" s="379" t="s">
        <v>670</v>
      </c>
      <c r="D281" s="379" t="s">
        <v>73</v>
      </c>
      <c r="E281" s="379" t="s">
        <v>1469</v>
      </c>
      <c r="F281" s="379">
        <v>61.5</v>
      </c>
      <c r="G281" s="379">
        <v>3</v>
      </c>
      <c r="I281" s="359">
        <f t="shared" si="4"/>
        <v>30</v>
      </c>
    </row>
    <row r="282" spans="1:9" ht="15" x14ac:dyDescent="0.25">
      <c r="A282" s="379">
        <v>281</v>
      </c>
      <c r="B282" s="379">
        <v>288</v>
      </c>
      <c r="C282" s="379" t="s">
        <v>459</v>
      </c>
      <c r="D282" s="379" t="s">
        <v>58</v>
      </c>
      <c r="E282" s="379" t="s">
        <v>1469</v>
      </c>
      <c r="F282" s="379">
        <v>60.33</v>
      </c>
      <c r="G282" s="379">
        <v>3</v>
      </c>
      <c r="I282" s="359">
        <f t="shared" si="4"/>
        <v>219</v>
      </c>
    </row>
    <row r="283" spans="1:9" ht="15" x14ac:dyDescent="0.25">
      <c r="A283" s="379">
        <v>282</v>
      </c>
      <c r="B283" s="379">
        <v>289</v>
      </c>
      <c r="C283" s="379" t="s">
        <v>1504</v>
      </c>
      <c r="D283" s="379" t="s">
        <v>1505</v>
      </c>
      <c r="E283" s="379" t="s">
        <v>1469</v>
      </c>
      <c r="F283" s="379">
        <v>60</v>
      </c>
      <c r="G283" s="379">
        <v>2</v>
      </c>
      <c r="I283" s="359">
        <f t="shared" si="4"/>
        <v>565</v>
      </c>
    </row>
    <row r="284" spans="1:9" ht="15" x14ac:dyDescent="0.25">
      <c r="A284" s="379">
        <v>283</v>
      </c>
      <c r="B284" s="379">
        <v>290</v>
      </c>
      <c r="C284" s="379" t="s">
        <v>1506</v>
      </c>
      <c r="D284" s="379" t="s">
        <v>1380</v>
      </c>
      <c r="E284" s="379" t="s">
        <v>1469</v>
      </c>
      <c r="F284" s="379">
        <v>59.5</v>
      </c>
      <c r="G284" s="379">
        <v>1</v>
      </c>
      <c r="I284" s="359">
        <f t="shared" si="4"/>
        <v>730</v>
      </c>
    </row>
    <row r="285" spans="1:9" ht="15" x14ac:dyDescent="0.25">
      <c r="A285" s="379">
        <v>284</v>
      </c>
      <c r="B285" s="379">
        <v>291</v>
      </c>
      <c r="C285" s="379" t="s">
        <v>631</v>
      </c>
      <c r="D285" s="379" t="s">
        <v>59</v>
      </c>
      <c r="E285" s="379" t="s">
        <v>1469</v>
      </c>
      <c r="F285" s="379">
        <v>59.5</v>
      </c>
      <c r="G285" s="379">
        <v>2</v>
      </c>
      <c r="I285" s="359">
        <f t="shared" si="4"/>
        <v>124</v>
      </c>
    </row>
    <row r="286" spans="1:9" ht="15" x14ac:dyDescent="0.25">
      <c r="A286" s="379">
        <v>285</v>
      </c>
      <c r="B286" s="379">
        <v>294</v>
      </c>
      <c r="C286" s="379" t="s">
        <v>909</v>
      </c>
      <c r="D286" s="379" t="s">
        <v>59</v>
      </c>
      <c r="E286" s="379" t="s">
        <v>1469</v>
      </c>
      <c r="F286" s="379">
        <v>58.5</v>
      </c>
      <c r="G286" s="379">
        <v>1</v>
      </c>
      <c r="I286" s="359">
        <f t="shared" si="4"/>
        <v>283</v>
      </c>
    </row>
    <row r="287" spans="1:9" ht="15" x14ac:dyDescent="0.25">
      <c r="A287" s="379">
        <v>286</v>
      </c>
      <c r="B287" s="379" t="s">
        <v>1657</v>
      </c>
      <c r="C287" s="379" t="s">
        <v>1533</v>
      </c>
      <c r="D287" s="379" t="s">
        <v>59</v>
      </c>
      <c r="E287" s="379" t="s">
        <v>1469</v>
      </c>
      <c r="F287" s="379">
        <v>58</v>
      </c>
      <c r="G287" s="379">
        <v>2</v>
      </c>
      <c r="I287" s="359">
        <f t="shared" si="4"/>
        <v>192</v>
      </c>
    </row>
    <row r="288" spans="1:9" ht="15" x14ac:dyDescent="0.25">
      <c r="A288" s="379">
        <v>287</v>
      </c>
      <c r="B288" s="379">
        <v>297</v>
      </c>
      <c r="C288" s="379" t="s">
        <v>695</v>
      </c>
      <c r="D288" s="379" t="s">
        <v>59</v>
      </c>
      <c r="E288" s="379" t="s">
        <v>1469</v>
      </c>
      <c r="F288" s="379">
        <v>57</v>
      </c>
      <c r="G288" s="379">
        <v>1</v>
      </c>
      <c r="I288" s="359">
        <f t="shared" si="4"/>
        <v>65</v>
      </c>
    </row>
    <row r="289" spans="1:9" ht="15" x14ac:dyDescent="0.25">
      <c r="A289" s="379">
        <v>288</v>
      </c>
      <c r="B289" s="379">
        <v>299</v>
      </c>
      <c r="C289" s="379" t="s">
        <v>1289</v>
      </c>
      <c r="D289" s="379" t="s">
        <v>58</v>
      </c>
      <c r="E289" s="379" t="s">
        <v>1469</v>
      </c>
      <c r="F289" s="379">
        <v>56.3</v>
      </c>
      <c r="G289" s="379">
        <v>3</v>
      </c>
      <c r="I289" s="359">
        <f t="shared" si="4"/>
        <v>210</v>
      </c>
    </row>
    <row r="290" spans="1:9" ht="15" x14ac:dyDescent="0.25">
      <c r="A290" s="379" t="s">
        <v>1658</v>
      </c>
      <c r="B290" s="379" t="s">
        <v>1659</v>
      </c>
      <c r="C290" s="379" t="s">
        <v>1238</v>
      </c>
      <c r="D290" s="379" t="s">
        <v>62</v>
      </c>
      <c r="E290" s="379" t="s">
        <v>1469</v>
      </c>
      <c r="F290" s="379">
        <v>56</v>
      </c>
      <c r="G290" s="379">
        <v>1</v>
      </c>
      <c r="I290" s="359">
        <f t="shared" si="4"/>
        <v>334</v>
      </c>
    </row>
    <row r="291" spans="1:9" ht="15" x14ac:dyDescent="0.25">
      <c r="A291" s="379" t="s">
        <v>1658</v>
      </c>
      <c r="B291" s="379" t="s">
        <v>1650</v>
      </c>
      <c r="C291" s="379" t="s">
        <v>708</v>
      </c>
      <c r="D291" s="379" t="s">
        <v>66</v>
      </c>
      <c r="E291" s="379" t="s">
        <v>1469</v>
      </c>
      <c r="F291" s="379">
        <v>56</v>
      </c>
      <c r="G291" s="379">
        <v>1</v>
      </c>
      <c r="I291" s="359">
        <f t="shared" si="4"/>
        <v>437</v>
      </c>
    </row>
    <row r="292" spans="1:9" ht="15" x14ac:dyDescent="0.25">
      <c r="A292" s="379">
        <v>291</v>
      </c>
      <c r="B292" s="379">
        <v>206</v>
      </c>
      <c r="C292" s="379" t="s">
        <v>557</v>
      </c>
      <c r="D292" s="379" t="s">
        <v>62</v>
      </c>
      <c r="E292" s="379" t="s">
        <v>1469</v>
      </c>
      <c r="F292" s="379">
        <v>55.5</v>
      </c>
      <c r="G292" s="379">
        <v>1</v>
      </c>
      <c r="I292" s="359">
        <f t="shared" si="4"/>
        <v>945</v>
      </c>
    </row>
    <row r="293" spans="1:9" ht="15" x14ac:dyDescent="0.25">
      <c r="A293" s="379">
        <v>292</v>
      </c>
      <c r="B293" s="379">
        <v>302</v>
      </c>
      <c r="C293" s="379" t="s">
        <v>1508</v>
      </c>
      <c r="D293" s="379" t="s">
        <v>1505</v>
      </c>
      <c r="E293" s="379" t="s">
        <v>1469</v>
      </c>
      <c r="F293" s="379">
        <v>55</v>
      </c>
      <c r="G293" s="379">
        <v>1</v>
      </c>
      <c r="I293" s="359">
        <f t="shared" si="4"/>
        <v>201</v>
      </c>
    </row>
    <row r="294" spans="1:9" ht="15" x14ac:dyDescent="0.25">
      <c r="A294" s="379">
        <v>293</v>
      </c>
      <c r="B294" s="379">
        <v>278</v>
      </c>
      <c r="C294" s="379" t="s">
        <v>711</v>
      </c>
      <c r="D294" s="379" t="s">
        <v>59</v>
      </c>
      <c r="E294" s="379" t="s">
        <v>1469</v>
      </c>
      <c r="F294" s="379">
        <v>54</v>
      </c>
      <c r="G294" s="379">
        <v>3</v>
      </c>
      <c r="I294" s="359">
        <f t="shared" si="4"/>
        <v>452</v>
      </c>
    </row>
    <row r="295" spans="1:9" ht="15" x14ac:dyDescent="0.25">
      <c r="A295" s="379">
        <v>294</v>
      </c>
      <c r="B295" s="379">
        <v>305</v>
      </c>
      <c r="C295" s="379" t="s">
        <v>657</v>
      </c>
      <c r="D295" s="379" t="s">
        <v>58</v>
      </c>
      <c r="E295" s="379" t="s">
        <v>1469</v>
      </c>
      <c r="F295" s="379">
        <v>53.5</v>
      </c>
      <c r="G295" s="379">
        <v>2</v>
      </c>
      <c r="I295" s="359">
        <f t="shared" si="4"/>
        <v>55</v>
      </c>
    </row>
    <row r="296" spans="1:9" ht="15" x14ac:dyDescent="0.25">
      <c r="A296" s="379">
        <v>295</v>
      </c>
      <c r="B296" s="379">
        <v>306</v>
      </c>
      <c r="C296" s="379" t="s">
        <v>1510</v>
      </c>
      <c r="D296" s="379" t="s">
        <v>1477</v>
      </c>
      <c r="E296" s="379" t="s">
        <v>1469</v>
      </c>
      <c r="F296" s="379">
        <v>53</v>
      </c>
      <c r="G296" s="379">
        <v>1</v>
      </c>
      <c r="I296" s="359">
        <f t="shared" si="4"/>
        <v>269</v>
      </c>
    </row>
    <row r="297" spans="1:9" ht="15" x14ac:dyDescent="0.25">
      <c r="A297" s="379">
        <v>296</v>
      </c>
      <c r="B297" s="379">
        <v>267</v>
      </c>
      <c r="C297" s="379" t="s">
        <v>542</v>
      </c>
      <c r="D297" s="379" t="s">
        <v>59</v>
      </c>
      <c r="E297" s="379" t="s">
        <v>1469</v>
      </c>
      <c r="F297" s="379">
        <v>53</v>
      </c>
      <c r="G297" s="379">
        <v>2</v>
      </c>
      <c r="I297" s="359">
        <f t="shared" si="4"/>
        <v>226</v>
      </c>
    </row>
    <row r="298" spans="1:9" ht="15" x14ac:dyDescent="0.25">
      <c r="A298" s="379">
        <v>297</v>
      </c>
      <c r="B298" s="379" t="s">
        <v>1512</v>
      </c>
      <c r="C298" s="379" t="s">
        <v>1291</v>
      </c>
      <c r="D298" s="379" t="s">
        <v>61</v>
      </c>
      <c r="E298" s="379" t="s">
        <v>1469</v>
      </c>
      <c r="F298" s="379">
        <v>52.75</v>
      </c>
      <c r="G298" s="379">
        <v>2</v>
      </c>
      <c r="I298" s="359">
        <f t="shared" si="4"/>
        <v>5</v>
      </c>
    </row>
    <row r="299" spans="1:9" ht="15" x14ac:dyDescent="0.25">
      <c r="A299" s="379" t="s">
        <v>1660</v>
      </c>
      <c r="B299" s="379">
        <v>309</v>
      </c>
      <c r="C299" s="379" t="s">
        <v>1511</v>
      </c>
      <c r="D299" s="379" t="s">
        <v>1487</v>
      </c>
      <c r="E299" s="379" t="s">
        <v>1469</v>
      </c>
      <c r="F299" s="379">
        <v>52</v>
      </c>
      <c r="G299" s="379">
        <v>1</v>
      </c>
      <c r="I299" s="359">
        <f t="shared" si="4"/>
        <v>527</v>
      </c>
    </row>
    <row r="300" spans="1:9" ht="15" x14ac:dyDescent="0.25">
      <c r="A300" s="379" t="s">
        <v>1660</v>
      </c>
      <c r="B300" s="379">
        <v>238</v>
      </c>
      <c r="C300" s="379" t="s">
        <v>628</v>
      </c>
      <c r="D300" s="379" t="s">
        <v>69</v>
      </c>
      <c r="E300" s="379" t="s">
        <v>1469</v>
      </c>
      <c r="F300" s="379">
        <v>52</v>
      </c>
      <c r="G300" s="379">
        <v>1</v>
      </c>
      <c r="I300" s="359">
        <f t="shared" si="4"/>
        <v>383</v>
      </c>
    </row>
    <row r="301" spans="1:9" ht="15" x14ac:dyDescent="0.25">
      <c r="A301" s="379" t="s">
        <v>1650</v>
      </c>
      <c r="B301" s="379" t="s">
        <v>1515</v>
      </c>
      <c r="C301" s="379" t="s">
        <v>506</v>
      </c>
      <c r="D301" s="379" t="s">
        <v>58</v>
      </c>
      <c r="E301" s="379" t="s">
        <v>1469</v>
      </c>
      <c r="F301" s="379">
        <v>51</v>
      </c>
      <c r="G301" s="379">
        <v>1</v>
      </c>
      <c r="I301" s="359">
        <f t="shared" si="4"/>
        <v>294</v>
      </c>
    </row>
    <row r="302" spans="1:9" ht="15" x14ac:dyDescent="0.25">
      <c r="A302" s="379" t="s">
        <v>1650</v>
      </c>
      <c r="B302" s="379" t="s">
        <v>1515</v>
      </c>
      <c r="C302" s="379" t="s">
        <v>1513</v>
      </c>
      <c r="D302" s="379" t="s">
        <v>1514</v>
      </c>
      <c r="E302" s="379" t="s">
        <v>1469</v>
      </c>
      <c r="F302" s="379">
        <v>51</v>
      </c>
      <c r="G302" s="379">
        <v>1</v>
      </c>
      <c r="I302" s="359">
        <f t="shared" si="4"/>
        <v>430</v>
      </c>
    </row>
    <row r="303" spans="1:9" ht="15" x14ac:dyDescent="0.25">
      <c r="A303" s="379">
        <v>302</v>
      </c>
      <c r="B303" s="379">
        <v>220</v>
      </c>
      <c r="C303" s="379" t="s">
        <v>600</v>
      </c>
      <c r="D303" s="379" t="s">
        <v>59</v>
      </c>
      <c r="E303" s="379" t="s">
        <v>1469</v>
      </c>
      <c r="F303" s="379">
        <v>50.7</v>
      </c>
      <c r="G303" s="379">
        <v>2</v>
      </c>
      <c r="I303" s="359">
        <f t="shared" si="4"/>
        <v>849</v>
      </c>
    </row>
    <row r="304" spans="1:9" ht="15" x14ac:dyDescent="0.25">
      <c r="A304" s="379" t="s">
        <v>1661</v>
      </c>
      <c r="B304" s="379" t="s">
        <v>1662</v>
      </c>
      <c r="C304" s="379" t="s">
        <v>1551</v>
      </c>
      <c r="D304" s="379" t="s">
        <v>59</v>
      </c>
      <c r="E304" s="379" t="s">
        <v>1469</v>
      </c>
      <c r="F304" s="379">
        <v>50.5</v>
      </c>
      <c r="G304" s="379">
        <v>2</v>
      </c>
      <c r="I304" s="359">
        <f t="shared" si="4"/>
        <v>484</v>
      </c>
    </row>
    <row r="305" spans="1:9" ht="15" x14ac:dyDescent="0.25">
      <c r="A305" s="379" t="s">
        <v>1661</v>
      </c>
      <c r="B305" s="379" t="s">
        <v>1662</v>
      </c>
      <c r="C305" s="379" t="s">
        <v>624</v>
      </c>
      <c r="D305" s="379" t="s">
        <v>59</v>
      </c>
      <c r="E305" s="379" t="s">
        <v>1469</v>
      </c>
      <c r="F305" s="379">
        <v>50.5</v>
      </c>
      <c r="G305" s="379">
        <v>2</v>
      </c>
      <c r="I305" s="359">
        <f t="shared" si="4"/>
        <v>388</v>
      </c>
    </row>
    <row r="306" spans="1:9" ht="15" x14ac:dyDescent="0.25">
      <c r="A306" s="379" t="s">
        <v>1663</v>
      </c>
      <c r="B306" s="379" t="s">
        <v>1517</v>
      </c>
      <c r="C306" s="379" t="s">
        <v>559</v>
      </c>
      <c r="D306" s="379" t="s">
        <v>59</v>
      </c>
      <c r="E306" s="379" t="s">
        <v>1469</v>
      </c>
      <c r="F306" s="379">
        <v>50</v>
      </c>
      <c r="G306" s="379">
        <v>1</v>
      </c>
      <c r="I306" s="359">
        <f t="shared" si="4"/>
        <v>139</v>
      </c>
    </row>
    <row r="307" spans="1:9" ht="15" x14ac:dyDescent="0.25">
      <c r="A307" s="379" t="s">
        <v>1663</v>
      </c>
      <c r="B307" s="379">
        <v>264</v>
      </c>
      <c r="C307" s="379" t="s">
        <v>1496</v>
      </c>
      <c r="D307" s="379" t="s">
        <v>59</v>
      </c>
      <c r="E307" s="379" t="s">
        <v>1469</v>
      </c>
      <c r="F307" s="379">
        <v>50</v>
      </c>
      <c r="G307" s="379">
        <v>1</v>
      </c>
      <c r="I307" s="359">
        <f t="shared" si="4"/>
        <v>417</v>
      </c>
    </row>
    <row r="308" spans="1:9" ht="15" x14ac:dyDescent="0.25">
      <c r="A308" s="379" t="s">
        <v>1663</v>
      </c>
      <c r="B308" s="379" t="s">
        <v>1517</v>
      </c>
      <c r="C308" s="379" t="s">
        <v>474</v>
      </c>
      <c r="D308" s="379" t="s">
        <v>69</v>
      </c>
      <c r="E308" s="379" t="s">
        <v>1469</v>
      </c>
      <c r="F308" s="379">
        <v>50</v>
      </c>
      <c r="G308" s="379">
        <v>1</v>
      </c>
      <c r="I308" s="359">
        <f t="shared" si="4"/>
        <v>540</v>
      </c>
    </row>
    <row r="309" spans="1:9" ht="15" x14ac:dyDescent="0.25">
      <c r="A309" s="379" t="s">
        <v>1663</v>
      </c>
      <c r="B309" s="379" t="s">
        <v>1517</v>
      </c>
      <c r="C309" s="379" t="s">
        <v>1415</v>
      </c>
      <c r="D309" s="379" t="s">
        <v>69</v>
      </c>
      <c r="E309" s="379" t="s">
        <v>1469</v>
      </c>
      <c r="F309" s="379">
        <v>50</v>
      </c>
      <c r="G309" s="379">
        <v>1</v>
      </c>
      <c r="I309" s="359">
        <f t="shared" si="4"/>
        <v>979</v>
      </c>
    </row>
    <row r="310" spans="1:9" ht="15" x14ac:dyDescent="0.25">
      <c r="A310" s="379" t="s">
        <v>1663</v>
      </c>
      <c r="B310" s="379" t="s">
        <v>1517</v>
      </c>
      <c r="C310" s="379" t="s">
        <v>539</v>
      </c>
      <c r="D310" s="379" t="s">
        <v>59</v>
      </c>
      <c r="E310" s="379" t="s">
        <v>1469</v>
      </c>
      <c r="F310" s="379">
        <v>50</v>
      </c>
      <c r="G310" s="379">
        <v>1</v>
      </c>
      <c r="I310" s="359">
        <f t="shared" si="4"/>
        <v>476</v>
      </c>
    </row>
    <row r="311" spans="1:9" ht="15" x14ac:dyDescent="0.25">
      <c r="A311" s="379" t="s">
        <v>1663</v>
      </c>
      <c r="B311" s="379" t="s">
        <v>1517</v>
      </c>
      <c r="C311" s="379" t="s">
        <v>662</v>
      </c>
      <c r="D311" s="379" t="s">
        <v>69</v>
      </c>
      <c r="E311" s="379" t="s">
        <v>1469</v>
      </c>
      <c r="F311" s="379">
        <v>50</v>
      </c>
      <c r="G311" s="379">
        <v>1</v>
      </c>
      <c r="I311" s="359">
        <f t="shared" si="4"/>
        <v>384</v>
      </c>
    </row>
    <row r="312" spans="1:9" ht="15" x14ac:dyDescent="0.25">
      <c r="A312" s="379">
        <v>311</v>
      </c>
      <c r="B312" s="379">
        <v>357</v>
      </c>
      <c r="C312" s="379" t="s">
        <v>1575</v>
      </c>
      <c r="D312" s="379" t="s">
        <v>1537</v>
      </c>
      <c r="E312" s="379" t="s">
        <v>1470</v>
      </c>
      <c r="F312" s="379">
        <v>49.15</v>
      </c>
      <c r="G312" s="379">
        <v>8</v>
      </c>
      <c r="I312" s="359">
        <f t="shared" si="4"/>
        <v>271</v>
      </c>
    </row>
    <row r="313" spans="1:9" ht="15" x14ac:dyDescent="0.25">
      <c r="A313" s="379" t="s">
        <v>1664</v>
      </c>
      <c r="B313" s="379" t="s">
        <v>1647</v>
      </c>
      <c r="C313" s="379" t="s">
        <v>1665</v>
      </c>
      <c r="D313" s="379" t="s">
        <v>1514</v>
      </c>
      <c r="E313" s="379" t="s">
        <v>1469</v>
      </c>
      <c r="F313" s="379">
        <v>48.75</v>
      </c>
      <c r="G313" s="379">
        <v>1</v>
      </c>
      <c r="I313" s="359">
        <f t="shared" si="4"/>
        <v>436</v>
      </c>
    </row>
    <row r="314" spans="1:9" ht="15" x14ac:dyDescent="0.25">
      <c r="A314" s="379" t="s">
        <v>1664</v>
      </c>
      <c r="B314" s="379" t="s">
        <v>1647</v>
      </c>
      <c r="C314" s="379" t="s">
        <v>1666</v>
      </c>
      <c r="D314" s="379" t="s">
        <v>1514</v>
      </c>
      <c r="E314" s="379" t="s">
        <v>1469</v>
      </c>
      <c r="F314" s="379">
        <v>48.75</v>
      </c>
      <c r="G314" s="379">
        <v>1</v>
      </c>
      <c r="I314" s="359">
        <f t="shared" si="4"/>
        <v>313</v>
      </c>
    </row>
    <row r="315" spans="1:9" ht="15" x14ac:dyDescent="0.25">
      <c r="A315" s="379">
        <v>314</v>
      </c>
      <c r="B315" s="379">
        <v>323</v>
      </c>
      <c r="C315" s="379" t="s">
        <v>1516</v>
      </c>
      <c r="D315" s="379" t="s">
        <v>65</v>
      </c>
      <c r="E315" s="379" t="s">
        <v>1469</v>
      </c>
      <c r="F315" s="379">
        <v>48</v>
      </c>
      <c r="G315" s="379">
        <v>1</v>
      </c>
      <c r="I315" s="359">
        <f t="shared" si="4"/>
        <v>674</v>
      </c>
    </row>
    <row r="316" spans="1:9" ht="15" x14ac:dyDescent="0.25">
      <c r="A316" s="379" t="s">
        <v>1517</v>
      </c>
      <c r="B316" s="379" t="s">
        <v>1421</v>
      </c>
      <c r="C316" s="379" t="s">
        <v>1518</v>
      </c>
      <c r="D316" s="379" t="s">
        <v>58</v>
      </c>
      <c r="E316" s="379" t="s">
        <v>1469</v>
      </c>
      <c r="F316" s="379">
        <v>47</v>
      </c>
      <c r="G316" s="379">
        <v>1</v>
      </c>
      <c r="I316" s="359">
        <f t="shared" si="4"/>
        <v>659</v>
      </c>
    </row>
    <row r="317" spans="1:9" ht="15" x14ac:dyDescent="0.25">
      <c r="A317" s="379" t="s">
        <v>1517</v>
      </c>
      <c r="B317" s="379" t="s">
        <v>1421</v>
      </c>
      <c r="C317" s="379" t="s">
        <v>1519</v>
      </c>
      <c r="D317" s="379" t="s">
        <v>1520</v>
      </c>
      <c r="E317" s="379" t="s">
        <v>1469</v>
      </c>
      <c r="F317" s="379">
        <v>47</v>
      </c>
      <c r="G317" s="379">
        <v>1</v>
      </c>
      <c r="I317" s="359">
        <f t="shared" si="4"/>
        <v>333</v>
      </c>
    </row>
    <row r="318" spans="1:9" ht="15" x14ac:dyDescent="0.25">
      <c r="A318" s="379">
        <v>317</v>
      </c>
      <c r="B318" s="379">
        <v>327</v>
      </c>
      <c r="C318" s="379" t="s">
        <v>648</v>
      </c>
      <c r="D318" s="379" t="s">
        <v>59</v>
      </c>
      <c r="E318" s="379" t="s">
        <v>1469</v>
      </c>
      <c r="F318" s="379">
        <v>46.5</v>
      </c>
      <c r="G318" s="379">
        <v>1</v>
      </c>
      <c r="I318" s="359">
        <f t="shared" si="4"/>
        <v>922</v>
      </c>
    </row>
    <row r="319" spans="1:9" ht="15" x14ac:dyDescent="0.25">
      <c r="A319" s="379">
        <v>318</v>
      </c>
      <c r="B319" s="379">
        <v>328</v>
      </c>
      <c r="C319" s="379" t="s">
        <v>1053</v>
      </c>
      <c r="D319" s="379" t="s">
        <v>58</v>
      </c>
      <c r="E319" s="379" t="s">
        <v>1469</v>
      </c>
      <c r="F319" s="379">
        <v>46</v>
      </c>
      <c r="G319" s="379">
        <v>1</v>
      </c>
      <c r="I319" s="359">
        <f t="shared" si="4"/>
        <v>141</v>
      </c>
    </row>
    <row r="320" spans="1:9" ht="15" x14ac:dyDescent="0.25">
      <c r="A320" s="379" t="s">
        <v>1667</v>
      </c>
      <c r="B320" s="379" t="s">
        <v>1668</v>
      </c>
      <c r="C320" s="379" t="s">
        <v>596</v>
      </c>
      <c r="D320" s="379" t="s">
        <v>69</v>
      </c>
      <c r="E320" s="379" t="s">
        <v>1469</v>
      </c>
      <c r="F320" s="379">
        <v>45.5</v>
      </c>
      <c r="G320" s="379">
        <v>1</v>
      </c>
      <c r="I320" s="359">
        <f t="shared" si="4"/>
        <v>189</v>
      </c>
    </row>
    <row r="321" spans="1:9" ht="15" x14ac:dyDescent="0.25">
      <c r="A321" s="379" t="s">
        <v>1667</v>
      </c>
      <c r="B321" s="379" t="s">
        <v>1297</v>
      </c>
      <c r="C321" s="379" t="s">
        <v>589</v>
      </c>
      <c r="D321" s="379" t="s">
        <v>61</v>
      </c>
      <c r="E321" s="379" t="s">
        <v>1469</v>
      </c>
      <c r="F321" s="379">
        <v>45.5</v>
      </c>
      <c r="G321" s="379">
        <v>1</v>
      </c>
      <c r="I321" s="359">
        <f t="shared" si="4"/>
        <v>204</v>
      </c>
    </row>
    <row r="322" spans="1:9" ht="15" x14ac:dyDescent="0.25">
      <c r="A322" s="379" t="s">
        <v>1667</v>
      </c>
      <c r="B322" s="379" t="s">
        <v>1668</v>
      </c>
      <c r="C322" s="379" t="s">
        <v>579</v>
      </c>
      <c r="D322" s="379" t="s">
        <v>69</v>
      </c>
      <c r="E322" s="379" t="s">
        <v>1469</v>
      </c>
      <c r="F322" s="379">
        <v>45.5</v>
      </c>
      <c r="G322" s="379">
        <v>1</v>
      </c>
      <c r="I322" s="359">
        <f t="shared" si="4"/>
        <v>906</v>
      </c>
    </row>
    <row r="323" spans="1:9" ht="15" x14ac:dyDescent="0.25">
      <c r="A323" s="379" t="s">
        <v>1667</v>
      </c>
      <c r="B323" s="379" t="s">
        <v>1297</v>
      </c>
      <c r="C323" s="379" t="s">
        <v>435</v>
      </c>
      <c r="D323" s="379" t="s">
        <v>61</v>
      </c>
      <c r="E323" s="379" t="s">
        <v>1469</v>
      </c>
      <c r="F323" s="379">
        <v>45.5</v>
      </c>
      <c r="G323" s="379">
        <v>1</v>
      </c>
      <c r="I323" s="359">
        <f t="shared" ref="I323:I386" si="5">SUMPRODUCT((C$2:C$1000 &lt; C323)+(C323="")*1000)</f>
        <v>709</v>
      </c>
    </row>
    <row r="324" spans="1:9" ht="15" x14ac:dyDescent="0.25">
      <c r="A324" s="379" t="s">
        <v>1669</v>
      </c>
      <c r="B324" s="379" t="s">
        <v>1670</v>
      </c>
      <c r="C324" s="379" t="s">
        <v>1521</v>
      </c>
      <c r="D324" s="379" t="s">
        <v>1505</v>
      </c>
      <c r="E324" s="379" t="s">
        <v>1469</v>
      </c>
      <c r="F324" s="379">
        <v>45</v>
      </c>
      <c r="G324" s="379">
        <v>1</v>
      </c>
      <c r="I324" s="359">
        <f t="shared" si="5"/>
        <v>727</v>
      </c>
    </row>
    <row r="325" spans="1:9" ht="15" x14ac:dyDescent="0.25">
      <c r="A325" s="379" t="s">
        <v>1669</v>
      </c>
      <c r="B325" s="379" t="s">
        <v>51</v>
      </c>
      <c r="C325" s="379" t="s">
        <v>672</v>
      </c>
      <c r="D325" s="379" t="s">
        <v>63</v>
      </c>
      <c r="E325" s="379" t="s">
        <v>1469</v>
      </c>
      <c r="F325" s="379">
        <v>45</v>
      </c>
      <c r="G325" s="379">
        <v>1</v>
      </c>
      <c r="I325" s="359">
        <f t="shared" si="5"/>
        <v>957</v>
      </c>
    </row>
    <row r="326" spans="1:9" ht="15" x14ac:dyDescent="0.25">
      <c r="A326" s="379">
        <v>325</v>
      </c>
      <c r="B326" s="379" t="s">
        <v>51</v>
      </c>
      <c r="C326" s="379" t="s">
        <v>1671</v>
      </c>
      <c r="D326" s="379" t="s">
        <v>1583</v>
      </c>
      <c r="E326" s="379" t="s">
        <v>1469</v>
      </c>
      <c r="F326" s="379">
        <v>44</v>
      </c>
      <c r="G326" s="379">
        <v>1</v>
      </c>
      <c r="I326" s="359">
        <f t="shared" si="5"/>
        <v>555</v>
      </c>
    </row>
    <row r="327" spans="1:9" ht="15" x14ac:dyDescent="0.25">
      <c r="A327" s="379">
        <v>326</v>
      </c>
      <c r="B327" s="379">
        <v>335</v>
      </c>
      <c r="C327" s="379" t="s">
        <v>1672</v>
      </c>
      <c r="D327" s="379" t="s">
        <v>1477</v>
      </c>
      <c r="E327" s="379" t="s">
        <v>1469</v>
      </c>
      <c r="F327" s="379">
        <v>43.5</v>
      </c>
      <c r="G327" s="379">
        <v>1</v>
      </c>
      <c r="I327" s="359">
        <f t="shared" si="5"/>
        <v>702</v>
      </c>
    </row>
    <row r="328" spans="1:9" ht="15" x14ac:dyDescent="0.25">
      <c r="A328" s="379">
        <v>327</v>
      </c>
      <c r="B328" s="379">
        <v>336</v>
      </c>
      <c r="C328" s="379" t="s">
        <v>1523</v>
      </c>
      <c r="D328" s="379" t="s">
        <v>75</v>
      </c>
      <c r="E328" s="379" t="s">
        <v>1469</v>
      </c>
      <c r="F328" s="379">
        <v>43</v>
      </c>
      <c r="G328" s="379">
        <v>1</v>
      </c>
      <c r="I328" s="359">
        <f t="shared" si="5"/>
        <v>856</v>
      </c>
    </row>
    <row r="329" spans="1:9" ht="15" x14ac:dyDescent="0.25">
      <c r="A329" s="379">
        <v>328</v>
      </c>
      <c r="B329" s="379" t="s">
        <v>1673</v>
      </c>
      <c r="C329" s="379" t="s">
        <v>1526</v>
      </c>
      <c r="D329" s="379" t="s">
        <v>59</v>
      </c>
      <c r="E329" s="379" t="s">
        <v>1469</v>
      </c>
      <c r="F329" s="379">
        <v>42</v>
      </c>
      <c r="G329" s="379">
        <v>1</v>
      </c>
      <c r="I329" s="359">
        <f t="shared" si="5"/>
        <v>33</v>
      </c>
    </row>
    <row r="330" spans="1:9" ht="15" x14ac:dyDescent="0.25">
      <c r="A330" s="379">
        <v>329</v>
      </c>
      <c r="B330" s="379">
        <v>339</v>
      </c>
      <c r="C330" s="379" t="s">
        <v>1674</v>
      </c>
      <c r="D330" s="379" t="s">
        <v>72</v>
      </c>
      <c r="E330" s="379" t="s">
        <v>1469</v>
      </c>
      <c r="F330" s="379">
        <v>41.5</v>
      </c>
      <c r="G330" s="379">
        <v>1</v>
      </c>
      <c r="I330" s="359">
        <f t="shared" si="5"/>
        <v>355</v>
      </c>
    </row>
    <row r="331" spans="1:9" ht="15" x14ac:dyDescent="0.25">
      <c r="A331" s="379">
        <v>330</v>
      </c>
      <c r="B331" s="379">
        <v>340</v>
      </c>
      <c r="C331" s="379" t="s">
        <v>1213</v>
      </c>
      <c r="D331" s="379" t="s">
        <v>58</v>
      </c>
      <c r="E331" s="379" t="s">
        <v>1469</v>
      </c>
      <c r="F331" s="379">
        <v>41.3</v>
      </c>
      <c r="G331" s="379">
        <v>2</v>
      </c>
      <c r="I331" s="359">
        <f t="shared" si="5"/>
        <v>308</v>
      </c>
    </row>
    <row r="332" spans="1:9" ht="15" x14ac:dyDescent="0.25">
      <c r="A332" s="379">
        <v>331</v>
      </c>
      <c r="B332" s="379">
        <v>341</v>
      </c>
      <c r="C332" s="379" t="s">
        <v>638</v>
      </c>
      <c r="D332" s="379" t="s">
        <v>59</v>
      </c>
      <c r="E332" s="379" t="s">
        <v>1469</v>
      </c>
      <c r="F332" s="379">
        <v>40.4</v>
      </c>
      <c r="G332" s="379">
        <v>1</v>
      </c>
      <c r="I332" s="359">
        <f t="shared" si="5"/>
        <v>9</v>
      </c>
    </row>
    <row r="333" spans="1:9" ht="15" x14ac:dyDescent="0.25">
      <c r="A333" s="379" t="s">
        <v>1527</v>
      </c>
      <c r="B333" s="379" t="s">
        <v>1675</v>
      </c>
      <c r="C333" s="379" t="s">
        <v>1529</v>
      </c>
      <c r="D333" s="379" t="s">
        <v>65</v>
      </c>
      <c r="E333" s="379" t="s">
        <v>1469</v>
      </c>
      <c r="F333" s="379">
        <v>40</v>
      </c>
      <c r="G333" s="379">
        <v>1</v>
      </c>
      <c r="I333" s="359">
        <f t="shared" si="5"/>
        <v>95</v>
      </c>
    </row>
    <row r="334" spans="1:9" ht="15" x14ac:dyDescent="0.25">
      <c r="A334" s="379" t="s">
        <v>1527</v>
      </c>
      <c r="B334" s="379" t="s">
        <v>1675</v>
      </c>
      <c r="C334" s="379" t="s">
        <v>1199</v>
      </c>
      <c r="D334" s="379" t="s">
        <v>69</v>
      </c>
      <c r="E334" s="379" t="s">
        <v>1470</v>
      </c>
      <c r="F334" s="379">
        <v>40</v>
      </c>
      <c r="G334" s="379">
        <v>1</v>
      </c>
      <c r="I334" s="359">
        <f t="shared" si="5"/>
        <v>96</v>
      </c>
    </row>
    <row r="335" spans="1:9" ht="15" x14ac:dyDescent="0.25">
      <c r="A335" s="379" t="s">
        <v>1527</v>
      </c>
      <c r="B335" s="379" t="s">
        <v>1675</v>
      </c>
      <c r="C335" s="379" t="s">
        <v>1530</v>
      </c>
      <c r="D335" s="379" t="s">
        <v>1487</v>
      </c>
      <c r="E335" s="379" t="s">
        <v>1469</v>
      </c>
      <c r="F335" s="379">
        <v>40</v>
      </c>
      <c r="G335" s="379">
        <v>1</v>
      </c>
      <c r="I335" s="359">
        <f t="shared" si="5"/>
        <v>978</v>
      </c>
    </row>
    <row r="336" spans="1:9" ht="15" x14ac:dyDescent="0.25">
      <c r="A336" s="379" t="s">
        <v>1527</v>
      </c>
      <c r="B336" s="379" t="s">
        <v>51</v>
      </c>
      <c r="C336" s="379" t="s">
        <v>673</v>
      </c>
      <c r="D336" s="379" t="s">
        <v>70</v>
      </c>
      <c r="E336" s="379" t="s">
        <v>1469</v>
      </c>
      <c r="F336" s="379">
        <v>40</v>
      </c>
      <c r="G336" s="379">
        <v>1</v>
      </c>
      <c r="I336" s="359">
        <f t="shared" si="5"/>
        <v>597</v>
      </c>
    </row>
    <row r="337" spans="1:9" ht="15" x14ac:dyDescent="0.25">
      <c r="A337" s="379" t="s">
        <v>1527</v>
      </c>
      <c r="B337" s="379" t="s">
        <v>1675</v>
      </c>
      <c r="C337" s="379" t="s">
        <v>1532</v>
      </c>
      <c r="D337" s="379" t="s">
        <v>1487</v>
      </c>
      <c r="E337" s="379" t="s">
        <v>1469</v>
      </c>
      <c r="F337" s="379">
        <v>40</v>
      </c>
      <c r="G337" s="379">
        <v>1</v>
      </c>
      <c r="I337" s="359">
        <f t="shared" si="5"/>
        <v>989</v>
      </c>
    </row>
    <row r="338" spans="1:9" ht="15" x14ac:dyDescent="0.25">
      <c r="A338" s="379">
        <v>337</v>
      </c>
      <c r="B338" s="379">
        <v>347</v>
      </c>
      <c r="C338" s="379" t="s">
        <v>502</v>
      </c>
      <c r="D338" s="379" t="s">
        <v>59</v>
      </c>
      <c r="E338" s="379" t="s">
        <v>1469</v>
      </c>
      <c r="F338" s="379">
        <v>39.700000000000003</v>
      </c>
      <c r="G338" s="379">
        <v>2</v>
      </c>
      <c r="I338" s="359">
        <f t="shared" si="5"/>
        <v>286</v>
      </c>
    </row>
    <row r="339" spans="1:9" ht="15" x14ac:dyDescent="0.25">
      <c r="A339" s="379">
        <v>338</v>
      </c>
      <c r="B339" s="379">
        <v>222</v>
      </c>
      <c r="C339" s="379" t="s">
        <v>549</v>
      </c>
      <c r="D339" s="379" t="s">
        <v>59</v>
      </c>
      <c r="E339" s="379" t="s">
        <v>1469</v>
      </c>
      <c r="F339" s="379">
        <v>39.4</v>
      </c>
      <c r="G339" s="379">
        <v>2</v>
      </c>
      <c r="I339" s="359">
        <f t="shared" si="5"/>
        <v>233</v>
      </c>
    </row>
    <row r="340" spans="1:9" ht="15" x14ac:dyDescent="0.25">
      <c r="A340" s="379">
        <v>339</v>
      </c>
      <c r="B340" s="379" t="s">
        <v>1535</v>
      </c>
      <c r="C340" s="379" t="s">
        <v>1420</v>
      </c>
      <c r="D340" s="379" t="s">
        <v>1405</v>
      </c>
      <c r="E340" s="379" t="s">
        <v>1469</v>
      </c>
      <c r="F340" s="379">
        <v>39</v>
      </c>
      <c r="G340" s="379">
        <v>1</v>
      </c>
      <c r="I340" s="359">
        <f t="shared" si="5"/>
        <v>541</v>
      </c>
    </row>
    <row r="341" spans="1:9" ht="15" x14ac:dyDescent="0.25">
      <c r="A341" s="379">
        <v>340</v>
      </c>
      <c r="B341" s="379" t="s">
        <v>1535</v>
      </c>
      <c r="C341" s="379" t="s">
        <v>1417</v>
      </c>
      <c r="D341" s="379" t="s">
        <v>61</v>
      </c>
      <c r="E341" s="379" t="s">
        <v>1470</v>
      </c>
      <c r="F341" s="379">
        <v>39</v>
      </c>
      <c r="G341" s="379">
        <v>2</v>
      </c>
      <c r="I341" s="359">
        <f t="shared" si="5"/>
        <v>572</v>
      </c>
    </row>
    <row r="342" spans="1:9" ht="15" x14ac:dyDescent="0.25">
      <c r="A342" s="379">
        <v>341</v>
      </c>
      <c r="B342" s="379">
        <v>352</v>
      </c>
      <c r="C342" s="379" t="s">
        <v>595</v>
      </c>
      <c r="D342" s="379" t="s">
        <v>64</v>
      </c>
      <c r="E342" s="379" t="s">
        <v>1469</v>
      </c>
      <c r="F342" s="379">
        <v>38.700000000000003</v>
      </c>
      <c r="G342" s="379">
        <v>2</v>
      </c>
      <c r="I342" s="359">
        <f t="shared" si="5"/>
        <v>722</v>
      </c>
    </row>
    <row r="343" spans="1:9" ht="15" x14ac:dyDescent="0.25">
      <c r="A343" s="379">
        <v>342</v>
      </c>
      <c r="B343" s="379">
        <v>324</v>
      </c>
      <c r="C343" s="379" t="s">
        <v>674</v>
      </c>
      <c r="D343" s="379" t="s">
        <v>59</v>
      </c>
      <c r="E343" s="379" t="s">
        <v>1469</v>
      </c>
      <c r="F343" s="379">
        <v>37</v>
      </c>
      <c r="G343" s="379">
        <v>2</v>
      </c>
      <c r="I343" s="359">
        <f t="shared" si="5"/>
        <v>929</v>
      </c>
    </row>
    <row r="344" spans="1:9" ht="15" x14ac:dyDescent="0.25">
      <c r="A344" s="379">
        <v>343</v>
      </c>
      <c r="B344" s="379">
        <v>354</v>
      </c>
      <c r="C344" s="379" t="s">
        <v>450</v>
      </c>
      <c r="D344" s="379" t="s">
        <v>59</v>
      </c>
      <c r="E344" s="379" t="s">
        <v>1469</v>
      </c>
      <c r="F344" s="379">
        <v>36.9</v>
      </c>
      <c r="G344" s="379">
        <v>2</v>
      </c>
      <c r="I344" s="359">
        <f t="shared" si="5"/>
        <v>169</v>
      </c>
    </row>
    <row r="345" spans="1:9" ht="15" x14ac:dyDescent="0.25">
      <c r="A345" s="379">
        <v>344</v>
      </c>
      <c r="B345" s="379">
        <v>356</v>
      </c>
      <c r="C345" s="379" t="s">
        <v>1194</v>
      </c>
      <c r="D345" s="379" t="s">
        <v>59</v>
      </c>
      <c r="E345" s="379" t="s">
        <v>1470</v>
      </c>
      <c r="F345" s="379">
        <v>36.5</v>
      </c>
      <c r="G345" s="379">
        <v>3</v>
      </c>
      <c r="I345" s="359">
        <f t="shared" si="5"/>
        <v>178</v>
      </c>
    </row>
    <row r="346" spans="1:9" ht="15" x14ac:dyDescent="0.25">
      <c r="A346" s="379">
        <v>345</v>
      </c>
      <c r="B346" s="379">
        <v>358</v>
      </c>
      <c r="C346" s="379" t="s">
        <v>1534</v>
      </c>
      <c r="D346" s="379" t="s">
        <v>1477</v>
      </c>
      <c r="E346" s="379" t="s">
        <v>1469</v>
      </c>
      <c r="F346" s="379">
        <v>36</v>
      </c>
      <c r="G346" s="379">
        <v>1</v>
      </c>
      <c r="I346" s="359">
        <f t="shared" si="5"/>
        <v>787</v>
      </c>
    </row>
    <row r="347" spans="1:9" ht="15" x14ac:dyDescent="0.25">
      <c r="A347" s="379">
        <v>346</v>
      </c>
      <c r="B347" s="379">
        <v>359</v>
      </c>
      <c r="C347" s="379" t="s">
        <v>1676</v>
      </c>
      <c r="D347" s="379" t="s">
        <v>1537</v>
      </c>
      <c r="E347" s="379" t="s">
        <v>1469</v>
      </c>
      <c r="F347" s="379">
        <v>35.75</v>
      </c>
      <c r="G347" s="379">
        <v>1</v>
      </c>
      <c r="I347" s="359">
        <f t="shared" si="5"/>
        <v>21</v>
      </c>
    </row>
    <row r="348" spans="1:9" ht="15" x14ac:dyDescent="0.25">
      <c r="A348" s="379" t="s">
        <v>1677</v>
      </c>
      <c r="B348" s="379" t="s">
        <v>1540</v>
      </c>
      <c r="C348" s="379" t="s">
        <v>1678</v>
      </c>
      <c r="D348" s="379" t="s">
        <v>1652</v>
      </c>
      <c r="E348" s="379" t="s">
        <v>1469</v>
      </c>
      <c r="F348" s="379">
        <v>35.5</v>
      </c>
      <c r="G348" s="379">
        <v>1</v>
      </c>
      <c r="I348" s="359">
        <f t="shared" si="5"/>
        <v>158</v>
      </c>
    </row>
    <row r="349" spans="1:9" ht="15" x14ac:dyDescent="0.25">
      <c r="A349" s="379" t="s">
        <v>1677</v>
      </c>
      <c r="B349" s="379" t="s">
        <v>1540</v>
      </c>
      <c r="C349" s="379" t="s">
        <v>640</v>
      </c>
      <c r="D349" s="379" t="s">
        <v>59</v>
      </c>
      <c r="E349" s="379" t="s">
        <v>1469</v>
      </c>
      <c r="F349" s="379">
        <v>35.5</v>
      </c>
      <c r="G349" s="379">
        <v>1</v>
      </c>
      <c r="I349" s="359">
        <f t="shared" si="5"/>
        <v>941</v>
      </c>
    </row>
    <row r="350" spans="1:9" ht="15" x14ac:dyDescent="0.25">
      <c r="A350" s="379">
        <v>349</v>
      </c>
      <c r="B350" s="379">
        <v>362</v>
      </c>
      <c r="C350" s="379" t="s">
        <v>835</v>
      </c>
      <c r="D350" s="379" t="s">
        <v>59</v>
      </c>
      <c r="E350" s="379" t="s">
        <v>1469</v>
      </c>
      <c r="F350" s="379">
        <v>35.4</v>
      </c>
      <c r="G350" s="379">
        <v>2</v>
      </c>
      <c r="I350" s="359">
        <f t="shared" si="5"/>
        <v>194</v>
      </c>
    </row>
    <row r="351" spans="1:9" ht="15" x14ac:dyDescent="0.25">
      <c r="A351" s="379" t="s">
        <v>1535</v>
      </c>
      <c r="B351" s="379" t="s">
        <v>1543</v>
      </c>
      <c r="C351" s="379" t="s">
        <v>1497</v>
      </c>
      <c r="D351" s="379" t="s">
        <v>59</v>
      </c>
      <c r="E351" s="379" t="s">
        <v>1469</v>
      </c>
      <c r="F351" s="379">
        <v>35</v>
      </c>
      <c r="G351" s="379">
        <v>1</v>
      </c>
      <c r="I351" s="359">
        <f t="shared" si="5"/>
        <v>10</v>
      </c>
    </row>
    <row r="352" spans="1:9" ht="15" x14ac:dyDescent="0.25">
      <c r="A352" s="379" t="s">
        <v>1535</v>
      </c>
      <c r="B352" s="379" t="s">
        <v>1543</v>
      </c>
      <c r="C352" s="379" t="s">
        <v>1536</v>
      </c>
      <c r="D352" s="379" t="s">
        <v>1537</v>
      </c>
      <c r="E352" s="379" t="s">
        <v>1470</v>
      </c>
      <c r="F352" s="379">
        <v>35</v>
      </c>
      <c r="G352" s="379">
        <v>1</v>
      </c>
      <c r="I352" s="359">
        <f t="shared" si="5"/>
        <v>321</v>
      </c>
    </row>
    <row r="353" spans="1:9" ht="15" x14ac:dyDescent="0.25">
      <c r="A353" s="379" t="s">
        <v>1535</v>
      </c>
      <c r="B353" s="379" t="s">
        <v>1543</v>
      </c>
      <c r="C353" s="379" t="s">
        <v>1422</v>
      </c>
      <c r="D353" s="379" t="s">
        <v>69</v>
      </c>
      <c r="E353" s="379" t="s">
        <v>1469</v>
      </c>
      <c r="F353" s="379">
        <v>35</v>
      </c>
      <c r="G353" s="379">
        <v>1</v>
      </c>
      <c r="I353" s="359">
        <f t="shared" si="5"/>
        <v>550</v>
      </c>
    </row>
    <row r="354" spans="1:9" ht="15" x14ac:dyDescent="0.25">
      <c r="A354" s="379" t="s">
        <v>1535</v>
      </c>
      <c r="B354" s="379" t="s">
        <v>1543</v>
      </c>
      <c r="C354" s="379" t="s">
        <v>1423</v>
      </c>
      <c r="D354" s="379" t="s">
        <v>69</v>
      </c>
      <c r="E354" s="379" t="s">
        <v>1469</v>
      </c>
      <c r="F354" s="379">
        <v>35</v>
      </c>
      <c r="G354" s="379">
        <v>1</v>
      </c>
      <c r="I354" s="359">
        <f t="shared" si="5"/>
        <v>904</v>
      </c>
    </row>
    <row r="355" spans="1:9" ht="15" x14ac:dyDescent="0.25">
      <c r="A355" s="379" t="s">
        <v>1535</v>
      </c>
      <c r="B355" s="379">
        <v>187</v>
      </c>
      <c r="C355" s="379" t="s">
        <v>653</v>
      </c>
      <c r="D355" s="379" t="s">
        <v>61</v>
      </c>
      <c r="E355" s="379" t="s">
        <v>1469</v>
      </c>
      <c r="F355" s="379">
        <v>35</v>
      </c>
      <c r="G355" s="379">
        <v>1</v>
      </c>
      <c r="I355" s="359">
        <f t="shared" si="5"/>
        <v>886</v>
      </c>
    </row>
    <row r="356" spans="1:9" ht="15" x14ac:dyDescent="0.25">
      <c r="A356" s="379" t="s">
        <v>1430</v>
      </c>
      <c r="B356" s="379" t="s">
        <v>51</v>
      </c>
      <c r="C356" s="379" t="s">
        <v>697</v>
      </c>
      <c r="D356" s="379" t="s">
        <v>62</v>
      </c>
      <c r="E356" s="379" t="s">
        <v>1469</v>
      </c>
      <c r="F356" s="379">
        <v>34</v>
      </c>
      <c r="G356" s="379">
        <v>1</v>
      </c>
      <c r="I356" s="359">
        <f t="shared" si="5"/>
        <v>499</v>
      </c>
    </row>
    <row r="357" spans="1:9" ht="15" x14ac:dyDescent="0.25">
      <c r="A357" s="379" t="s">
        <v>1430</v>
      </c>
      <c r="B357" s="379" t="s">
        <v>1554</v>
      </c>
      <c r="C357" s="379" t="s">
        <v>1242</v>
      </c>
      <c r="D357" s="379" t="s">
        <v>62</v>
      </c>
      <c r="E357" s="379" t="s">
        <v>1469</v>
      </c>
      <c r="F357" s="379">
        <v>34</v>
      </c>
      <c r="G357" s="379">
        <v>1</v>
      </c>
      <c r="I357" s="359">
        <f t="shared" si="5"/>
        <v>13</v>
      </c>
    </row>
    <row r="358" spans="1:9" ht="15" x14ac:dyDescent="0.25">
      <c r="A358" s="379" t="s">
        <v>1430</v>
      </c>
      <c r="B358" s="379" t="s">
        <v>1554</v>
      </c>
      <c r="C358" s="379" t="s">
        <v>1243</v>
      </c>
      <c r="D358" s="379" t="s">
        <v>62</v>
      </c>
      <c r="E358" s="379" t="s">
        <v>1469</v>
      </c>
      <c r="F358" s="379">
        <v>34</v>
      </c>
      <c r="G358" s="379">
        <v>1</v>
      </c>
      <c r="I358" s="359">
        <f t="shared" si="5"/>
        <v>291</v>
      </c>
    </row>
    <row r="359" spans="1:9" ht="15" x14ac:dyDescent="0.25">
      <c r="A359" s="379" t="s">
        <v>1430</v>
      </c>
      <c r="B359" s="379" t="s">
        <v>1659</v>
      </c>
      <c r="C359" s="379" t="s">
        <v>1538</v>
      </c>
      <c r="D359" s="379" t="s">
        <v>1514</v>
      </c>
      <c r="E359" s="379" t="s">
        <v>1469</v>
      </c>
      <c r="F359" s="379">
        <v>34</v>
      </c>
      <c r="G359" s="379">
        <v>1</v>
      </c>
      <c r="I359" s="359">
        <f t="shared" si="5"/>
        <v>26</v>
      </c>
    </row>
    <row r="360" spans="1:9" ht="15" x14ac:dyDescent="0.25">
      <c r="A360" s="379">
        <v>359</v>
      </c>
      <c r="B360" s="379">
        <v>283</v>
      </c>
      <c r="C360" s="379" t="s">
        <v>651</v>
      </c>
      <c r="D360" s="379" t="s">
        <v>62</v>
      </c>
      <c r="E360" s="379" t="s">
        <v>1470</v>
      </c>
      <c r="F360" s="379">
        <v>34</v>
      </c>
      <c r="G360" s="379">
        <v>2</v>
      </c>
      <c r="I360" s="359">
        <f t="shared" si="5"/>
        <v>353</v>
      </c>
    </row>
    <row r="361" spans="1:9" ht="15" x14ac:dyDescent="0.25">
      <c r="A361" s="379">
        <v>360</v>
      </c>
      <c r="B361" s="379">
        <v>373</v>
      </c>
      <c r="C361" s="379" t="s">
        <v>575</v>
      </c>
      <c r="D361" s="379" t="s">
        <v>58</v>
      </c>
      <c r="E361" s="379" t="s">
        <v>1469</v>
      </c>
      <c r="F361" s="379">
        <v>33.700000000000003</v>
      </c>
      <c r="G361" s="379">
        <v>2</v>
      </c>
      <c r="I361" s="359">
        <f t="shared" si="5"/>
        <v>16</v>
      </c>
    </row>
    <row r="362" spans="1:9" ht="15" x14ac:dyDescent="0.25">
      <c r="A362" s="379">
        <v>361</v>
      </c>
      <c r="B362" s="379">
        <v>374</v>
      </c>
      <c r="C362" s="379" t="s">
        <v>1542</v>
      </c>
      <c r="D362" s="379" t="s">
        <v>59</v>
      </c>
      <c r="E362" s="379" t="s">
        <v>1469</v>
      </c>
      <c r="F362" s="379">
        <v>33</v>
      </c>
      <c r="G362" s="379">
        <v>1</v>
      </c>
      <c r="I362" s="359">
        <f t="shared" si="5"/>
        <v>690</v>
      </c>
    </row>
    <row r="363" spans="1:9" ht="15" x14ac:dyDescent="0.25">
      <c r="A363" s="379" t="s">
        <v>1541</v>
      </c>
      <c r="B363" s="379" t="s">
        <v>1301</v>
      </c>
      <c r="C363" s="379" t="s">
        <v>1679</v>
      </c>
      <c r="D363" s="379" t="s">
        <v>1477</v>
      </c>
      <c r="E363" s="379" t="s">
        <v>1469</v>
      </c>
      <c r="F363" s="379">
        <v>32.5</v>
      </c>
      <c r="G363" s="379">
        <v>1</v>
      </c>
      <c r="I363" s="359">
        <f t="shared" si="5"/>
        <v>356</v>
      </c>
    </row>
    <row r="364" spans="1:9" ht="15" x14ac:dyDescent="0.25">
      <c r="A364" s="379" t="s">
        <v>1541</v>
      </c>
      <c r="B364" s="379" t="s">
        <v>1301</v>
      </c>
      <c r="C364" s="379" t="s">
        <v>1499</v>
      </c>
      <c r="D364" s="379" t="s">
        <v>61</v>
      </c>
      <c r="E364" s="379" t="s">
        <v>1470</v>
      </c>
      <c r="F364" s="379">
        <v>32.5</v>
      </c>
      <c r="G364" s="379">
        <v>1</v>
      </c>
      <c r="I364" s="359">
        <f t="shared" si="5"/>
        <v>396</v>
      </c>
    </row>
    <row r="365" spans="1:9" ht="15" x14ac:dyDescent="0.25">
      <c r="A365" s="379" t="s">
        <v>1541</v>
      </c>
      <c r="B365" s="379" t="s">
        <v>1301</v>
      </c>
      <c r="C365" s="379" t="s">
        <v>1545</v>
      </c>
      <c r="D365" s="379" t="s">
        <v>1487</v>
      </c>
      <c r="E365" s="379" t="s">
        <v>1469</v>
      </c>
      <c r="F365" s="379">
        <v>32.5</v>
      </c>
      <c r="G365" s="379">
        <v>1</v>
      </c>
      <c r="I365" s="359">
        <f t="shared" si="5"/>
        <v>528</v>
      </c>
    </row>
    <row r="366" spans="1:9" ht="15" x14ac:dyDescent="0.25">
      <c r="A366" s="379" t="s">
        <v>1541</v>
      </c>
      <c r="B366" s="379" t="s">
        <v>1301</v>
      </c>
      <c r="C366" s="379" t="s">
        <v>1427</v>
      </c>
      <c r="D366" s="379" t="s">
        <v>65</v>
      </c>
      <c r="E366" s="379" t="s">
        <v>1469</v>
      </c>
      <c r="F366" s="379">
        <v>32.5</v>
      </c>
      <c r="G366" s="379">
        <v>1</v>
      </c>
      <c r="I366" s="359">
        <f t="shared" si="5"/>
        <v>363</v>
      </c>
    </row>
    <row r="367" spans="1:9" ht="15" x14ac:dyDescent="0.25">
      <c r="A367" s="379" t="s">
        <v>1541</v>
      </c>
      <c r="B367" s="379" t="s">
        <v>1301</v>
      </c>
      <c r="C367" s="379" t="s">
        <v>1546</v>
      </c>
      <c r="D367" s="379" t="s">
        <v>75</v>
      </c>
      <c r="E367" s="379" t="s">
        <v>1469</v>
      </c>
      <c r="F367" s="379">
        <v>32.5</v>
      </c>
      <c r="G367" s="379">
        <v>1</v>
      </c>
      <c r="I367" s="359">
        <f t="shared" si="5"/>
        <v>544</v>
      </c>
    </row>
    <row r="368" spans="1:9" ht="15" x14ac:dyDescent="0.25">
      <c r="A368" s="379" t="s">
        <v>1541</v>
      </c>
      <c r="B368" s="379" t="s">
        <v>1301</v>
      </c>
      <c r="C368" s="379" t="s">
        <v>1547</v>
      </c>
      <c r="D368" s="379" t="s">
        <v>1487</v>
      </c>
      <c r="E368" s="379" t="s">
        <v>1469</v>
      </c>
      <c r="F368" s="379">
        <v>32.5</v>
      </c>
      <c r="G368" s="379">
        <v>1</v>
      </c>
      <c r="I368" s="359">
        <f t="shared" si="5"/>
        <v>549</v>
      </c>
    </row>
    <row r="369" spans="1:9" ht="15" x14ac:dyDescent="0.25">
      <c r="A369" s="379" t="s">
        <v>1541</v>
      </c>
      <c r="B369" s="379" t="s">
        <v>1301</v>
      </c>
      <c r="C369" s="379" t="s">
        <v>556</v>
      </c>
      <c r="D369" s="379" t="s">
        <v>61</v>
      </c>
      <c r="E369" s="379" t="s">
        <v>1470</v>
      </c>
      <c r="F369" s="379">
        <v>32.5</v>
      </c>
      <c r="G369" s="379">
        <v>1</v>
      </c>
      <c r="I369" s="359">
        <f t="shared" si="5"/>
        <v>526</v>
      </c>
    </row>
    <row r="370" spans="1:9" ht="15" x14ac:dyDescent="0.25">
      <c r="A370" s="379">
        <v>369</v>
      </c>
      <c r="B370" s="379">
        <v>282</v>
      </c>
      <c r="C370" s="379" t="s">
        <v>1428</v>
      </c>
      <c r="D370" s="379" t="s">
        <v>59</v>
      </c>
      <c r="E370" s="379" t="s">
        <v>1469</v>
      </c>
      <c r="F370" s="379">
        <v>32.25</v>
      </c>
      <c r="G370" s="379">
        <v>1</v>
      </c>
      <c r="I370" s="359">
        <f t="shared" si="5"/>
        <v>6</v>
      </c>
    </row>
    <row r="371" spans="1:9" ht="15" x14ac:dyDescent="0.25">
      <c r="A371" s="379">
        <v>370</v>
      </c>
      <c r="B371" s="379">
        <v>383</v>
      </c>
      <c r="C371" s="379" t="s">
        <v>491</v>
      </c>
      <c r="D371" s="379" t="s">
        <v>61</v>
      </c>
      <c r="E371" s="379" t="s">
        <v>1469</v>
      </c>
      <c r="F371" s="379">
        <v>32</v>
      </c>
      <c r="G371" s="379">
        <v>1</v>
      </c>
      <c r="I371" s="359">
        <f t="shared" si="5"/>
        <v>928</v>
      </c>
    </row>
    <row r="372" spans="1:9" ht="15" x14ac:dyDescent="0.25">
      <c r="A372" s="379">
        <v>371</v>
      </c>
      <c r="B372" s="379">
        <v>384</v>
      </c>
      <c r="C372" s="379" t="s">
        <v>609</v>
      </c>
      <c r="D372" s="379" t="s">
        <v>167</v>
      </c>
      <c r="E372" s="379" t="s">
        <v>1469</v>
      </c>
      <c r="F372" s="379">
        <v>30.88</v>
      </c>
      <c r="G372" s="379">
        <v>1</v>
      </c>
      <c r="I372" s="359">
        <f t="shared" si="5"/>
        <v>761</v>
      </c>
    </row>
    <row r="373" spans="1:9" ht="15" x14ac:dyDescent="0.25">
      <c r="A373" s="379">
        <v>372</v>
      </c>
      <c r="B373" s="379">
        <v>387</v>
      </c>
      <c r="C373" s="379" t="s">
        <v>772</v>
      </c>
      <c r="D373" s="379" t="s">
        <v>59</v>
      </c>
      <c r="E373" s="379" t="s">
        <v>1470</v>
      </c>
      <c r="F373" s="379">
        <v>30</v>
      </c>
      <c r="G373" s="379">
        <v>1</v>
      </c>
      <c r="I373" s="359">
        <f t="shared" si="5"/>
        <v>109</v>
      </c>
    </row>
    <row r="374" spans="1:9" ht="15" x14ac:dyDescent="0.25">
      <c r="A374" s="379" t="s">
        <v>1680</v>
      </c>
      <c r="B374" s="379" t="s">
        <v>1681</v>
      </c>
      <c r="C374" s="379" t="s">
        <v>536</v>
      </c>
      <c r="D374" s="379" t="s">
        <v>69</v>
      </c>
      <c r="E374" s="379" t="s">
        <v>1469</v>
      </c>
      <c r="F374" s="379">
        <v>29.25</v>
      </c>
      <c r="G374" s="379">
        <v>1</v>
      </c>
      <c r="I374" s="359">
        <f t="shared" si="5"/>
        <v>909</v>
      </c>
    </row>
    <row r="375" spans="1:9" ht="15" x14ac:dyDescent="0.25">
      <c r="A375" s="379" t="s">
        <v>1680</v>
      </c>
      <c r="B375" s="379" t="s">
        <v>1681</v>
      </c>
      <c r="C375" s="379" t="s">
        <v>702</v>
      </c>
      <c r="D375" s="379" t="s">
        <v>69</v>
      </c>
      <c r="E375" s="379" t="s">
        <v>1469</v>
      </c>
      <c r="F375" s="379">
        <v>29.25</v>
      </c>
      <c r="G375" s="379">
        <v>1</v>
      </c>
      <c r="I375" s="359">
        <f t="shared" si="5"/>
        <v>982</v>
      </c>
    </row>
    <row r="376" spans="1:9" ht="15" x14ac:dyDescent="0.25">
      <c r="A376" s="379" t="s">
        <v>1682</v>
      </c>
      <c r="B376" s="379">
        <v>246</v>
      </c>
      <c r="C376" s="379" t="s">
        <v>563</v>
      </c>
      <c r="D376" s="379" t="s">
        <v>62</v>
      </c>
      <c r="E376" s="379" t="s">
        <v>1469</v>
      </c>
      <c r="F376" s="379">
        <v>28.8</v>
      </c>
      <c r="G376" s="379">
        <v>1</v>
      </c>
      <c r="I376" s="359">
        <f t="shared" si="5"/>
        <v>946</v>
      </c>
    </row>
    <row r="377" spans="1:9" ht="15" x14ac:dyDescent="0.25">
      <c r="A377" s="379" t="s">
        <v>1682</v>
      </c>
      <c r="B377" s="379" t="s">
        <v>1648</v>
      </c>
      <c r="C377" s="379" t="s">
        <v>1236</v>
      </c>
      <c r="D377" s="379" t="s">
        <v>1220</v>
      </c>
      <c r="E377" s="379" t="s">
        <v>1469</v>
      </c>
      <c r="F377" s="379">
        <v>28.8</v>
      </c>
      <c r="G377" s="379">
        <v>1</v>
      </c>
      <c r="I377" s="359">
        <f t="shared" si="5"/>
        <v>825</v>
      </c>
    </row>
    <row r="378" spans="1:9" ht="15" x14ac:dyDescent="0.25">
      <c r="A378" s="379">
        <v>377</v>
      </c>
      <c r="B378" s="379">
        <v>393</v>
      </c>
      <c r="C378" s="379" t="s">
        <v>683</v>
      </c>
      <c r="D378" s="379" t="s">
        <v>59</v>
      </c>
      <c r="E378" s="379" t="s">
        <v>1469</v>
      </c>
      <c r="F378" s="379">
        <v>28.7</v>
      </c>
      <c r="G378" s="379">
        <v>2</v>
      </c>
      <c r="I378" s="359">
        <f t="shared" si="5"/>
        <v>199</v>
      </c>
    </row>
    <row r="379" spans="1:9" ht="15" x14ac:dyDescent="0.25">
      <c r="A379" s="379">
        <v>378</v>
      </c>
      <c r="B379" s="379">
        <v>394</v>
      </c>
      <c r="C379" s="379" t="s">
        <v>742</v>
      </c>
      <c r="D379" s="379" t="s">
        <v>64</v>
      </c>
      <c r="E379" s="379" t="s">
        <v>1469</v>
      </c>
      <c r="F379" s="379">
        <v>28.5</v>
      </c>
      <c r="G379" s="379">
        <v>2</v>
      </c>
      <c r="I379" s="359">
        <f t="shared" si="5"/>
        <v>416</v>
      </c>
    </row>
    <row r="380" spans="1:9" ht="15" x14ac:dyDescent="0.25">
      <c r="A380" s="379">
        <v>379</v>
      </c>
      <c r="B380" s="379" t="s">
        <v>1554</v>
      </c>
      <c r="C380" s="379" t="s">
        <v>1549</v>
      </c>
      <c r="D380" s="379" t="s">
        <v>1550</v>
      </c>
      <c r="E380" s="379" t="s">
        <v>1469</v>
      </c>
      <c r="F380" s="379">
        <v>28</v>
      </c>
      <c r="G380" s="379">
        <v>1</v>
      </c>
      <c r="I380" s="359">
        <f t="shared" si="5"/>
        <v>472</v>
      </c>
    </row>
    <row r="381" spans="1:9" ht="15" x14ac:dyDescent="0.25">
      <c r="A381" s="379">
        <v>380</v>
      </c>
      <c r="B381" s="379">
        <v>348</v>
      </c>
      <c r="C381" s="379" t="s">
        <v>1245</v>
      </c>
      <c r="D381" s="379" t="s">
        <v>59</v>
      </c>
      <c r="E381" s="379" t="s">
        <v>1469</v>
      </c>
      <c r="F381" s="379">
        <v>28</v>
      </c>
      <c r="G381" s="379">
        <v>2</v>
      </c>
      <c r="I381" s="359">
        <f t="shared" si="5"/>
        <v>784</v>
      </c>
    </row>
    <row r="382" spans="1:9" ht="15" x14ac:dyDescent="0.25">
      <c r="A382" s="379" t="s">
        <v>1683</v>
      </c>
      <c r="B382" s="379" t="s">
        <v>1684</v>
      </c>
      <c r="C382" s="379" t="s">
        <v>1268</v>
      </c>
      <c r="D382" s="379" t="s">
        <v>59</v>
      </c>
      <c r="E382" s="379" t="s">
        <v>1469</v>
      </c>
      <c r="F382" s="379">
        <v>27</v>
      </c>
      <c r="G382" s="379">
        <v>1</v>
      </c>
      <c r="I382" s="359">
        <f t="shared" si="5"/>
        <v>115</v>
      </c>
    </row>
    <row r="383" spans="1:9" ht="15" x14ac:dyDescent="0.25">
      <c r="A383" s="379" t="s">
        <v>1683</v>
      </c>
      <c r="B383" s="379" t="s">
        <v>1684</v>
      </c>
      <c r="C383" s="379" t="s">
        <v>1312</v>
      </c>
      <c r="D383" s="379" t="s">
        <v>61</v>
      </c>
      <c r="E383" s="379" t="s">
        <v>1469</v>
      </c>
      <c r="F383" s="379">
        <v>27</v>
      </c>
      <c r="G383" s="379">
        <v>1</v>
      </c>
      <c r="I383" s="359">
        <f t="shared" si="5"/>
        <v>618</v>
      </c>
    </row>
    <row r="384" spans="1:9" ht="15" x14ac:dyDescent="0.25">
      <c r="A384" s="379" t="s">
        <v>1685</v>
      </c>
      <c r="B384" s="379" t="s">
        <v>1556</v>
      </c>
      <c r="C384" s="379" t="s">
        <v>613</v>
      </c>
      <c r="D384" s="379" t="s">
        <v>59</v>
      </c>
      <c r="E384" s="379" t="s">
        <v>1469</v>
      </c>
      <c r="F384" s="379">
        <v>26</v>
      </c>
      <c r="G384" s="379">
        <v>1</v>
      </c>
      <c r="I384" s="359">
        <f t="shared" si="5"/>
        <v>186</v>
      </c>
    </row>
    <row r="385" spans="1:9" ht="15" x14ac:dyDescent="0.25">
      <c r="A385" s="379" t="s">
        <v>1685</v>
      </c>
      <c r="B385" s="379" t="s">
        <v>1556</v>
      </c>
      <c r="C385" s="379" t="s">
        <v>1191</v>
      </c>
      <c r="D385" s="379" t="s">
        <v>58</v>
      </c>
      <c r="E385" s="379" t="s">
        <v>1470</v>
      </c>
      <c r="F385" s="379">
        <v>26</v>
      </c>
      <c r="G385" s="379">
        <v>1</v>
      </c>
      <c r="I385" s="359">
        <f t="shared" si="5"/>
        <v>276</v>
      </c>
    </row>
    <row r="386" spans="1:9" ht="15" x14ac:dyDescent="0.25">
      <c r="A386" s="379" t="s">
        <v>1686</v>
      </c>
      <c r="B386" s="379" t="s">
        <v>1687</v>
      </c>
      <c r="C386" s="379" t="s">
        <v>531</v>
      </c>
      <c r="D386" s="379" t="s">
        <v>61</v>
      </c>
      <c r="E386" s="379" t="s">
        <v>1470</v>
      </c>
      <c r="F386" s="379">
        <v>24.5</v>
      </c>
      <c r="G386" s="379">
        <v>1</v>
      </c>
      <c r="I386" s="359">
        <f t="shared" si="5"/>
        <v>509</v>
      </c>
    </row>
    <row r="387" spans="1:9" ht="15" x14ac:dyDescent="0.25">
      <c r="A387" s="379" t="s">
        <v>1686</v>
      </c>
      <c r="B387" s="379" t="s">
        <v>1687</v>
      </c>
      <c r="C387" s="379" t="s">
        <v>1552</v>
      </c>
      <c r="D387" s="379" t="s">
        <v>59</v>
      </c>
      <c r="E387" s="379" t="s">
        <v>1469</v>
      </c>
      <c r="F387" s="379">
        <v>24.5</v>
      </c>
      <c r="G387" s="379">
        <v>1</v>
      </c>
      <c r="I387" s="359">
        <f t="shared" ref="I387:I450" si="6">SUMPRODUCT((C$2:C$1000 &lt; C387)+(C387="")*1000)</f>
        <v>389</v>
      </c>
    </row>
    <row r="388" spans="1:9" ht="15" x14ac:dyDescent="0.25">
      <c r="A388" s="379" t="s">
        <v>1688</v>
      </c>
      <c r="B388" s="379" t="s">
        <v>1689</v>
      </c>
      <c r="C388" s="379" t="s">
        <v>1217</v>
      </c>
      <c r="D388" s="379" t="s">
        <v>59</v>
      </c>
      <c r="E388" s="379" t="s">
        <v>1469</v>
      </c>
      <c r="F388" s="379">
        <v>24</v>
      </c>
      <c r="G388" s="379">
        <v>1</v>
      </c>
      <c r="I388" s="359">
        <f t="shared" si="6"/>
        <v>461</v>
      </c>
    </row>
    <row r="389" spans="1:9" ht="15" x14ac:dyDescent="0.25">
      <c r="A389" s="379" t="s">
        <v>1688</v>
      </c>
      <c r="B389" s="379" t="s">
        <v>1689</v>
      </c>
      <c r="C389" s="379" t="s">
        <v>751</v>
      </c>
      <c r="D389" s="379" t="s">
        <v>75</v>
      </c>
      <c r="E389" s="379" t="s">
        <v>1470</v>
      </c>
      <c r="F389" s="379">
        <v>24</v>
      </c>
      <c r="G389" s="379">
        <v>1</v>
      </c>
      <c r="I389" s="359">
        <f t="shared" si="6"/>
        <v>518</v>
      </c>
    </row>
    <row r="390" spans="1:9" ht="15" x14ac:dyDescent="0.25">
      <c r="A390" s="379">
        <v>389</v>
      </c>
      <c r="B390" s="379">
        <v>409</v>
      </c>
      <c r="C390" s="379" t="s">
        <v>1433</v>
      </c>
      <c r="D390" s="379" t="s">
        <v>59</v>
      </c>
      <c r="E390" s="379" t="s">
        <v>1469</v>
      </c>
      <c r="F390" s="379">
        <v>24</v>
      </c>
      <c r="G390" s="379">
        <v>2</v>
      </c>
      <c r="I390" s="359">
        <f t="shared" si="6"/>
        <v>892</v>
      </c>
    </row>
    <row r="391" spans="1:9" ht="15" x14ac:dyDescent="0.25">
      <c r="A391" s="379">
        <v>390</v>
      </c>
      <c r="B391" s="379">
        <v>240</v>
      </c>
      <c r="C391" s="379" t="s">
        <v>587</v>
      </c>
      <c r="D391" s="379" t="s">
        <v>59</v>
      </c>
      <c r="E391" s="379" t="s">
        <v>1469</v>
      </c>
      <c r="F391" s="379">
        <v>23.25</v>
      </c>
      <c r="G391" s="379">
        <v>1</v>
      </c>
      <c r="I391" s="359">
        <f t="shared" si="6"/>
        <v>215</v>
      </c>
    </row>
    <row r="392" spans="1:9" ht="15" x14ac:dyDescent="0.25">
      <c r="A392" s="379">
        <v>391</v>
      </c>
      <c r="B392" s="379" t="s">
        <v>1512</v>
      </c>
      <c r="C392" s="379" t="s">
        <v>1429</v>
      </c>
      <c r="D392" s="379" t="s">
        <v>59</v>
      </c>
      <c r="E392" s="379" t="s">
        <v>1469</v>
      </c>
      <c r="F392" s="379">
        <v>20.75</v>
      </c>
      <c r="G392" s="379">
        <v>1</v>
      </c>
      <c r="I392" s="359">
        <f t="shared" si="6"/>
        <v>689</v>
      </c>
    </row>
    <row r="393" spans="1:9" ht="15" x14ac:dyDescent="0.25">
      <c r="A393" s="379" t="s">
        <v>1553</v>
      </c>
      <c r="B393" s="379" t="s">
        <v>51</v>
      </c>
      <c r="C393" s="379" t="s">
        <v>1690</v>
      </c>
      <c r="D393" s="379" t="s">
        <v>1514</v>
      </c>
      <c r="E393" s="379" t="s">
        <v>1469</v>
      </c>
      <c r="F393" s="379">
        <v>20</v>
      </c>
      <c r="G393" s="379">
        <v>1</v>
      </c>
      <c r="I393" s="359">
        <f t="shared" si="6"/>
        <v>1</v>
      </c>
    </row>
    <row r="394" spans="1:9" ht="15" x14ac:dyDescent="0.25">
      <c r="A394" s="379" t="s">
        <v>1553</v>
      </c>
      <c r="B394" s="379" t="s">
        <v>51</v>
      </c>
      <c r="C394" s="379" t="s">
        <v>1691</v>
      </c>
      <c r="D394" s="379" t="s">
        <v>1514</v>
      </c>
      <c r="E394" s="379" t="s">
        <v>1469</v>
      </c>
      <c r="F394" s="379">
        <v>20</v>
      </c>
      <c r="G394" s="379">
        <v>1</v>
      </c>
      <c r="I394" s="359">
        <f t="shared" si="6"/>
        <v>503</v>
      </c>
    </row>
    <row r="395" spans="1:9" ht="15" x14ac:dyDescent="0.25">
      <c r="A395" s="379" t="s">
        <v>1553</v>
      </c>
      <c r="B395" s="379">
        <v>386</v>
      </c>
      <c r="C395" s="379" t="s">
        <v>1306</v>
      </c>
      <c r="D395" s="379" t="s">
        <v>59</v>
      </c>
      <c r="E395" s="379" t="s">
        <v>1469</v>
      </c>
      <c r="F395" s="379">
        <v>20</v>
      </c>
      <c r="G395" s="379">
        <v>1</v>
      </c>
      <c r="I395" s="359">
        <f t="shared" si="6"/>
        <v>289</v>
      </c>
    </row>
    <row r="396" spans="1:9" ht="15" x14ac:dyDescent="0.25">
      <c r="A396" s="379">
        <v>395</v>
      </c>
      <c r="B396" s="379">
        <v>417</v>
      </c>
      <c r="C396" s="379" t="s">
        <v>1436</v>
      </c>
      <c r="D396" s="379" t="s">
        <v>72</v>
      </c>
      <c r="E396" s="379" t="s">
        <v>1469</v>
      </c>
      <c r="F396" s="379">
        <v>19.3</v>
      </c>
      <c r="G396" s="379">
        <v>1</v>
      </c>
      <c r="I396" s="359">
        <f t="shared" si="6"/>
        <v>738</v>
      </c>
    </row>
    <row r="397" spans="1:9" ht="15" x14ac:dyDescent="0.25">
      <c r="A397" s="379" t="s">
        <v>1555</v>
      </c>
      <c r="B397" s="379">
        <v>375</v>
      </c>
      <c r="C397" s="379" t="s">
        <v>750</v>
      </c>
      <c r="D397" s="379" t="s">
        <v>59</v>
      </c>
      <c r="E397" s="379" t="s">
        <v>1469</v>
      </c>
      <c r="F397" s="379">
        <v>19</v>
      </c>
      <c r="G397" s="379">
        <v>1</v>
      </c>
      <c r="I397" s="359">
        <f t="shared" si="6"/>
        <v>443</v>
      </c>
    </row>
    <row r="398" spans="1:9" ht="15" x14ac:dyDescent="0.25">
      <c r="A398" s="379" t="s">
        <v>1555</v>
      </c>
      <c r="B398" s="379">
        <v>310</v>
      </c>
      <c r="C398" s="379" t="s">
        <v>1314</v>
      </c>
      <c r="D398" s="379" t="s">
        <v>75</v>
      </c>
      <c r="E398" s="379" t="s">
        <v>1469</v>
      </c>
      <c r="F398" s="379">
        <v>19</v>
      </c>
      <c r="G398" s="379">
        <v>1</v>
      </c>
      <c r="I398" s="359">
        <f t="shared" si="6"/>
        <v>677</v>
      </c>
    </row>
    <row r="399" spans="1:9" ht="15" x14ac:dyDescent="0.25">
      <c r="A399" s="379" t="s">
        <v>1684</v>
      </c>
      <c r="B399" s="379" t="s">
        <v>1692</v>
      </c>
      <c r="C399" s="379" t="s">
        <v>1559</v>
      </c>
      <c r="D399" s="379" t="s">
        <v>1560</v>
      </c>
      <c r="E399" s="379" t="s">
        <v>1469</v>
      </c>
      <c r="F399" s="379">
        <v>18</v>
      </c>
      <c r="G399" s="379">
        <v>1</v>
      </c>
      <c r="I399" s="359">
        <f t="shared" si="6"/>
        <v>182</v>
      </c>
    </row>
    <row r="400" spans="1:9" ht="15" x14ac:dyDescent="0.25">
      <c r="A400" s="379" t="s">
        <v>1684</v>
      </c>
      <c r="B400" s="379">
        <v>253</v>
      </c>
      <c r="C400" s="379" t="s">
        <v>607</v>
      </c>
      <c r="D400" s="379" t="s">
        <v>59</v>
      </c>
      <c r="E400" s="379" t="s">
        <v>1470</v>
      </c>
      <c r="F400" s="379">
        <v>18</v>
      </c>
      <c r="G400" s="379">
        <v>1</v>
      </c>
      <c r="I400" s="359">
        <f t="shared" si="6"/>
        <v>629</v>
      </c>
    </row>
    <row r="401" spans="1:9" ht="15" x14ac:dyDescent="0.25">
      <c r="A401" s="379" t="s">
        <v>1684</v>
      </c>
      <c r="B401" s="379" t="s">
        <v>1692</v>
      </c>
      <c r="C401" s="379" t="s">
        <v>1270</v>
      </c>
      <c r="D401" s="379" t="s">
        <v>1220</v>
      </c>
      <c r="E401" s="379" t="s">
        <v>1469</v>
      </c>
      <c r="F401" s="379">
        <v>18</v>
      </c>
      <c r="G401" s="379">
        <v>1</v>
      </c>
      <c r="I401" s="359">
        <f t="shared" si="6"/>
        <v>995</v>
      </c>
    </row>
    <row r="402" spans="1:9" ht="15" x14ac:dyDescent="0.25">
      <c r="A402" s="379">
        <v>401</v>
      </c>
      <c r="B402" s="379">
        <v>390</v>
      </c>
      <c r="C402" s="379" t="s">
        <v>618</v>
      </c>
      <c r="D402" s="379" t="s">
        <v>72</v>
      </c>
      <c r="E402" s="379" t="s">
        <v>1469</v>
      </c>
      <c r="F402" s="379">
        <v>17.600000000000001</v>
      </c>
      <c r="G402" s="379">
        <v>1</v>
      </c>
      <c r="I402" s="359">
        <f t="shared" si="6"/>
        <v>810</v>
      </c>
    </row>
    <row r="403" spans="1:9" ht="15" x14ac:dyDescent="0.25">
      <c r="A403" s="379">
        <v>402</v>
      </c>
      <c r="B403" s="379">
        <v>421</v>
      </c>
      <c r="C403" s="379" t="s">
        <v>480</v>
      </c>
      <c r="D403" s="379" t="s">
        <v>58</v>
      </c>
      <c r="E403" s="379" t="s">
        <v>1470</v>
      </c>
      <c r="F403" s="379">
        <v>17.2</v>
      </c>
      <c r="G403" s="379">
        <v>3</v>
      </c>
      <c r="I403" s="359">
        <f t="shared" si="6"/>
        <v>73</v>
      </c>
    </row>
    <row r="404" spans="1:9" ht="15" x14ac:dyDescent="0.25">
      <c r="A404" s="379">
        <v>403</v>
      </c>
      <c r="B404" s="379">
        <v>422</v>
      </c>
      <c r="C404" s="379" t="s">
        <v>1561</v>
      </c>
      <c r="D404" s="379" t="s">
        <v>1537</v>
      </c>
      <c r="E404" s="379" t="s">
        <v>1469</v>
      </c>
      <c r="F404" s="379">
        <v>17</v>
      </c>
      <c r="G404" s="379">
        <v>1</v>
      </c>
      <c r="I404" s="359">
        <f t="shared" si="6"/>
        <v>350</v>
      </c>
    </row>
    <row r="405" spans="1:9" ht="15" x14ac:dyDescent="0.25">
      <c r="A405" s="379">
        <v>404</v>
      </c>
      <c r="B405" s="379">
        <v>423</v>
      </c>
      <c r="C405" s="379" t="s">
        <v>1440</v>
      </c>
      <c r="D405" s="379" t="s">
        <v>58</v>
      </c>
      <c r="E405" s="379" t="s">
        <v>1470</v>
      </c>
      <c r="F405" s="379">
        <v>17</v>
      </c>
      <c r="G405" s="379">
        <v>2</v>
      </c>
      <c r="I405" s="359">
        <f t="shared" si="6"/>
        <v>632</v>
      </c>
    </row>
    <row r="406" spans="1:9" ht="15" x14ac:dyDescent="0.25">
      <c r="A406" s="379" t="s">
        <v>1557</v>
      </c>
      <c r="B406" s="379">
        <v>276</v>
      </c>
      <c r="C406" s="379" t="s">
        <v>512</v>
      </c>
      <c r="D406" s="379" t="s">
        <v>59</v>
      </c>
      <c r="E406" s="379" t="s">
        <v>1469</v>
      </c>
      <c r="F406" s="379">
        <v>16.5</v>
      </c>
      <c r="G406" s="379">
        <v>1</v>
      </c>
      <c r="I406" s="359">
        <f t="shared" si="6"/>
        <v>340</v>
      </c>
    </row>
    <row r="407" spans="1:9" ht="15" x14ac:dyDescent="0.25">
      <c r="A407" s="379" t="s">
        <v>1557</v>
      </c>
      <c r="B407" s="379">
        <v>426</v>
      </c>
      <c r="C407" s="379" t="s">
        <v>712</v>
      </c>
      <c r="D407" s="379" t="s">
        <v>59</v>
      </c>
      <c r="E407" s="379" t="s">
        <v>1469</v>
      </c>
      <c r="F407" s="379">
        <v>16.5</v>
      </c>
      <c r="G407" s="379">
        <v>1</v>
      </c>
      <c r="I407" s="359">
        <f t="shared" si="6"/>
        <v>442</v>
      </c>
    </row>
    <row r="408" spans="1:9" ht="15" x14ac:dyDescent="0.25">
      <c r="A408" s="379">
        <v>407</v>
      </c>
      <c r="B408" s="379">
        <v>427</v>
      </c>
      <c r="C408" s="379" t="s">
        <v>1588</v>
      </c>
      <c r="D408" s="379" t="s">
        <v>64</v>
      </c>
      <c r="E408" s="379" t="s">
        <v>1470</v>
      </c>
      <c r="F408" s="379">
        <v>16.100000000000001</v>
      </c>
      <c r="G408" s="379">
        <v>4</v>
      </c>
      <c r="I408" s="359">
        <f t="shared" si="6"/>
        <v>253</v>
      </c>
    </row>
    <row r="409" spans="1:9" ht="15" x14ac:dyDescent="0.25">
      <c r="A409" s="379" t="s">
        <v>1558</v>
      </c>
      <c r="B409" s="379" t="s">
        <v>1693</v>
      </c>
      <c r="C409" s="379" t="s">
        <v>1563</v>
      </c>
      <c r="D409" s="379" t="s">
        <v>58</v>
      </c>
      <c r="E409" s="379" t="s">
        <v>1469</v>
      </c>
      <c r="F409" s="379">
        <v>16</v>
      </c>
      <c r="G409" s="379">
        <v>1</v>
      </c>
      <c r="I409" s="359">
        <f t="shared" si="6"/>
        <v>793</v>
      </c>
    </row>
    <row r="410" spans="1:9" ht="15" x14ac:dyDescent="0.25">
      <c r="A410" s="379" t="s">
        <v>1558</v>
      </c>
      <c r="B410" s="379" t="s">
        <v>1657</v>
      </c>
      <c r="C410" s="379" t="s">
        <v>524</v>
      </c>
      <c r="D410" s="379" t="s">
        <v>59</v>
      </c>
      <c r="E410" s="379" t="s">
        <v>1469</v>
      </c>
      <c r="F410" s="379">
        <v>16</v>
      </c>
      <c r="G410" s="379">
        <v>1</v>
      </c>
      <c r="I410" s="359">
        <f t="shared" si="6"/>
        <v>783</v>
      </c>
    </row>
    <row r="411" spans="1:9" ht="15" x14ac:dyDescent="0.25">
      <c r="A411" s="379" t="s">
        <v>1558</v>
      </c>
      <c r="B411" s="379" t="s">
        <v>1693</v>
      </c>
      <c r="C411" s="379" t="s">
        <v>1564</v>
      </c>
      <c r="D411" s="379" t="s">
        <v>58</v>
      </c>
      <c r="E411" s="379" t="s">
        <v>1469</v>
      </c>
      <c r="F411" s="379">
        <v>16</v>
      </c>
      <c r="G411" s="379">
        <v>1</v>
      </c>
      <c r="I411" s="359">
        <f t="shared" si="6"/>
        <v>586</v>
      </c>
    </row>
    <row r="412" spans="1:9" ht="15" x14ac:dyDescent="0.25">
      <c r="A412" s="379" t="s">
        <v>1656</v>
      </c>
      <c r="B412" s="379" t="s">
        <v>1570</v>
      </c>
      <c r="C412" s="379" t="s">
        <v>706</v>
      </c>
      <c r="D412" s="379" t="s">
        <v>64</v>
      </c>
      <c r="E412" s="379" t="s">
        <v>1469</v>
      </c>
      <c r="F412" s="379">
        <v>15.6</v>
      </c>
      <c r="G412" s="379">
        <v>1</v>
      </c>
      <c r="I412" s="359">
        <f t="shared" si="6"/>
        <v>755</v>
      </c>
    </row>
    <row r="413" spans="1:9" ht="15" x14ac:dyDescent="0.25">
      <c r="A413" s="379" t="s">
        <v>1656</v>
      </c>
      <c r="B413" s="379" t="s">
        <v>1570</v>
      </c>
      <c r="C413" s="379" t="s">
        <v>1285</v>
      </c>
      <c r="D413" s="379" t="s">
        <v>59</v>
      </c>
      <c r="E413" s="379" t="s">
        <v>1469</v>
      </c>
      <c r="F413" s="379">
        <v>15.6</v>
      </c>
      <c r="G413" s="379">
        <v>1</v>
      </c>
      <c r="I413" s="359">
        <f t="shared" si="6"/>
        <v>391</v>
      </c>
    </row>
    <row r="414" spans="1:9" ht="15" x14ac:dyDescent="0.25">
      <c r="A414" s="379" t="s">
        <v>1562</v>
      </c>
      <c r="B414" s="379" t="s">
        <v>1694</v>
      </c>
      <c r="C414" s="379" t="s">
        <v>739</v>
      </c>
      <c r="D414" s="379" t="s">
        <v>62</v>
      </c>
      <c r="E414" s="379" t="s">
        <v>1469</v>
      </c>
      <c r="F414" s="379">
        <v>15</v>
      </c>
      <c r="G414" s="379">
        <v>1</v>
      </c>
      <c r="I414" s="359">
        <f t="shared" si="6"/>
        <v>918</v>
      </c>
    </row>
    <row r="415" spans="1:9" ht="15" x14ac:dyDescent="0.25">
      <c r="A415" s="379" t="s">
        <v>1562</v>
      </c>
      <c r="B415" s="379" t="s">
        <v>1574</v>
      </c>
      <c r="C415" s="379" t="s">
        <v>1695</v>
      </c>
      <c r="D415" s="379" t="s">
        <v>1514</v>
      </c>
      <c r="E415" s="379" t="s">
        <v>1469</v>
      </c>
      <c r="F415" s="379">
        <v>15</v>
      </c>
      <c r="G415" s="379">
        <v>1</v>
      </c>
      <c r="I415" s="359">
        <f t="shared" si="6"/>
        <v>585</v>
      </c>
    </row>
    <row r="416" spans="1:9" ht="15" x14ac:dyDescent="0.25">
      <c r="A416" s="379" t="s">
        <v>1562</v>
      </c>
      <c r="B416" s="379" t="s">
        <v>1574</v>
      </c>
      <c r="C416" s="379" t="s">
        <v>1565</v>
      </c>
      <c r="D416" s="379" t="s">
        <v>1505</v>
      </c>
      <c r="E416" s="379" t="s">
        <v>1469</v>
      </c>
      <c r="F416" s="379">
        <v>15</v>
      </c>
      <c r="G416" s="379">
        <v>1</v>
      </c>
      <c r="I416" s="359">
        <f t="shared" si="6"/>
        <v>249</v>
      </c>
    </row>
    <row r="417" spans="1:9" ht="15" x14ac:dyDescent="0.25">
      <c r="A417" s="379" t="s">
        <v>1562</v>
      </c>
      <c r="B417" s="379" t="s">
        <v>1574</v>
      </c>
      <c r="C417" s="379" t="s">
        <v>663</v>
      </c>
      <c r="D417" s="379" t="s">
        <v>58</v>
      </c>
      <c r="E417" s="379" t="s">
        <v>1469</v>
      </c>
      <c r="F417" s="379">
        <v>15</v>
      </c>
      <c r="G417" s="379">
        <v>1</v>
      </c>
      <c r="I417" s="359">
        <f t="shared" si="6"/>
        <v>59</v>
      </c>
    </row>
    <row r="418" spans="1:9" ht="15" x14ac:dyDescent="0.25">
      <c r="A418" s="379" t="s">
        <v>1562</v>
      </c>
      <c r="B418" s="379" t="s">
        <v>1694</v>
      </c>
      <c r="C418" s="379" t="s">
        <v>741</v>
      </c>
      <c r="D418" s="379" t="s">
        <v>62</v>
      </c>
      <c r="E418" s="379" t="s">
        <v>1469</v>
      </c>
      <c r="F418" s="379">
        <v>15</v>
      </c>
      <c r="G418" s="379">
        <v>1</v>
      </c>
      <c r="I418" s="359">
        <f t="shared" si="6"/>
        <v>681</v>
      </c>
    </row>
    <row r="419" spans="1:9" ht="15" x14ac:dyDescent="0.25">
      <c r="A419" s="379">
        <v>418</v>
      </c>
      <c r="B419" s="379">
        <v>435</v>
      </c>
      <c r="C419" s="379" t="s">
        <v>1566</v>
      </c>
      <c r="D419" s="379" t="s">
        <v>1380</v>
      </c>
      <c r="E419" s="379" t="s">
        <v>1469</v>
      </c>
      <c r="F419" s="379">
        <v>14.63</v>
      </c>
      <c r="G419" s="379">
        <v>1</v>
      </c>
      <c r="I419" s="359">
        <f t="shared" si="6"/>
        <v>504</v>
      </c>
    </row>
    <row r="420" spans="1:9" ht="15" x14ac:dyDescent="0.25">
      <c r="A420" s="379">
        <v>419</v>
      </c>
      <c r="B420" s="379">
        <v>436</v>
      </c>
      <c r="C420" s="379" t="s">
        <v>730</v>
      </c>
      <c r="D420" s="379" t="s">
        <v>59</v>
      </c>
      <c r="E420" s="379" t="s">
        <v>1469</v>
      </c>
      <c r="F420" s="379">
        <v>14.4</v>
      </c>
      <c r="G420" s="379">
        <v>1</v>
      </c>
      <c r="I420" s="359">
        <f t="shared" si="6"/>
        <v>487</v>
      </c>
    </row>
    <row r="421" spans="1:9" ht="15" x14ac:dyDescent="0.25">
      <c r="A421" s="379">
        <v>420</v>
      </c>
      <c r="B421" s="379">
        <v>437</v>
      </c>
      <c r="C421" s="379" t="s">
        <v>1696</v>
      </c>
      <c r="D421" s="379" t="s">
        <v>1697</v>
      </c>
      <c r="E421" s="379" t="s">
        <v>1469</v>
      </c>
      <c r="F421" s="379">
        <v>14.2</v>
      </c>
      <c r="G421" s="379">
        <v>1</v>
      </c>
      <c r="I421" s="359">
        <f t="shared" si="6"/>
        <v>203</v>
      </c>
    </row>
    <row r="422" spans="1:9" ht="15" x14ac:dyDescent="0.25">
      <c r="A422" s="379">
        <v>421</v>
      </c>
      <c r="B422" s="379">
        <v>438</v>
      </c>
      <c r="C422" s="379" t="s">
        <v>1567</v>
      </c>
      <c r="D422" s="379" t="s">
        <v>58</v>
      </c>
      <c r="E422" s="379" t="s">
        <v>1470</v>
      </c>
      <c r="F422" s="379">
        <v>14</v>
      </c>
      <c r="G422" s="379">
        <v>3</v>
      </c>
      <c r="I422" s="359">
        <f t="shared" si="6"/>
        <v>70</v>
      </c>
    </row>
    <row r="423" spans="1:9" ht="15" x14ac:dyDescent="0.25">
      <c r="A423" s="379">
        <v>422</v>
      </c>
      <c r="B423" s="379">
        <v>442</v>
      </c>
      <c r="C423" s="379" t="s">
        <v>527</v>
      </c>
      <c r="D423" s="379" t="s">
        <v>62</v>
      </c>
      <c r="E423" s="379" t="s">
        <v>1469</v>
      </c>
      <c r="F423" s="379">
        <v>13.7</v>
      </c>
      <c r="G423" s="379">
        <v>1</v>
      </c>
      <c r="I423" s="359">
        <f t="shared" si="6"/>
        <v>424</v>
      </c>
    </row>
    <row r="424" spans="1:9" ht="15" x14ac:dyDescent="0.25">
      <c r="A424" s="379">
        <v>423</v>
      </c>
      <c r="B424" s="379">
        <v>443</v>
      </c>
      <c r="C424" s="379" t="s">
        <v>974</v>
      </c>
      <c r="D424" s="379" t="s">
        <v>64</v>
      </c>
      <c r="E424" s="379" t="s">
        <v>1469</v>
      </c>
      <c r="F424" s="379">
        <v>13.5</v>
      </c>
      <c r="G424" s="379">
        <v>1</v>
      </c>
      <c r="I424" s="359">
        <f t="shared" si="6"/>
        <v>640</v>
      </c>
    </row>
    <row r="425" spans="1:9" ht="15" x14ac:dyDescent="0.25">
      <c r="A425" s="379" t="s">
        <v>1698</v>
      </c>
      <c r="B425" s="379">
        <v>385</v>
      </c>
      <c r="C425" s="379" t="s">
        <v>1438</v>
      </c>
      <c r="D425" s="379" t="s">
        <v>62</v>
      </c>
      <c r="E425" s="379" t="s">
        <v>1469</v>
      </c>
      <c r="F425" s="379">
        <v>13.2</v>
      </c>
      <c r="G425" s="379">
        <v>1</v>
      </c>
      <c r="I425" s="359">
        <f t="shared" si="6"/>
        <v>500</v>
      </c>
    </row>
    <row r="426" spans="1:9" ht="15" x14ac:dyDescent="0.25">
      <c r="A426" s="379" t="s">
        <v>1698</v>
      </c>
      <c r="B426" s="379">
        <v>353</v>
      </c>
      <c r="C426" s="379" t="s">
        <v>1432</v>
      </c>
      <c r="D426" s="379" t="s">
        <v>62</v>
      </c>
      <c r="E426" s="379" t="s">
        <v>1469</v>
      </c>
      <c r="F426" s="379">
        <v>13.2</v>
      </c>
      <c r="G426" s="379">
        <v>1</v>
      </c>
      <c r="I426" s="359">
        <f t="shared" si="6"/>
        <v>863</v>
      </c>
    </row>
    <row r="427" spans="1:9" ht="15" x14ac:dyDescent="0.25">
      <c r="A427" s="379" t="s">
        <v>1412</v>
      </c>
      <c r="B427" s="379" t="s">
        <v>1699</v>
      </c>
      <c r="C427" s="379" t="s">
        <v>1568</v>
      </c>
      <c r="D427" s="379" t="s">
        <v>59</v>
      </c>
      <c r="E427" s="379" t="s">
        <v>1469</v>
      </c>
      <c r="F427" s="379">
        <v>13</v>
      </c>
      <c r="G427" s="379">
        <v>1</v>
      </c>
      <c r="I427" s="359">
        <f t="shared" si="6"/>
        <v>482</v>
      </c>
    </row>
    <row r="428" spans="1:9" ht="15" x14ac:dyDescent="0.25">
      <c r="A428" s="379" t="s">
        <v>1412</v>
      </c>
      <c r="B428" s="379" t="s">
        <v>1699</v>
      </c>
      <c r="C428" s="379" t="s">
        <v>1441</v>
      </c>
      <c r="D428" s="379" t="s">
        <v>58</v>
      </c>
      <c r="E428" s="379" t="s">
        <v>1470</v>
      </c>
      <c r="F428" s="379">
        <v>13</v>
      </c>
      <c r="G428" s="379">
        <v>1</v>
      </c>
      <c r="I428" s="359">
        <f t="shared" si="6"/>
        <v>580</v>
      </c>
    </row>
    <row r="429" spans="1:9" ht="15" x14ac:dyDescent="0.25">
      <c r="A429" s="379" t="s">
        <v>1412</v>
      </c>
      <c r="B429" s="379" t="s">
        <v>1699</v>
      </c>
      <c r="C429" s="379" t="s">
        <v>1569</v>
      </c>
      <c r="D429" s="379" t="s">
        <v>58</v>
      </c>
      <c r="E429" s="379" t="s">
        <v>1469</v>
      </c>
      <c r="F429" s="379">
        <v>13</v>
      </c>
      <c r="G429" s="379">
        <v>1</v>
      </c>
      <c r="I429" s="359">
        <f t="shared" si="6"/>
        <v>869</v>
      </c>
    </row>
    <row r="430" spans="1:9" ht="15" x14ac:dyDescent="0.25">
      <c r="A430" s="379">
        <v>429</v>
      </c>
      <c r="B430" s="379">
        <v>447</v>
      </c>
      <c r="C430" s="379" t="s">
        <v>713</v>
      </c>
      <c r="D430" s="379" t="s">
        <v>59</v>
      </c>
      <c r="E430" s="379" t="s">
        <v>1469</v>
      </c>
      <c r="F430" s="379">
        <v>12.8</v>
      </c>
      <c r="G430" s="379">
        <v>1</v>
      </c>
      <c r="I430" s="359">
        <f t="shared" si="6"/>
        <v>615</v>
      </c>
    </row>
    <row r="431" spans="1:9" ht="15" x14ac:dyDescent="0.25">
      <c r="A431" s="379" t="s">
        <v>1570</v>
      </c>
      <c r="B431" s="379" t="s">
        <v>1700</v>
      </c>
      <c r="C431" s="379" t="s">
        <v>1572</v>
      </c>
      <c r="D431" s="379" t="s">
        <v>62</v>
      </c>
      <c r="E431" s="379" t="s">
        <v>1470</v>
      </c>
      <c r="F431" s="379">
        <v>12.6</v>
      </c>
      <c r="G431" s="379">
        <v>1</v>
      </c>
      <c r="I431" s="359">
        <f t="shared" si="6"/>
        <v>510</v>
      </c>
    </row>
    <row r="432" spans="1:9" ht="15" x14ac:dyDescent="0.25">
      <c r="A432" s="379" t="s">
        <v>1570</v>
      </c>
      <c r="B432" s="379" t="s">
        <v>1700</v>
      </c>
      <c r="C432" s="379" t="s">
        <v>1701</v>
      </c>
      <c r="D432" s="379" t="s">
        <v>1514</v>
      </c>
      <c r="E432" s="379" t="s">
        <v>1469</v>
      </c>
      <c r="F432" s="379">
        <v>12.6</v>
      </c>
      <c r="G432" s="379">
        <v>1</v>
      </c>
      <c r="I432" s="359">
        <f t="shared" si="6"/>
        <v>763</v>
      </c>
    </row>
    <row r="433" spans="1:9" ht="15" x14ac:dyDescent="0.25">
      <c r="A433" s="379" t="s">
        <v>1570</v>
      </c>
      <c r="B433" s="379" t="s">
        <v>1700</v>
      </c>
      <c r="C433" s="379" t="s">
        <v>1573</v>
      </c>
      <c r="D433" s="379" t="s">
        <v>62</v>
      </c>
      <c r="E433" s="379" t="s">
        <v>1470</v>
      </c>
      <c r="F433" s="379">
        <v>12.6</v>
      </c>
      <c r="G433" s="379">
        <v>1</v>
      </c>
      <c r="I433" s="359">
        <f t="shared" si="6"/>
        <v>642</v>
      </c>
    </row>
    <row r="434" spans="1:9" ht="15" x14ac:dyDescent="0.25">
      <c r="A434" s="379" t="s">
        <v>1571</v>
      </c>
      <c r="B434" s="379">
        <v>451</v>
      </c>
      <c r="C434" s="379" t="s">
        <v>1442</v>
      </c>
      <c r="D434" s="379" t="s">
        <v>59</v>
      </c>
      <c r="E434" s="379" t="s">
        <v>1470</v>
      </c>
      <c r="F434" s="379">
        <v>12</v>
      </c>
      <c r="G434" s="379">
        <v>1</v>
      </c>
      <c r="I434" s="359">
        <f t="shared" si="6"/>
        <v>433</v>
      </c>
    </row>
    <row r="435" spans="1:9" ht="15" x14ac:dyDescent="0.25">
      <c r="A435" s="379" t="s">
        <v>1571</v>
      </c>
      <c r="B435" s="379">
        <v>402</v>
      </c>
      <c r="C435" s="379" t="s">
        <v>645</v>
      </c>
      <c r="D435" s="379" t="s">
        <v>59</v>
      </c>
      <c r="E435" s="379" t="s">
        <v>1470</v>
      </c>
      <c r="F435" s="379">
        <v>12</v>
      </c>
      <c r="G435" s="379">
        <v>1</v>
      </c>
      <c r="I435" s="359">
        <f t="shared" si="6"/>
        <v>611</v>
      </c>
    </row>
    <row r="436" spans="1:9" ht="15" x14ac:dyDescent="0.25">
      <c r="A436" s="379" t="s">
        <v>1571</v>
      </c>
      <c r="B436" s="379">
        <v>410</v>
      </c>
      <c r="C436" s="379" t="s">
        <v>1308</v>
      </c>
      <c r="D436" s="379" t="s">
        <v>59</v>
      </c>
      <c r="E436" s="379" t="s">
        <v>1469</v>
      </c>
      <c r="F436" s="379">
        <v>12</v>
      </c>
      <c r="G436" s="379">
        <v>1</v>
      </c>
      <c r="I436" s="359">
        <f t="shared" si="6"/>
        <v>287</v>
      </c>
    </row>
    <row r="437" spans="1:9" ht="15" x14ac:dyDescent="0.25">
      <c r="A437" s="379" t="s">
        <v>1702</v>
      </c>
      <c r="B437" s="379" t="s">
        <v>1703</v>
      </c>
      <c r="C437" s="379" t="s">
        <v>1577</v>
      </c>
      <c r="D437" s="379" t="s">
        <v>1240</v>
      </c>
      <c r="E437" s="379" t="s">
        <v>1469</v>
      </c>
      <c r="F437" s="379">
        <v>11.4</v>
      </c>
      <c r="G437" s="379">
        <v>1</v>
      </c>
      <c r="I437" s="359">
        <f t="shared" si="6"/>
        <v>987</v>
      </c>
    </row>
    <row r="438" spans="1:9" ht="15" x14ac:dyDescent="0.25">
      <c r="A438" s="379" t="s">
        <v>1702</v>
      </c>
      <c r="B438" s="379" t="s">
        <v>1703</v>
      </c>
      <c r="C438" s="379" t="s">
        <v>517</v>
      </c>
      <c r="D438" s="379" t="s">
        <v>64</v>
      </c>
      <c r="E438" s="379" t="s">
        <v>1469</v>
      </c>
      <c r="F438" s="379">
        <v>11.4</v>
      </c>
      <c r="G438" s="379">
        <v>1</v>
      </c>
      <c r="I438" s="359">
        <f t="shared" si="6"/>
        <v>431</v>
      </c>
    </row>
    <row r="439" spans="1:9" ht="15" x14ac:dyDescent="0.25">
      <c r="A439" s="379">
        <v>438</v>
      </c>
      <c r="B439" s="379">
        <v>456</v>
      </c>
      <c r="C439" s="379" t="s">
        <v>1704</v>
      </c>
      <c r="D439" s="379" t="s">
        <v>1652</v>
      </c>
      <c r="E439" s="379" t="s">
        <v>1469</v>
      </c>
      <c r="F439" s="379">
        <v>11.2</v>
      </c>
      <c r="G439" s="379">
        <v>1</v>
      </c>
      <c r="I439" s="359">
        <f t="shared" si="6"/>
        <v>441</v>
      </c>
    </row>
    <row r="440" spans="1:9" ht="15" x14ac:dyDescent="0.25">
      <c r="A440" s="379">
        <v>439</v>
      </c>
      <c r="B440" s="379">
        <v>457</v>
      </c>
      <c r="C440" s="379" t="s">
        <v>1214</v>
      </c>
      <c r="D440" s="379" t="s">
        <v>58</v>
      </c>
      <c r="E440" s="379" t="s">
        <v>1469</v>
      </c>
      <c r="F440" s="379">
        <v>11</v>
      </c>
      <c r="G440" s="379">
        <v>1</v>
      </c>
      <c r="I440" s="359">
        <f t="shared" si="6"/>
        <v>309</v>
      </c>
    </row>
    <row r="441" spans="1:9" ht="15" x14ac:dyDescent="0.25">
      <c r="A441" s="379" t="s">
        <v>1576</v>
      </c>
      <c r="B441" s="379" t="s">
        <v>1705</v>
      </c>
      <c r="C441" s="379" t="s">
        <v>1578</v>
      </c>
      <c r="D441" s="379" t="s">
        <v>1537</v>
      </c>
      <c r="E441" s="379" t="s">
        <v>1469</v>
      </c>
      <c r="F441" s="379">
        <v>10.75</v>
      </c>
      <c r="G441" s="379">
        <v>1</v>
      </c>
      <c r="I441" s="359">
        <f t="shared" si="6"/>
        <v>295</v>
      </c>
    </row>
    <row r="442" spans="1:9" ht="15" x14ac:dyDescent="0.25">
      <c r="A442" s="379" t="s">
        <v>1576</v>
      </c>
      <c r="B442" s="379" t="s">
        <v>1705</v>
      </c>
      <c r="C442" s="379" t="s">
        <v>1579</v>
      </c>
      <c r="D442" s="379" t="s">
        <v>1537</v>
      </c>
      <c r="E442" s="379" t="s">
        <v>1469</v>
      </c>
      <c r="F442" s="379">
        <v>10.75</v>
      </c>
      <c r="G442" s="379">
        <v>1</v>
      </c>
      <c r="I442" s="359">
        <f t="shared" si="6"/>
        <v>927</v>
      </c>
    </row>
    <row r="443" spans="1:9" ht="15" x14ac:dyDescent="0.25">
      <c r="A443" s="379">
        <v>442</v>
      </c>
      <c r="B443" s="379">
        <v>460</v>
      </c>
      <c r="C443" s="379" t="s">
        <v>1706</v>
      </c>
      <c r="D443" s="379" t="s">
        <v>1652</v>
      </c>
      <c r="E443" s="379" t="s">
        <v>1469</v>
      </c>
      <c r="F443" s="379">
        <v>10.4</v>
      </c>
      <c r="G443" s="379">
        <v>1</v>
      </c>
      <c r="I443" s="359">
        <f t="shared" si="6"/>
        <v>687</v>
      </c>
    </row>
    <row r="444" spans="1:9" ht="15" x14ac:dyDescent="0.25">
      <c r="A444" s="379">
        <v>443</v>
      </c>
      <c r="B444" s="379">
        <v>461</v>
      </c>
      <c r="C444" s="379" t="s">
        <v>1707</v>
      </c>
      <c r="D444" s="379" t="s">
        <v>1652</v>
      </c>
      <c r="E444" s="379" t="s">
        <v>1469</v>
      </c>
      <c r="F444" s="379">
        <v>9.6</v>
      </c>
      <c r="G444" s="379">
        <v>1</v>
      </c>
      <c r="I444" s="359">
        <f t="shared" si="6"/>
        <v>136</v>
      </c>
    </row>
    <row r="445" spans="1:9" ht="15" x14ac:dyDescent="0.25">
      <c r="A445" s="379">
        <v>444</v>
      </c>
      <c r="B445" s="379">
        <v>462</v>
      </c>
      <c r="C445" s="379" t="s">
        <v>1580</v>
      </c>
      <c r="D445" s="379" t="s">
        <v>75</v>
      </c>
      <c r="E445" s="379" t="s">
        <v>1469</v>
      </c>
      <c r="F445" s="379">
        <v>9.25</v>
      </c>
      <c r="G445" s="379">
        <v>1</v>
      </c>
      <c r="I445" s="359">
        <f t="shared" si="6"/>
        <v>700</v>
      </c>
    </row>
    <row r="446" spans="1:9" ht="15" x14ac:dyDescent="0.25">
      <c r="A446" s="379">
        <v>445</v>
      </c>
      <c r="B446" s="379">
        <v>463</v>
      </c>
      <c r="C446" s="379" t="s">
        <v>1708</v>
      </c>
      <c r="D446" s="379" t="s">
        <v>1652</v>
      </c>
      <c r="E446" s="379" t="s">
        <v>1469</v>
      </c>
      <c r="F446" s="379">
        <v>8.8000000000000007</v>
      </c>
      <c r="G446" s="379">
        <v>1</v>
      </c>
      <c r="I446" s="359">
        <f t="shared" si="6"/>
        <v>366</v>
      </c>
    </row>
    <row r="447" spans="1:9" ht="15" x14ac:dyDescent="0.25">
      <c r="A447" s="379" t="s">
        <v>1709</v>
      </c>
      <c r="B447" s="379" t="s">
        <v>1710</v>
      </c>
      <c r="C447" s="379" t="s">
        <v>1711</v>
      </c>
      <c r="D447" s="379" t="s">
        <v>1712</v>
      </c>
      <c r="E447" s="379" t="s">
        <v>1469</v>
      </c>
      <c r="F447" s="379">
        <v>8.75</v>
      </c>
      <c r="G447" s="379">
        <v>1</v>
      </c>
      <c r="I447" s="359">
        <f t="shared" si="6"/>
        <v>749</v>
      </c>
    </row>
    <row r="448" spans="1:9" ht="15" x14ac:dyDescent="0.25">
      <c r="A448" s="379" t="s">
        <v>1709</v>
      </c>
      <c r="B448" s="379" t="s">
        <v>1710</v>
      </c>
      <c r="C448" s="379" t="s">
        <v>1713</v>
      </c>
      <c r="D448" s="379" t="s">
        <v>1712</v>
      </c>
      <c r="E448" s="379" t="s">
        <v>1469</v>
      </c>
      <c r="F448" s="379">
        <v>8.75</v>
      </c>
      <c r="G448" s="379">
        <v>1</v>
      </c>
      <c r="I448" s="359">
        <f t="shared" si="6"/>
        <v>466</v>
      </c>
    </row>
    <row r="449" spans="1:9" ht="15" x14ac:dyDescent="0.25">
      <c r="A449" s="379">
        <v>448</v>
      </c>
      <c r="B449" s="379">
        <v>466</v>
      </c>
      <c r="C449" s="379" t="s">
        <v>581</v>
      </c>
      <c r="D449" s="379" t="s">
        <v>61</v>
      </c>
      <c r="E449" s="379" t="s">
        <v>1470</v>
      </c>
      <c r="F449" s="379">
        <v>8.5</v>
      </c>
      <c r="G449" s="379">
        <v>1</v>
      </c>
      <c r="I449" s="359">
        <f t="shared" si="6"/>
        <v>703</v>
      </c>
    </row>
    <row r="450" spans="1:9" ht="15" x14ac:dyDescent="0.25">
      <c r="A450" s="379">
        <v>449</v>
      </c>
      <c r="B450" s="379">
        <v>467</v>
      </c>
      <c r="C450" s="379" t="s">
        <v>1714</v>
      </c>
      <c r="D450" s="379" t="s">
        <v>1712</v>
      </c>
      <c r="E450" s="379" t="s">
        <v>1469</v>
      </c>
      <c r="F450" s="379">
        <v>7.2</v>
      </c>
      <c r="G450" s="379">
        <v>1</v>
      </c>
      <c r="I450" s="359">
        <f t="shared" si="6"/>
        <v>428</v>
      </c>
    </row>
    <row r="451" spans="1:9" ht="15" x14ac:dyDescent="0.25">
      <c r="A451" s="379">
        <v>450</v>
      </c>
      <c r="B451" s="379">
        <v>468</v>
      </c>
      <c r="C451" s="379" t="s">
        <v>1581</v>
      </c>
      <c r="D451" s="379" t="s">
        <v>58</v>
      </c>
      <c r="E451" s="379" t="s">
        <v>1469</v>
      </c>
      <c r="F451" s="379">
        <v>6.5625</v>
      </c>
      <c r="G451" s="379">
        <v>1</v>
      </c>
      <c r="I451" s="359">
        <f t="shared" ref="I451:I514" si="7">SUMPRODUCT((C$2:C$1000 &lt; C451)+(C451="")*1000)</f>
        <v>342</v>
      </c>
    </row>
    <row r="452" spans="1:9" ht="15" x14ac:dyDescent="0.25">
      <c r="A452" s="379">
        <v>451</v>
      </c>
      <c r="B452" s="379">
        <v>469</v>
      </c>
      <c r="C452" s="379" t="s">
        <v>1582</v>
      </c>
      <c r="D452" s="379" t="s">
        <v>1583</v>
      </c>
      <c r="E452" s="379" t="s">
        <v>1470</v>
      </c>
      <c r="F452" s="379">
        <v>3</v>
      </c>
      <c r="G452" s="379">
        <v>1</v>
      </c>
      <c r="I452" s="359">
        <f t="shared" si="7"/>
        <v>963</v>
      </c>
    </row>
    <row r="453" spans="1:9" ht="15" x14ac:dyDescent="0.25">
      <c r="A453" s="379"/>
      <c r="B453" s="379" t="s">
        <v>51</v>
      </c>
      <c r="C453" s="379" t="s">
        <v>1315</v>
      </c>
      <c r="D453" s="379" t="s">
        <v>64</v>
      </c>
      <c r="E453" s="379" t="s">
        <v>1469</v>
      </c>
      <c r="F453" s="379">
        <v>0</v>
      </c>
      <c r="G453" s="379">
        <v>0</v>
      </c>
      <c r="I453" s="359">
        <f t="shared" si="7"/>
        <v>0</v>
      </c>
    </row>
    <row r="454" spans="1:9" ht="15" x14ac:dyDescent="0.25">
      <c r="A454" s="379"/>
      <c r="B454" s="379" t="s">
        <v>51</v>
      </c>
      <c r="C454" s="379" t="s">
        <v>774</v>
      </c>
      <c r="D454" s="379" t="s">
        <v>775</v>
      </c>
      <c r="E454" s="379" t="s">
        <v>1469</v>
      </c>
      <c r="F454" s="379">
        <v>0</v>
      </c>
      <c r="G454" s="379">
        <v>0</v>
      </c>
      <c r="I454" s="359">
        <f t="shared" si="7"/>
        <v>307</v>
      </c>
    </row>
    <row r="455" spans="1:9" ht="15" x14ac:dyDescent="0.25">
      <c r="A455" s="379"/>
      <c r="B455" s="379" t="s">
        <v>51</v>
      </c>
      <c r="C455" s="379" t="s">
        <v>776</v>
      </c>
      <c r="D455" s="379" t="s">
        <v>775</v>
      </c>
      <c r="E455" s="379" t="s">
        <v>1469</v>
      </c>
      <c r="F455" s="379">
        <v>0</v>
      </c>
      <c r="G455" s="379">
        <v>0</v>
      </c>
      <c r="I455" s="359">
        <f t="shared" si="7"/>
        <v>374</v>
      </c>
    </row>
    <row r="456" spans="1:9" ht="15" x14ac:dyDescent="0.25">
      <c r="A456" s="379"/>
      <c r="B456" s="379" t="s">
        <v>51</v>
      </c>
      <c r="C456" s="379" t="s">
        <v>777</v>
      </c>
      <c r="D456" s="379" t="s">
        <v>65</v>
      </c>
      <c r="E456" s="379" t="s">
        <v>1469</v>
      </c>
      <c r="F456" s="379">
        <v>0</v>
      </c>
      <c r="G456" s="379">
        <v>0</v>
      </c>
      <c r="I456" s="359">
        <f t="shared" si="7"/>
        <v>715</v>
      </c>
    </row>
    <row r="457" spans="1:9" ht="15" x14ac:dyDescent="0.25">
      <c r="A457" s="379"/>
      <c r="B457" s="379" t="s">
        <v>51</v>
      </c>
      <c r="C457" s="379" t="s">
        <v>1193</v>
      </c>
      <c r="D457" s="379" t="s">
        <v>59</v>
      </c>
      <c r="E457" s="379" t="s">
        <v>1470</v>
      </c>
      <c r="F457" s="379">
        <v>0</v>
      </c>
      <c r="G457" s="379">
        <v>0</v>
      </c>
      <c r="I457" s="359">
        <f t="shared" si="7"/>
        <v>694</v>
      </c>
    </row>
    <row r="458" spans="1:9" ht="15" x14ac:dyDescent="0.25">
      <c r="A458" s="379"/>
      <c r="B458" s="379" t="s">
        <v>51</v>
      </c>
      <c r="C458" s="379" t="s">
        <v>1211</v>
      </c>
      <c r="D458" s="379" t="s">
        <v>62</v>
      </c>
      <c r="E458" s="379" t="s">
        <v>1469</v>
      </c>
      <c r="F458" s="379">
        <v>0</v>
      </c>
      <c r="G458" s="379">
        <v>0</v>
      </c>
      <c r="I458" s="359">
        <f t="shared" si="7"/>
        <v>119</v>
      </c>
    </row>
    <row r="459" spans="1:9" ht="15" x14ac:dyDescent="0.25">
      <c r="A459" s="379"/>
      <c r="B459" s="379" t="s">
        <v>51</v>
      </c>
      <c r="C459" s="379" t="s">
        <v>778</v>
      </c>
      <c r="D459" s="379" t="s">
        <v>59</v>
      </c>
      <c r="E459" s="379" t="s">
        <v>1469</v>
      </c>
      <c r="F459" s="379">
        <v>0</v>
      </c>
      <c r="G459" s="379">
        <v>0</v>
      </c>
      <c r="I459" s="359">
        <f t="shared" si="7"/>
        <v>782</v>
      </c>
    </row>
    <row r="460" spans="1:9" ht="15" x14ac:dyDescent="0.25">
      <c r="A460" s="379"/>
      <c r="B460" s="379" t="s">
        <v>51</v>
      </c>
      <c r="C460" s="379" t="s">
        <v>1316</v>
      </c>
      <c r="D460" s="379" t="s">
        <v>779</v>
      </c>
      <c r="E460" s="379" t="s">
        <v>1469</v>
      </c>
      <c r="F460" s="379">
        <v>0</v>
      </c>
      <c r="G460" s="379">
        <v>0</v>
      </c>
      <c r="I460" s="359">
        <f t="shared" si="7"/>
        <v>23</v>
      </c>
    </row>
    <row r="461" spans="1:9" ht="15" x14ac:dyDescent="0.25">
      <c r="A461" s="379"/>
      <c r="B461" s="379" t="s">
        <v>1689</v>
      </c>
      <c r="C461" s="379" t="s">
        <v>1431</v>
      </c>
      <c r="D461" s="379" t="s">
        <v>62</v>
      </c>
      <c r="E461" s="379" t="s">
        <v>1469</v>
      </c>
      <c r="F461" s="379">
        <v>0</v>
      </c>
      <c r="G461" s="379">
        <v>0</v>
      </c>
      <c r="I461" s="359">
        <f t="shared" si="7"/>
        <v>89</v>
      </c>
    </row>
    <row r="462" spans="1:9" ht="15" x14ac:dyDescent="0.25">
      <c r="A462" s="379"/>
      <c r="B462" s="379" t="s">
        <v>51</v>
      </c>
      <c r="C462" s="379" t="s">
        <v>781</v>
      </c>
      <c r="D462" s="379" t="s">
        <v>58</v>
      </c>
      <c r="E462" s="379" t="s">
        <v>1469</v>
      </c>
      <c r="F462" s="379">
        <v>0</v>
      </c>
      <c r="G462" s="379">
        <v>0</v>
      </c>
      <c r="I462" s="359">
        <f t="shared" si="7"/>
        <v>958</v>
      </c>
    </row>
    <row r="463" spans="1:9" ht="15" x14ac:dyDescent="0.25">
      <c r="A463" s="379"/>
      <c r="B463" s="379" t="s">
        <v>51</v>
      </c>
      <c r="C463" s="379" t="s">
        <v>782</v>
      </c>
      <c r="D463" s="379" t="s">
        <v>58</v>
      </c>
      <c r="E463" s="379" t="s">
        <v>1469</v>
      </c>
      <c r="F463" s="379">
        <v>0</v>
      </c>
      <c r="G463" s="379">
        <v>0</v>
      </c>
      <c r="I463" s="359">
        <f t="shared" si="7"/>
        <v>820</v>
      </c>
    </row>
    <row r="464" spans="1:9" ht="15" x14ac:dyDescent="0.25">
      <c r="A464" s="379"/>
      <c r="B464" s="379" t="s">
        <v>51</v>
      </c>
      <c r="C464" s="379" t="s">
        <v>783</v>
      </c>
      <c r="D464" s="379" t="s">
        <v>58</v>
      </c>
      <c r="E464" s="379" t="s">
        <v>1469</v>
      </c>
      <c r="F464" s="379">
        <v>0</v>
      </c>
      <c r="G464" s="379">
        <v>0</v>
      </c>
      <c r="I464" s="359">
        <f t="shared" si="7"/>
        <v>573</v>
      </c>
    </row>
    <row r="465" spans="1:9" ht="15" x14ac:dyDescent="0.25">
      <c r="A465" s="379"/>
      <c r="B465" s="379" t="s">
        <v>51</v>
      </c>
      <c r="C465" s="379" t="s">
        <v>784</v>
      </c>
      <c r="D465" s="379" t="s">
        <v>58</v>
      </c>
      <c r="E465" s="379" t="s">
        <v>1470</v>
      </c>
      <c r="F465" s="379">
        <v>0</v>
      </c>
      <c r="G465" s="379">
        <v>0</v>
      </c>
      <c r="I465" s="359">
        <f t="shared" si="7"/>
        <v>393</v>
      </c>
    </row>
    <row r="466" spans="1:9" ht="15" x14ac:dyDescent="0.25">
      <c r="A466" s="379"/>
      <c r="B466" s="379" t="s">
        <v>51</v>
      </c>
      <c r="C466" s="379" t="s">
        <v>785</v>
      </c>
      <c r="D466" s="379" t="s">
        <v>58</v>
      </c>
      <c r="E466" s="379" t="s">
        <v>1469</v>
      </c>
      <c r="F466" s="379">
        <v>0</v>
      </c>
      <c r="G466" s="379">
        <v>0</v>
      </c>
      <c r="I466" s="359">
        <f t="shared" si="7"/>
        <v>669</v>
      </c>
    </row>
    <row r="467" spans="1:9" ht="15" x14ac:dyDescent="0.25">
      <c r="A467" s="379"/>
      <c r="B467" s="379" t="s">
        <v>51</v>
      </c>
      <c r="C467" s="379" t="s">
        <v>786</v>
      </c>
      <c r="D467" s="379" t="s">
        <v>58</v>
      </c>
      <c r="E467" s="379" t="s">
        <v>1469</v>
      </c>
      <c r="F467" s="379">
        <v>0</v>
      </c>
      <c r="G467" s="379">
        <v>0</v>
      </c>
      <c r="I467" s="359">
        <f t="shared" si="7"/>
        <v>42</v>
      </c>
    </row>
    <row r="468" spans="1:9" ht="15" x14ac:dyDescent="0.25">
      <c r="A468" s="379"/>
      <c r="B468" s="379" t="s">
        <v>51</v>
      </c>
      <c r="C468" s="379" t="s">
        <v>787</v>
      </c>
      <c r="D468" s="379" t="s">
        <v>59</v>
      </c>
      <c r="E468" s="379" t="s">
        <v>1469</v>
      </c>
      <c r="F468" s="379">
        <v>0</v>
      </c>
      <c r="G468" s="379">
        <v>0</v>
      </c>
      <c r="I468" s="359">
        <f t="shared" si="7"/>
        <v>530</v>
      </c>
    </row>
    <row r="469" spans="1:9" ht="15" x14ac:dyDescent="0.25">
      <c r="A469" s="379"/>
      <c r="B469" s="379" t="s">
        <v>51</v>
      </c>
      <c r="C469" s="379" t="s">
        <v>788</v>
      </c>
      <c r="D469" s="379" t="s">
        <v>58</v>
      </c>
      <c r="E469" s="379" t="s">
        <v>1469</v>
      </c>
      <c r="F469" s="379">
        <v>0</v>
      </c>
      <c r="G469" s="379">
        <v>0</v>
      </c>
      <c r="I469" s="359">
        <f t="shared" si="7"/>
        <v>855</v>
      </c>
    </row>
    <row r="470" spans="1:9" ht="15" x14ac:dyDescent="0.25">
      <c r="A470" s="379"/>
      <c r="B470" s="379" t="s">
        <v>51</v>
      </c>
      <c r="C470" s="379" t="s">
        <v>789</v>
      </c>
      <c r="D470" s="379" t="s">
        <v>58</v>
      </c>
      <c r="E470" s="379" t="s">
        <v>1469</v>
      </c>
      <c r="F470" s="379">
        <v>0</v>
      </c>
      <c r="G470" s="379">
        <v>0</v>
      </c>
      <c r="I470" s="359">
        <f t="shared" si="7"/>
        <v>84</v>
      </c>
    </row>
    <row r="471" spans="1:9" ht="15" x14ac:dyDescent="0.25">
      <c r="A471" s="379"/>
      <c r="B471" s="379" t="s">
        <v>51</v>
      </c>
      <c r="C471" s="379" t="s">
        <v>790</v>
      </c>
      <c r="D471" s="379" t="s">
        <v>72</v>
      </c>
      <c r="E471" s="379" t="s">
        <v>1469</v>
      </c>
      <c r="F471" s="379">
        <v>0</v>
      </c>
      <c r="G471" s="379">
        <v>0</v>
      </c>
      <c r="I471" s="359">
        <f t="shared" si="7"/>
        <v>337</v>
      </c>
    </row>
    <row r="472" spans="1:9" ht="15" x14ac:dyDescent="0.25">
      <c r="A472" s="379"/>
      <c r="B472" s="379" t="s">
        <v>51</v>
      </c>
      <c r="C472" s="379" t="s">
        <v>791</v>
      </c>
      <c r="D472" s="379" t="s">
        <v>61</v>
      </c>
      <c r="E472" s="379" t="s">
        <v>1469</v>
      </c>
      <c r="F472" s="379">
        <v>0</v>
      </c>
      <c r="G472" s="379">
        <v>0</v>
      </c>
      <c r="I472" s="359">
        <f t="shared" si="7"/>
        <v>378</v>
      </c>
    </row>
    <row r="473" spans="1:9" ht="15" x14ac:dyDescent="0.25">
      <c r="A473" s="379"/>
      <c r="B473" s="379" t="s">
        <v>51</v>
      </c>
      <c r="C473" s="379" t="s">
        <v>792</v>
      </c>
      <c r="D473" s="379" t="s">
        <v>65</v>
      </c>
      <c r="E473" s="379" t="s">
        <v>1469</v>
      </c>
      <c r="F473" s="379">
        <v>0</v>
      </c>
      <c r="G473" s="379">
        <v>0</v>
      </c>
      <c r="I473" s="359">
        <f t="shared" si="7"/>
        <v>90</v>
      </c>
    </row>
    <row r="474" spans="1:9" ht="15" x14ac:dyDescent="0.25">
      <c r="A474" s="379"/>
      <c r="B474" s="379" t="s">
        <v>51</v>
      </c>
      <c r="C474" s="379" t="s">
        <v>793</v>
      </c>
      <c r="D474" s="379" t="s">
        <v>58</v>
      </c>
      <c r="E474" s="379" t="s">
        <v>1469</v>
      </c>
      <c r="F474" s="379">
        <v>0</v>
      </c>
      <c r="G474" s="379">
        <v>0</v>
      </c>
      <c r="I474" s="359">
        <f t="shared" si="7"/>
        <v>237</v>
      </c>
    </row>
    <row r="475" spans="1:9" ht="15" x14ac:dyDescent="0.25">
      <c r="A475" s="379"/>
      <c r="B475" s="379" t="s">
        <v>51</v>
      </c>
      <c r="C475" s="379" t="s">
        <v>794</v>
      </c>
      <c r="D475" s="379" t="s">
        <v>61</v>
      </c>
      <c r="E475" s="379" t="s">
        <v>1469</v>
      </c>
      <c r="F475" s="379">
        <v>0</v>
      </c>
      <c r="G475" s="379">
        <v>0</v>
      </c>
      <c r="I475" s="359">
        <f t="shared" si="7"/>
        <v>481</v>
      </c>
    </row>
    <row r="476" spans="1:9" ht="15" x14ac:dyDescent="0.25">
      <c r="A476" s="379"/>
      <c r="B476" s="379" t="s">
        <v>51</v>
      </c>
      <c r="C476" s="379" t="s">
        <v>1584</v>
      </c>
      <c r="D476" s="379" t="s">
        <v>61</v>
      </c>
      <c r="E476" s="379" t="s">
        <v>1469</v>
      </c>
      <c r="F476" s="379">
        <v>0</v>
      </c>
      <c r="G476" s="379">
        <v>0</v>
      </c>
      <c r="I476" s="359">
        <f t="shared" si="7"/>
        <v>717</v>
      </c>
    </row>
    <row r="477" spans="1:9" ht="15" x14ac:dyDescent="0.25">
      <c r="A477" s="379"/>
      <c r="B477" s="379" t="s">
        <v>51</v>
      </c>
      <c r="C477" s="379" t="s">
        <v>795</v>
      </c>
      <c r="D477" s="379" t="s">
        <v>59</v>
      </c>
      <c r="E477" s="379" t="s">
        <v>1469</v>
      </c>
      <c r="F477" s="379">
        <v>0</v>
      </c>
      <c r="G477" s="379">
        <v>0</v>
      </c>
      <c r="I477" s="359">
        <f t="shared" si="7"/>
        <v>4</v>
      </c>
    </row>
    <row r="478" spans="1:9" ht="15" x14ac:dyDescent="0.25">
      <c r="A478" s="379"/>
      <c r="B478" s="379" t="s">
        <v>51</v>
      </c>
      <c r="C478" s="379" t="s">
        <v>796</v>
      </c>
      <c r="D478" s="379" t="s">
        <v>59</v>
      </c>
      <c r="E478" s="379" t="s">
        <v>1469</v>
      </c>
      <c r="F478" s="379">
        <v>0</v>
      </c>
      <c r="G478" s="379">
        <v>0</v>
      </c>
      <c r="I478" s="359">
        <f t="shared" si="7"/>
        <v>222</v>
      </c>
    </row>
    <row r="479" spans="1:9" ht="15" x14ac:dyDescent="0.25">
      <c r="A479" s="379"/>
      <c r="B479" s="379" t="s">
        <v>51</v>
      </c>
      <c r="C479" s="379" t="s">
        <v>675</v>
      </c>
      <c r="D479" s="379" t="s">
        <v>59</v>
      </c>
      <c r="E479" s="379" t="s">
        <v>1469</v>
      </c>
      <c r="F479" s="379">
        <v>0</v>
      </c>
      <c r="G479" s="379">
        <v>0</v>
      </c>
      <c r="I479" s="359">
        <f t="shared" si="7"/>
        <v>152</v>
      </c>
    </row>
    <row r="480" spans="1:9" ht="15" x14ac:dyDescent="0.25">
      <c r="A480" s="379"/>
      <c r="B480" s="379" t="s">
        <v>51</v>
      </c>
      <c r="C480" s="379" t="s">
        <v>797</v>
      </c>
      <c r="D480" s="379" t="s">
        <v>59</v>
      </c>
      <c r="E480" s="379" t="s">
        <v>1469</v>
      </c>
      <c r="F480" s="379">
        <v>0</v>
      </c>
      <c r="G480" s="379">
        <v>0</v>
      </c>
      <c r="I480" s="359">
        <f t="shared" si="7"/>
        <v>255</v>
      </c>
    </row>
    <row r="481" spans="1:9" ht="15" x14ac:dyDescent="0.25">
      <c r="A481" s="379"/>
      <c r="B481" s="379" t="s">
        <v>51</v>
      </c>
      <c r="C481" s="379" t="s">
        <v>798</v>
      </c>
      <c r="D481" s="379" t="s">
        <v>58</v>
      </c>
      <c r="E481" s="379" t="s">
        <v>1469</v>
      </c>
      <c r="F481" s="379">
        <v>0</v>
      </c>
      <c r="G481" s="379">
        <v>0</v>
      </c>
      <c r="I481" s="359">
        <f t="shared" si="7"/>
        <v>961</v>
      </c>
    </row>
    <row r="482" spans="1:9" ht="15" x14ac:dyDescent="0.25">
      <c r="A482" s="379"/>
      <c r="B482" s="379" t="s">
        <v>51</v>
      </c>
      <c r="C482" s="379" t="s">
        <v>799</v>
      </c>
      <c r="D482" s="379" t="s">
        <v>58</v>
      </c>
      <c r="E482" s="379" t="s">
        <v>1469</v>
      </c>
      <c r="F482" s="379">
        <v>0</v>
      </c>
      <c r="G482" s="379">
        <v>0</v>
      </c>
      <c r="I482" s="359">
        <f t="shared" si="7"/>
        <v>12</v>
      </c>
    </row>
    <row r="483" spans="1:9" ht="15" x14ac:dyDescent="0.25">
      <c r="A483" s="379"/>
      <c r="B483" s="379" t="s">
        <v>51</v>
      </c>
      <c r="C483" s="379" t="s">
        <v>800</v>
      </c>
      <c r="D483" s="379" t="s">
        <v>67</v>
      </c>
      <c r="E483" s="379" t="s">
        <v>1469</v>
      </c>
      <c r="F483" s="379">
        <v>0</v>
      </c>
      <c r="G483" s="379">
        <v>0</v>
      </c>
      <c r="I483" s="359">
        <f t="shared" si="7"/>
        <v>262</v>
      </c>
    </row>
    <row r="484" spans="1:9" ht="15" x14ac:dyDescent="0.25">
      <c r="A484" s="379"/>
      <c r="B484" s="379" t="s">
        <v>51</v>
      </c>
      <c r="C484" s="379" t="s">
        <v>801</v>
      </c>
      <c r="D484" s="379" t="s">
        <v>58</v>
      </c>
      <c r="E484" s="379" t="s">
        <v>1469</v>
      </c>
      <c r="F484" s="379">
        <v>0</v>
      </c>
      <c r="G484" s="379">
        <v>0</v>
      </c>
      <c r="I484" s="359">
        <f t="shared" si="7"/>
        <v>280</v>
      </c>
    </row>
    <row r="485" spans="1:9" ht="15" x14ac:dyDescent="0.25">
      <c r="A485" s="379"/>
      <c r="B485" s="379" t="s">
        <v>51</v>
      </c>
      <c r="C485" s="379" t="s">
        <v>802</v>
      </c>
      <c r="D485" s="379" t="s">
        <v>59</v>
      </c>
      <c r="E485" s="379" t="s">
        <v>1469</v>
      </c>
      <c r="F485" s="379">
        <v>0</v>
      </c>
      <c r="G485" s="379">
        <v>0</v>
      </c>
      <c r="I485" s="359">
        <f t="shared" si="7"/>
        <v>483</v>
      </c>
    </row>
    <row r="486" spans="1:9" ht="15" x14ac:dyDescent="0.25">
      <c r="A486" s="379"/>
      <c r="B486" s="379" t="s">
        <v>51</v>
      </c>
      <c r="C486" s="379" t="s">
        <v>693</v>
      </c>
      <c r="D486" s="379" t="s">
        <v>61</v>
      </c>
      <c r="E486" s="379" t="s">
        <v>1469</v>
      </c>
      <c r="F486" s="379">
        <v>0</v>
      </c>
      <c r="G486" s="379">
        <v>0</v>
      </c>
      <c r="I486" s="359">
        <f t="shared" si="7"/>
        <v>422</v>
      </c>
    </row>
    <row r="487" spans="1:9" ht="15" x14ac:dyDescent="0.25">
      <c r="A487" s="379"/>
      <c r="B487" s="379" t="s">
        <v>51</v>
      </c>
      <c r="C487" s="379" t="s">
        <v>803</v>
      </c>
      <c r="D487" s="379" t="s">
        <v>58</v>
      </c>
      <c r="E487" s="379" t="s">
        <v>1469</v>
      </c>
      <c r="F487" s="379">
        <v>0</v>
      </c>
      <c r="G487" s="379">
        <v>0</v>
      </c>
      <c r="I487" s="359">
        <f t="shared" si="7"/>
        <v>407</v>
      </c>
    </row>
    <row r="488" spans="1:9" ht="15" x14ac:dyDescent="0.25">
      <c r="A488" s="379"/>
      <c r="B488" s="379" t="s">
        <v>51</v>
      </c>
      <c r="C488" s="379" t="s">
        <v>804</v>
      </c>
      <c r="D488" s="379" t="s">
        <v>61</v>
      </c>
      <c r="E488" s="379" t="s">
        <v>1469</v>
      </c>
      <c r="F488" s="379">
        <v>0</v>
      </c>
      <c r="G488" s="379">
        <v>0</v>
      </c>
      <c r="I488" s="359">
        <f t="shared" si="7"/>
        <v>106</v>
      </c>
    </row>
    <row r="489" spans="1:9" ht="15" x14ac:dyDescent="0.25">
      <c r="A489" s="379"/>
      <c r="B489" s="379" t="s">
        <v>51</v>
      </c>
      <c r="C489" s="379" t="s">
        <v>805</v>
      </c>
      <c r="D489" s="379" t="s">
        <v>59</v>
      </c>
      <c r="E489" s="379" t="s">
        <v>1469</v>
      </c>
      <c r="F489" s="379">
        <v>0</v>
      </c>
      <c r="G489" s="379">
        <v>0</v>
      </c>
      <c r="I489" s="359">
        <f t="shared" si="7"/>
        <v>151</v>
      </c>
    </row>
    <row r="490" spans="1:9" ht="15" x14ac:dyDescent="0.25">
      <c r="A490" s="379"/>
      <c r="B490" s="379" t="s">
        <v>51</v>
      </c>
      <c r="C490" s="379" t="s">
        <v>806</v>
      </c>
      <c r="D490" s="379" t="s">
        <v>58</v>
      </c>
      <c r="E490" s="379" t="s">
        <v>1469</v>
      </c>
      <c r="F490" s="379">
        <v>0</v>
      </c>
      <c r="G490" s="379">
        <v>0</v>
      </c>
      <c r="I490" s="359">
        <f t="shared" si="7"/>
        <v>879</v>
      </c>
    </row>
    <row r="491" spans="1:9" ht="15" x14ac:dyDescent="0.25">
      <c r="A491" s="379"/>
      <c r="B491" s="379">
        <v>252</v>
      </c>
      <c r="C491" s="379" t="s">
        <v>570</v>
      </c>
      <c r="D491" s="379" t="s">
        <v>62</v>
      </c>
      <c r="E491" s="379" t="s">
        <v>1469</v>
      </c>
      <c r="F491" s="379">
        <v>0</v>
      </c>
      <c r="G491" s="379">
        <v>0</v>
      </c>
      <c r="I491" s="359">
        <f t="shared" si="7"/>
        <v>712</v>
      </c>
    </row>
    <row r="492" spans="1:9" ht="15" x14ac:dyDescent="0.25">
      <c r="A492" s="379"/>
      <c r="B492" s="379" t="s">
        <v>51</v>
      </c>
      <c r="C492" s="379" t="s">
        <v>807</v>
      </c>
      <c r="D492" s="379" t="s">
        <v>59</v>
      </c>
      <c r="E492" s="379" t="s">
        <v>1470</v>
      </c>
      <c r="F492" s="379">
        <v>0</v>
      </c>
      <c r="G492" s="379">
        <v>0</v>
      </c>
      <c r="I492" s="359">
        <f t="shared" si="7"/>
        <v>841</v>
      </c>
    </row>
    <row r="493" spans="1:9" ht="15" x14ac:dyDescent="0.25">
      <c r="A493" s="379"/>
      <c r="B493" s="379" t="s">
        <v>51</v>
      </c>
      <c r="C493" s="379" t="s">
        <v>808</v>
      </c>
      <c r="D493" s="379" t="s">
        <v>58</v>
      </c>
      <c r="E493" s="379" t="s">
        <v>1470</v>
      </c>
      <c r="F493" s="379">
        <v>0</v>
      </c>
      <c r="G493" s="379">
        <v>0</v>
      </c>
      <c r="I493" s="359">
        <f t="shared" si="7"/>
        <v>78</v>
      </c>
    </row>
    <row r="494" spans="1:9" ht="15" x14ac:dyDescent="0.25">
      <c r="A494" s="379"/>
      <c r="B494" s="379" t="s">
        <v>51</v>
      </c>
      <c r="C494" s="379" t="s">
        <v>809</v>
      </c>
      <c r="D494" s="379" t="s">
        <v>58</v>
      </c>
      <c r="E494" s="379" t="s">
        <v>1470</v>
      </c>
      <c r="F494" s="379">
        <v>0</v>
      </c>
      <c r="G494" s="379">
        <v>0</v>
      </c>
      <c r="I494" s="359">
        <f t="shared" si="7"/>
        <v>142</v>
      </c>
    </row>
    <row r="495" spans="1:9" ht="15" x14ac:dyDescent="0.25">
      <c r="A495" s="379"/>
      <c r="B495" s="379" t="s">
        <v>51</v>
      </c>
      <c r="C495" s="379" t="s">
        <v>810</v>
      </c>
      <c r="D495" s="379" t="s">
        <v>63</v>
      </c>
      <c r="E495" s="379" t="s">
        <v>1469</v>
      </c>
      <c r="F495" s="379">
        <v>0</v>
      </c>
      <c r="G495" s="379">
        <v>0</v>
      </c>
      <c r="I495" s="359">
        <f t="shared" si="7"/>
        <v>502</v>
      </c>
    </row>
    <row r="496" spans="1:9" ht="15" x14ac:dyDescent="0.25">
      <c r="A496" s="379"/>
      <c r="B496" s="379" t="s">
        <v>51</v>
      </c>
      <c r="C496" s="379" t="s">
        <v>811</v>
      </c>
      <c r="D496" s="379" t="s">
        <v>59</v>
      </c>
      <c r="E496" s="379" t="s">
        <v>1469</v>
      </c>
      <c r="F496" s="379">
        <v>0</v>
      </c>
      <c r="G496" s="379">
        <v>0</v>
      </c>
      <c r="I496" s="359">
        <f t="shared" si="7"/>
        <v>193</v>
      </c>
    </row>
    <row r="497" spans="1:9" ht="15" x14ac:dyDescent="0.25">
      <c r="A497" s="379"/>
      <c r="B497" s="379" t="s">
        <v>51</v>
      </c>
      <c r="C497" s="379" t="s">
        <v>812</v>
      </c>
      <c r="D497" s="379" t="s">
        <v>63</v>
      </c>
      <c r="E497" s="379" t="s">
        <v>1469</v>
      </c>
      <c r="F497" s="379">
        <v>0</v>
      </c>
      <c r="G497" s="379">
        <v>0</v>
      </c>
      <c r="I497" s="359">
        <f t="shared" si="7"/>
        <v>708</v>
      </c>
    </row>
    <row r="498" spans="1:9" ht="15" x14ac:dyDescent="0.25">
      <c r="A498" s="379"/>
      <c r="B498" s="379" t="s">
        <v>51</v>
      </c>
      <c r="C498" s="379" t="s">
        <v>700</v>
      </c>
      <c r="D498" s="379" t="s">
        <v>58</v>
      </c>
      <c r="E498" s="379" t="s">
        <v>1470</v>
      </c>
      <c r="F498" s="379">
        <v>0</v>
      </c>
      <c r="G498" s="379">
        <v>0</v>
      </c>
      <c r="I498" s="359">
        <f t="shared" si="7"/>
        <v>625</v>
      </c>
    </row>
    <row r="499" spans="1:9" ht="15" x14ac:dyDescent="0.25">
      <c r="A499" s="379"/>
      <c r="B499" s="379" t="s">
        <v>51</v>
      </c>
      <c r="C499" s="379" t="s">
        <v>813</v>
      </c>
      <c r="D499" s="379" t="s">
        <v>58</v>
      </c>
      <c r="E499" s="379" t="s">
        <v>1469</v>
      </c>
      <c r="F499" s="379">
        <v>0</v>
      </c>
      <c r="G499" s="379">
        <v>0</v>
      </c>
      <c r="I499" s="359">
        <f t="shared" si="7"/>
        <v>238</v>
      </c>
    </row>
    <row r="500" spans="1:9" ht="15" x14ac:dyDescent="0.25">
      <c r="A500" s="379"/>
      <c r="B500" s="379" t="s">
        <v>51</v>
      </c>
      <c r="C500" s="379" t="s">
        <v>814</v>
      </c>
      <c r="D500" s="379" t="s">
        <v>59</v>
      </c>
      <c r="E500" s="379" t="s">
        <v>1469</v>
      </c>
      <c r="F500" s="379">
        <v>0</v>
      </c>
      <c r="G500" s="379">
        <v>0</v>
      </c>
      <c r="I500" s="359">
        <f t="shared" si="7"/>
        <v>969</v>
      </c>
    </row>
    <row r="501" spans="1:9" ht="15" x14ac:dyDescent="0.25">
      <c r="A501" s="379"/>
      <c r="B501" s="379" t="s">
        <v>51</v>
      </c>
      <c r="C501" s="379" t="s">
        <v>815</v>
      </c>
      <c r="D501" s="379" t="s">
        <v>59</v>
      </c>
      <c r="E501" s="379" t="s">
        <v>1469</v>
      </c>
      <c r="F501" s="379">
        <v>0</v>
      </c>
      <c r="G501" s="379">
        <v>0</v>
      </c>
      <c r="I501" s="359">
        <f t="shared" si="7"/>
        <v>128</v>
      </c>
    </row>
    <row r="502" spans="1:9" ht="15" x14ac:dyDescent="0.25">
      <c r="A502" s="379"/>
      <c r="B502" s="379" t="s">
        <v>51</v>
      </c>
      <c r="C502" s="379" t="s">
        <v>816</v>
      </c>
      <c r="D502" s="379" t="s">
        <v>59</v>
      </c>
      <c r="E502" s="379" t="s">
        <v>1469</v>
      </c>
      <c r="F502" s="379">
        <v>0</v>
      </c>
      <c r="G502" s="379">
        <v>0</v>
      </c>
      <c r="I502" s="359">
        <f t="shared" si="7"/>
        <v>246</v>
      </c>
    </row>
    <row r="503" spans="1:9" ht="15" x14ac:dyDescent="0.25">
      <c r="A503" s="379"/>
      <c r="B503" s="379" t="s">
        <v>51</v>
      </c>
      <c r="C503" s="379" t="s">
        <v>817</v>
      </c>
      <c r="D503" s="379" t="s">
        <v>191</v>
      </c>
      <c r="E503" s="379" t="s">
        <v>1469</v>
      </c>
      <c r="F503" s="379">
        <v>0</v>
      </c>
      <c r="G503" s="379">
        <v>0</v>
      </c>
      <c r="I503" s="359">
        <f t="shared" si="7"/>
        <v>936</v>
      </c>
    </row>
    <row r="504" spans="1:9" ht="15" x14ac:dyDescent="0.25">
      <c r="A504" s="379"/>
      <c r="B504" s="379" t="s">
        <v>51</v>
      </c>
      <c r="C504" s="379" t="s">
        <v>760</v>
      </c>
      <c r="D504" s="379" t="s">
        <v>59</v>
      </c>
      <c r="E504" s="379" t="s">
        <v>1469</v>
      </c>
      <c r="F504" s="379">
        <v>0</v>
      </c>
      <c r="G504" s="379">
        <v>0</v>
      </c>
      <c r="I504" s="359">
        <f t="shared" si="7"/>
        <v>132</v>
      </c>
    </row>
    <row r="505" spans="1:9" ht="15" x14ac:dyDescent="0.25">
      <c r="A505" s="379"/>
      <c r="B505" s="379" t="s">
        <v>51</v>
      </c>
      <c r="C505" s="379" t="s">
        <v>818</v>
      </c>
      <c r="D505" s="379" t="s">
        <v>59</v>
      </c>
      <c r="E505" s="379" t="s">
        <v>1469</v>
      </c>
      <c r="F505" s="379">
        <v>0</v>
      </c>
      <c r="G505" s="379">
        <v>0</v>
      </c>
      <c r="I505" s="359">
        <f t="shared" si="7"/>
        <v>804</v>
      </c>
    </row>
    <row r="506" spans="1:9" ht="15" x14ac:dyDescent="0.25">
      <c r="A506" s="379"/>
      <c r="B506" s="379" t="s">
        <v>51</v>
      </c>
      <c r="C506" s="379" t="s">
        <v>1221</v>
      </c>
      <c r="D506" s="379" t="s">
        <v>61</v>
      </c>
      <c r="E506" s="379" t="s">
        <v>1469</v>
      </c>
      <c r="F506" s="379">
        <v>0</v>
      </c>
      <c r="G506" s="379">
        <v>0</v>
      </c>
      <c r="I506" s="359">
        <f t="shared" si="7"/>
        <v>60</v>
      </c>
    </row>
    <row r="507" spans="1:9" ht="15" x14ac:dyDescent="0.25">
      <c r="A507" s="379"/>
      <c r="B507" s="379" t="s">
        <v>51</v>
      </c>
      <c r="C507" s="379" t="s">
        <v>819</v>
      </c>
      <c r="D507" s="379" t="s">
        <v>61</v>
      </c>
      <c r="E507" s="379" t="s">
        <v>1469</v>
      </c>
      <c r="F507" s="379">
        <v>0</v>
      </c>
      <c r="G507" s="379">
        <v>0</v>
      </c>
      <c r="I507" s="359">
        <f t="shared" si="7"/>
        <v>581</v>
      </c>
    </row>
    <row r="508" spans="1:9" ht="15" x14ac:dyDescent="0.25">
      <c r="A508" s="379"/>
      <c r="B508" s="379" t="s">
        <v>51</v>
      </c>
      <c r="C508" s="379" t="s">
        <v>820</v>
      </c>
      <c r="D508" s="379" t="s">
        <v>61</v>
      </c>
      <c r="E508" s="379" t="s">
        <v>1469</v>
      </c>
      <c r="F508" s="379">
        <v>0</v>
      </c>
      <c r="G508" s="379">
        <v>0</v>
      </c>
      <c r="I508" s="359">
        <f t="shared" si="7"/>
        <v>975</v>
      </c>
    </row>
    <row r="509" spans="1:9" ht="15" x14ac:dyDescent="0.25">
      <c r="A509" s="379"/>
      <c r="B509" s="379" t="s">
        <v>51</v>
      </c>
      <c r="C509" s="379" t="s">
        <v>821</v>
      </c>
      <c r="D509" s="379" t="s">
        <v>59</v>
      </c>
      <c r="E509" s="379" t="s">
        <v>1469</v>
      </c>
      <c r="F509" s="379">
        <v>0</v>
      </c>
      <c r="G509" s="379">
        <v>0</v>
      </c>
      <c r="I509" s="359">
        <f t="shared" si="7"/>
        <v>223</v>
      </c>
    </row>
    <row r="510" spans="1:9" ht="15" x14ac:dyDescent="0.25">
      <c r="A510" s="379"/>
      <c r="B510" s="379" t="s">
        <v>51</v>
      </c>
      <c r="C510" s="379" t="s">
        <v>822</v>
      </c>
      <c r="D510" s="379" t="s">
        <v>59</v>
      </c>
      <c r="E510" s="379" t="s">
        <v>1470</v>
      </c>
      <c r="F510" s="379">
        <v>0</v>
      </c>
      <c r="G510" s="379">
        <v>0</v>
      </c>
      <c r="I510" s="359">
        <f t="shared" si="7"/>
        <v>375</v>
      </c>
    </row>
    <row r="511" spans="1:9" ht="15" x14ac:dyDescent="0.25">
      <c r="A511" s="379"/>
      <c r="B511" s="379" t="s">
        <v>51</v>
      </c>
      <c r="C511" s="379" t="s">
        <v>823</v>
      </c>
      <c r="D511" s="379" t="s">
        <v>59</v>
      </c>
      <c r="E511" s="379" t="s">
        <v>1470</v>
      </c>
      <c r="F511" s="379">
        <v>0</v>
      </c>
      <c r="G511" s="379">
        <v>0</v>
      </c>
      <c r="I511" s="359">
        <f t="shared" si="7"/>
        <v>914</v>
      </c>
    </row>
    <row r="512" spans="1:9" ht="15" x14ac:dyDescent="0.25">
      <c r="A512" s="379"/>
      <c r="B512" s="379" t="s">
        <v>51</v>
      </c>
      <c r="C512" s="379" t="s">
        <v>824</v>
      </c>
      <c r="D512" s="379" t="s">
        <v>59</v>
      </c>
      <c r="E512" s="379" t="s">
        <v>1469</v>
      </c>
      <c r="F512" s="379">
        <v>0</v>
      </c>
      <c r="G512" s="379">
        <v>0</v>
      </c>
      <c r="I512" s="359">
        <f t="shared" si="7"/>
        <v>224</v>
      </c>
    </row>
    <row r="513" spans="1:9" ht="15" x14ac:dyDescent="0.25">
      <c r="A513" s="379"/>
      <c r="B513" s="379" t="s">
        <v>51</v>
      </c>
      <c r="C513" s="379" t="s">
        <v>825</v>
      </c>
      <c r="D513" s="379" t="s">
        <v>59</v>
      </c>
      <c r="E513" s="379" t="s">
        <v>1469</v>
      </c>
      <c r="F513" s="379">
        <v>0</v>
      </c>
      <c r="G513" s="379">
        <v>0</v>
      </c>
      <c r="I513" s="359">
        <f t="shared" si="7"/>
        <v>93</v>
      </c>
    </row>
    <row r="514" spans="1:9" ht="15" x14ac:dyDescent="0.25">
      <c r="A514" s="379"/>
      <c r="B514" s="379" t="s">
        <v>51</v>
      </c>
      <c r="C514" s="379" t="s">
        <v>826</v>
      </c>
      <c r="D514" s="379" t="s">
        <v>58</v>
      </c>
      <c r="E514" s="379" t="s">
        <v>1469</v>
      </c>
      <c r="F514" s="379">
        <v>0</v>
      </c>
      <c r="G514" s="379">
        <v>0</v>
      </c>
      <c r="I514" s="359">
        <f t="shared" si="7"/>
        <v>316</v>
      </c>
    </row>
    <row r="515" spans="1:9" ht="15" x14ac:dyDescent="0.25">
      <c r="A515" s="379"/>
      <c r="B515" s="379" t="s">
        <v>51</v>
      </c>
      <c r="C515" s="379" t="s">
        <v>827</v>
      </c>
      <c r="D515" s="379" t="s">
        <v>58</v>
      </c>
      <c r="E515" s="379" t="s">
        <v>1469</v>
      </c>
      <c r="F515" s="379">
        <v>0</v>
      </c>
      <c r="G515" s="379">
        <v>0</v>
      </c>
      <c r="I515" s="359">
        <f t="shared" ref="I515:I578" si="8">SUMPRODUCT((C$2:C$1000 &lt; C515)+(C515="")*1000)</f>
        <v>794</v>
      </c>
    </row>
    <row r="516" spans="1:9" ht="15" x14ac:dyDescent="0.25">
      <c r="A516" s="379"/>
      <c r="B516" s="379" t="s">
        <v>51</v>
      </c>
      <c r="C516" s="379" t="s">
        <v>1222</v>
      </c>
      <c r="D516" s="379" t="s">
        <v>59</v>
      </c>
      <c r="E516" s="379" t="s">
        <v>1470</v>
      </c>
      <c r="F516" s="379">
        <v>0</v>
      </c>
      <c r="G516" s="379">
        <v>0</v>
      </c>
      <c r="I516" s="359">
        <f t="shared" si="8"/>
        <v>561</v>
      </c>
    </row>
    <row r="517" spans="1:9" ht="15" x14ac:dyDescent="0.25">
      <c r="A517" s="379"/>
      <c r="B517" s="379" t="s">
        <v>51</v>
      </c>
      <c r="C517" s="379" t="s">
        <v>829</v>
      </c>
      <c r="D517" s="379" t="s">
        <v>58</v>
      </c>
      <c r="E517" s="379" t="s">
        <v>1469</v>
      </c>
      <c r="F517" s="379">
        <v>0</v>
      </c>
      <c r="G517" s="379">
        <v>0</v>
      </c>
      <c r="I517" s="359">
        <f t="shared" si="8"/>
        <v>731</v>
      </c>
    </row>
    <row r="518" spans="1:9" ht="15" x14ac:dyDescent="0.25">
      <c r="A518" s="379"/>
      <c r="B518" s="379" t="s">
        <v>51</v>
      </c>
      <c r="C518" s="379" t="s">
        <v>830</v>
      </c>
      <c r="D518" s="379" t="s">
        <v>58</v>
      </c>
      <c r="E518" s="379" t="s">
        <v>1469</v>
      </c>
      <c r="F518" s="379">
        <v>0</v>
      </c>
      <c r="G518" s="379">
        <v>0</v>
      </c>
      <c r="I518" s="359">
        <f t="shared" si="8"/>
        <v>880</v>
      </c>
    </row>
    <row r="519" spans="1:9" ht="15" x14ac:dyDescent="0.25">
      <c r="A519" s="379"/>
      <c r="B519" s="379" t="s">
        <v>51</v>
      </c>
      <c r="C519" s="379" t="s">
        <v>831</v>
      </c>
      <c r="D519" s="379" t="s">
        <v>62</v>
      </c>
      <c r="E519" s="379" t="s">
        <v>1469</v>
      </c>
      <c r="F519" s="379">
        <v>0</v>
      </c>
      <c r="G519" s="379">
        <v>0</v>
      </c>
      <c r="I519" s="359">
        <f t="shared" si="8"/>
        <v>850</v>
      </c>
    </row>
    <row r="520" spans="1:9" ht="15" x14ac:dyDescent="0.25">
      <c r="A520" s="379"/>
      <c r="B520" s="379" t="s">
        <v>51</v>
      </c>
      <c r="C520" s="379" t="s">
        <v>832</v>
      </c>
      <c r="D520" s="379" t="s">
        <v>61</v>
      </c>
      <c r="E520" s="379" t="s">
        <v>1470</v>
      </c>
      <c r="F520" s="379">
        <v>0</v>
      </c>
      <c r="G520" s="379">
        <v>0</v>
      </c>
      <c r="I520" s="359">
        <f t="shared" si="8"/>
        <v>833</v>
      </c>
    </row>
    <row r="521" spans="1:9" ht="15" x14ac:dyDescent="0.25">
      <c r="A521" s="379"/>
      <c r="B521" s="379" t="s">
        <v>51</v>
      </c>
      <c r="C521" s="379" t="s">
        <v>1295</v>
      </c>
      <c r="D521" s="379" t="s">
        <v>61</v>
      </c>
      <c r="E521" s="379" t="s">
        <v>1470</v>
      </c>
      <c r="F521" s="379">
        <v>0</v>
      </c>
      <c r="G521" s="379">
        <v>0</v>
      </c>
      <c r="I521" s="359">
        <f t="shared" si="8"/>
        <v>520</v>
      </c>
    </row>
    <row r="522" spans="1:9" ht="15" x14ac:dyDescent="0.25">
      <c r="A522" s="379"/>
      <c r="B522" s="379" t="s">
        <v>51</v>
      </c>
      <c r="C522" s="379" t="s">
        <v>659</v>
      </c>
      <c r="D522" s="379" t="s">
        <v>59</v>
      </c>
      <c r="E522" s="379" t="s">
        <v>1469</v>
      </c>
      <c r="F522" s="379">
        <v>0</v>
      </c>
      <c r="G522" s="379">
        <v>0</v>
      </c>
      <c r="I522" s="359">
        <f t="shared" si="8"/>
        <v>739</v>
      </c>
    </row>
    <row r="523" spans="1:9" ht="15" x14ac:dyDescent="0.25">
      <c r="A523" s="379"/>
      <c r="B523" s="379" t="s">
        <v>51</v>
      </c>
      <c r="C523" s="379" t="s">
        <v>833</v>
      </c>
      <c r="D523" s="379" t="s">
        <v>59</v>
      </c>
      <c r="E523" s="379" t="s">
        <v>1470</v>
      </c>
      <c r="F523" s="379">
        <v>0</v>
      </c>
      <c r="G523" s="379">
        <v>0</v>
      </c>
      <c r="I523" s="359">
        <f t="shared" si="8"/>
        <v>912</v>
      </c>
    </row>
    <row r="524" spans="1:9" ht="15" x14ac:dyDescent="0.25">
      <c r="A524" s="379"/>
      <c r="B524" s="379" t="s">
        <v>51</v>
      </c>
      <c r="C524" s="379" t="s">
        <v>834</v>
      </c>
      <c r="D524" s="379" t="s">
        <v>59</v>
      </c>
      <c r="E524" s="379" t="s">
        <v>1469</v>
      </c>
      <c r="F524" s="379">
        <v>0</v>
      </c>
      <c r="G524" s="379">
        <v>0</v>
      </c>
      <c r="I524" s="359">
        <f t="shared" si="8"/>
        <v>644</v>
      </c>
    </row>
    <row r="525" spans="1:9" ht="15" x14ac:dyDescent="0.25">
      <c r="A525" s="379"/>
      <c r="B525" s="379" t="s">
        <v>51</v>
      </c>
      <c r="C525" s="379" t="s">
        <v>1255</v>
      </c>
      <c r="D525" s="379" t="s">
        <v>61</v>
      </c>
      <c r="E525" s="379" t="s">
        <v>1469</v>
      </c>
      <c r="F525" s="379">
        <v>0</v>
      </c>
      <c r="G525" s="379">
        <v>0</v>
      </c>
      <c r="I525" s="359">
        <f t="shared" si="8"/>
        <v>808</v>
      </c>
    </row>
    <row r="526" spans="1:9" ht="15" x14ac:dyDescent="0.25">
      <c r="A526" s="379"/>
      <c r="B526" s="379" t="s">
        <v>51</v>
      </c>
      <c r="C526" s="379" t="s">
        <v>555</v>
      </c>
      <c r="D526" s="379" t="s">
        <v>61</v>
      </c>
      <c r="E526" s="379" t="s">
        <v>1469</v>
      </c>
      <c r="F526" s="379">
        <v>0</v>
      </c>
      <c r="G526" s="379">
        <v>0</v>
      </c>
      <c r="I526" s="359">
        <f t="shared" si="8"/>
        <v>127</v>
      </c>
    </row>
    <row r="527" spans="1:9" ht="15" x14ac:dyDescent="0.25">
      <c r="A527" s="379"/>
      <c r="B527" s="379" t="s">
        <v>51</v>
      </c>
      <c r="C527" s="379" t="s">
        <v>836</v>
      </c>
      <c r="D527" s="379" t="s">
        <v>59</v>
      </c>
      <c r="E527" s="379" t="s">
        <v>1469</v>
      </c>
      <c r="F527" s="379">
        <v>0</v>
      </c>
      <c r="G527" s="379">
        <v>0</v>
      </c>
      <c r="I527" s="359">
        <f t="shared" si="8"/>
        <v>845</v>
      </c>
    </row>
    <row r="528" spans="1:9" ht="15" x14ac:dyDescent="0.25">
      <c r="A528" s="379"/>
      <c r="B528" s="379" t="s">
        <v>51</v>
      </c>
      <c r="C528" s="379" t="s">
        <v>837</v>
      </c>
      <c r="D528" s="379" t="s">
        <v>64</v>
      </c>
      <c r="E528" s="379" t="s">
        <v>1470</v>
      </c>
      <c r="F528" s="379">
        <v>0</v>
      </c>
      <c r="G528" s="379">
        <v>0</v>
      </c>
      <c r="I528" s="359">
        <f t="shared" si="8"/>
        <v>551</v>
      </c>
    </row>
    <row r="529" spans="1:9" ht="15" x14ac:dyDescent="0.25">
      <c r="A529" s="379"/>
      <c r="B529" s="379" t="s">
        <v>51</v>
      </c>
      <c r="C529" s="379" t="s">
        <v>679</v>
      </c>
      <c r="D529" s="379" t="s">
        <v>75</v>
      </c>
      <c r="E529" s="379" t="s">
        <v>1469</v>
      </c>
      <c r="F529" s="379">
        <v>0</v>
      </c>
      <c r="G529" s="379">
        <v>0</v>
      </c>
      <c r="I529" s="359">
        <f t="shared" si="8"/>
        <v>519</v>
      </c>
    </row>
    <row r="530" spans="1:9" ht="15" x14ac:dyDescent="0.25">
      <c r="A530" s="379"/>
      <c r="B530" s="379" t="s">
        <v>51</v>
      </c>
      <c r="C530" s="379" t="s">
        <v>639</v>
      </c>
      <c r="D530" s="379" t="s">
        <v>58</v>
      </c>
      <c r="E530" s="379" t="s">
        <v>1469</v>
      </c>
      <c r="F530" s="379">
        <v>0</v>
      </c>
      <c r="G530" s="379">
        <v>0</v>
      </c>
      <c r="I530" s="359">
        <f t="shared" si="8"/>
        <v>720</v>
      </c>
    </row>
    <row r="531" spans="1:9" ht="15" x14ac:dyDescent="0.25">
      <c r="A531" s="379"/>
      <c r="B531" s="379" t="s">
        <v>51</v>
      </c>
      <c r="C531" s="379" t="s">
        <v>838</v>
      </c>
      <c r="D531" s="379" t="s">
        <v>59</v>
      </c>
      <c r="E531" s="379" t="s">
        <v>1470</v>
      </c>
      <c r="F531" s="379">
        <v>0</v>
      </c>
      <c r="G531" s="379">
        <v>0</v>
      </c>
      <c r="I531" s="359">
        <f t="shared" si="8"/>
        <v>36</v>
      </c>
    </row>
    <row r="532" spans="1:9" ht="15" x14ac:dyDescent="0.25">
      <c r="A532" s="379"/>
      <c r="B532" s="379" t="s">
        <v>51</v>
      </c>
      <c r="C532" s="379" t="s">
        <v>714</v>
      </c>
      <c r="D532" s="379" t="s">
        <v>73</v>
      </c>
      <c r="E532" s="379" t="s">
        <v>1469</v>
      </c>
      <c r="F532" s="379">
        <v>0</v>
      </c>
      <c r="G532" s="379">
        <v>0</v>
      </c>
      <c r="I532" s="359">
        <f t="shared" si="8"/>
        <v>836</v>
      </c>
    </row>
    <row r="533" spans="1:9" ht="15" x14ac:dyDescent="0.25">
      <c r="A533" s="379"/>
      <c r="B533" s="379" t="s">
        <v>51</v>
      </c>
      <c r="C533" s="379" t="s">
        <v>839</v>
      </c>
      <c r="D533" s="379" t="s">
        <v>58</v>
      </c>
      <c r="E533" s="379" t="s">
        <v>1470</v>
      </c>
      <c r="F533" s="379">
        <v>0</v>
      </c>
      <c r="G533" s="379">
        <v>0</v>
      </c>
      <c r="I533" s="359">
        <f t="shared" si="8"/>
        <v>394</v>
      </c>
    </row>
    <row r="534" spans="1:9" ht="15" x14ac:dyDescent="0.25">
      <c r="A534" s="379"/>
      <c r="B534" s="379" t="s">
        <v>51</v>
      </c>
      <c r="C534" s="379" t="s">
        <v>840</v>
      </c>
      <c r="D534" s="379" t="s">
        <v>58</v>
      </c>
      <c r="E534" s="379" t="s">
        <v>1469</v>
      </c>
      <c r="F534" s="379">
        <v>0</v>
      </c>
      <c r="G534" s="379">
        <v>0</v>
      </c>
      <c r="I534" s="359">
        <f t="shared" si="8"/>
        <v>85</v>
      </c>
    </row>
    <row r="535" spans="1:9" ht="15" x14ac:dyDescent="0.25">
      <c r="A535" s="379"/>
      <c r="B535" s="379" t="s">
        <v>51</v>
      </c>
      <c r="C535" s="379" t="s">
        <v>841</v>
      </c>
      <c r="D535" s="379" t="s">
        <v>59</v>
      </c>
      <c r="E535" s="379" t="s">
        <v>1469</v>
      </c>
      <c r="F535" s="379">
        <v>0</v>
      </c>
      <c r="G535" s="379">
        <v>0</v>
      </c>
      <c r="I535" s="359">
        <f t="shared" si="8"/>
        <v>762</v>
      </c>
    </row>
    <row r="536" spans="1:9" ht="15" x14ac:dyDescent="0.25">
      <c r="A536" s="379"/>
      <c r="B536" s="379" t="s">
        <v>51</v>
      </c>
      <c r="C536" s="379" t="s">
        <v>715</v>
      </c>
      <c r="D536" s="379" t="s">
        <v>73</v>
      </c>
      <c r="E536" s="379" t="s">
        <v>1469</v>
      </c>
      <c r="F536" s="379">
        <v>0</v>
      </c>
      <c r="G536" s="379">
        <v>0</v>
      </c>
      <c r="I536" s="359">
        <f t="shared" si="8"/>
        <v>851</v>
      </c>
    </row>
    <row r="537" spans="1:9" ht="15" x14ac:dyDescent="0.25">
      <c r="A537" s="379"/>
      <c r="B537" s="379" t="s">
        <v>51</v>
      </c>
      <c r="C537" s="379" t="s">
        <v>842</v>
      </c>
      <c r="D537" s="379" t="s">
        <v>58</v>
      </c>
      <c r="E537" s="379" t="s">
        <v>1470</v>
      </c>
      <c r="F537" s="379">
        <v>0</v>
      </c>
      <c r="G537" s="379">
        <v>0</v>
      </c>
      <c r="I537" s="359">
        <f t="shared" si="8"/>
        <v>858</v>
      </c>
    </row>
    <row r="538" spans="1:9" ht="15" x14ac:dyDescent="0.25">
      <c r="A538" s="379"/>
      <c r="B538" s="379" t="s">
        <v>51</v>
      </c>
      <c r="C538" s="379" t="s">
        <v>843</v>
      </c>
      <c r="D538" s="379" t="s">
        <v>58</v>
      </c>
      <c r="E538" s="379" t="s">
        <v>1469</v>
      </c>
      <c r="F538" s="379">
        <v>0</v>
      </c>
      <c r="G538" s="379">
        <v>0</v>
      </c>
      <c r="I538" s="359">
        <f t="shared" si="8"/>
        <v>680</v>
      </c>
    </row>
    <row r="539" spans="1:9" ht="15" x14ac:dyDescent="0.25">
      <c r="A539" s="379"/>
      <c r="B539" s="379" t="s">
        <v>51</v>
      </c>
      <c r="C539" s="379" t="s">
        <v>844</v>
      </c>
      <c r="D539" s="379" t="s">
        <v>58</v>
      </c>
      <c r="E539" s="379" t="s">
        <v>1469</v>
      </c>
      <c r="F539" s="379">
        <v>0</v>
      </c>
      <c r="G539" s="379">
        <v>0</v>
      </c>
      <c r="I539" s="359">
        <f t="shared" si="8"/>
        <v>319</v>
      </c>
    </row>
    <row r="540" spans="1:9" ht="15" x14ac:dyDescent="0.25">
      <c r="A540" s="379"/>
      <c r="B540" s="379" t="s">
        <v>51</v>
      </c>
      <c r="C540" s="379" t="s">
        <v>845</v>
      </c>
      <c r="D540" s="379" t="s">
        <v>58</v>
      </c>
      <c r="E540" s="379" t="s">
        <v>1470</v>
      </c>
      <c r="F540" s="379">
        <v>0</v>
      </c>
      <c r="G540" s="379">
        <v>0</v>
      </c>
      <c r="I540" s="359">
        <f t="shared" si="8"/>
        <v>245</v>
      </c>
    </row>
    <row r="541" spans="1:9" ht="15" x14ac:dyDescent="0.25">
      <c r="A541" s="379"/>
      <c r="B541" s="379" t="s">
        <v>51</v>
      </c>
      <c r="C541" s="379" t="s">
        <v>654</v>
      </c>
      <c r="D541" s="379" t="s">
        <v>58</v>
      </c>
      <c r="E541" s="379" t="s">
        <v>1469</v>
      </c>
      <c r="F541" s="379">
        <v>0</v>
      </c>
      <c r="G541" s="379">
        <v>0</v>
      </c>
      <c r="I541" s="359">
        <f t="shared" si="8"/>
        <v>647</v>
      </c>
    </row>
    <row r="542" spans="1:9" ht="15" x14ac:dyDescent="0.25">
      <c r="A542" s="379"/>
      <c r="B542" s="379" t="s">
        <v>51</v>
      </c>
      <c r="C542" s="379" t="s">
        <v>669</v>
      </c>
      <c r="D542" s="379" t="s">
        <v>59</v>
      </c>
      <c r="E542" s="379" t="s">
        <v>1470</v>
      </c>
      <c r="F542" s="379">
        <v>0</v>
      </c>
      <c r="G542" s="379">
        <v>0</v>
      </c>
      <c r="I542" s="359">
        <f t="shared" si="8"/>
        <v>887</v>
      </c>
    </row>
    <row r="543" spans="1:9" ht="15" x14ac:dyDescent="0.25">
      <c r="A543" s="379"/>
      <c r="B543" s="379" t="s">
        <v>51</v>
      </c>
      <c r="C543" s="379" t="s">
        <v>846</v>
      </c>
      <c r="D543" s="379" t="s">
        <v>59</v>
      </c>
      <c r="E543" s="379" t="s">
        <v>1469</v>
      </c>
      <c r="F543" s="379">
        <v>0</v>
      </c>
      <c r="G543" s="379">
        <v>0</v>
      </c>
      <c r="I543" s="359">
        <f t="shared" si="8"/>
        <v>419</v>
      </c>
    </row>
    <row r="544" spans="1:9" ht="15" x14ac:dyDescent="0.25">
      <c r="A544" s="379"/>
      <c r="B544" s="379" t="s">
        <v>51</v>
      </c>
      <c r="C544" s="379" t="s">
        <v>847</v>
      </c>
      <c r="D544" s="379" t="s">
        <v>59</v>
      </c>
      <c r="E544" s="379" t="s">
        <v>1469</v>
      </c>
      <c r="F544" s="379">
        <v>0</v>
      </c>
      <c r="G544" s="379">
        <v>0</v>
      </c>
      <c r="I544" s="359">
        <f t="shared" si="8"/>
        <v>475</v>
      </c>
    </row>
    <row r="545" spans="1:9" ht="15" x14ac:dyDescent="0.25">
      <c r="A545" s="379"/>
      <c r="B545" s="379" t="s">
        <v>51</v>
      </c>
      <c r="C545" s="379" t="s">
        <v>848</v>
      </c>
      <c r="D545" s="379" t="s">
        <v>59</v>
      </c>
      <c r="E545" s="379" t="s">
        <v>1469</v>
      </c>
      <c r="F545" s="379">
        <v>0</v>
      </c>
      <c r="G545" s="379">
        <v>0</v>
      </c>
      <c r="I545" s="359">
        <f t="shared" si="8"/>
        <v>113</v>
      </c>
    </row>
    <row r="546" spans="1:9" ht="15" x14ac:dyDescent="0.25">
      <c r="A546" s="379"/>
      <c r="B546" s="379" t="s">
        <v>51</v>
      </c>
      <c r="C546" s="379" t="s">
        <v>850</v>
      </c>
      <c r="D546" s="379" t="s">
        <v>58</v>
      </c>
      <c r="E546" s="379" t="s">
        <v>1470</v>
      </c>
      <c r="F546" s="379">
        <v>0</v>
      </c>
      <c r="G546" s="379">
        <v>0</v>
      </c>
      <c r="I546" s="359">
        <f t="shared" si="8"/>
        <v>838</v>
      </c>
    </row>
    <row r="547" spans="1:9" ht="15" x14ac:dyDescent="0.25">
      <c r="A547" s="379"/>
      <c r="B547" s="379" t="s">
        <v>51</v>
      </c>
      <c r="C547" s="379" t="s">
        <v>540</v>
      </c>
      <c r="D547" s="379" t="s">
        <v>58</v>
      </c>
      <c r="E547" s="379" t="s">
        <v>1469</v>
      </c>
      <c r="F547" s="379">
        <v>0</v>
      </c>
      <c r="G547" s="379">
        <v>0</v>
      </c>
      <c r="I547" s="359">
        <f t="shared" si="8"/>
        <v>211</v>
      </c>
    </row>
    <row r="548" spans="1:9" ht="15" x14ac:dyDescent="0.25">
      <c r="A548" s="379"/>
      <c r="B548" s="379" t="s">
        <v>51</v>
      </c>
      <c r="C548" s="379" t="s">
        <v>1195</v>
      </c>
      <c r="D548" s="379" t="s">
        <v>59</v>
      </c>
      <c r="E548" s="379" t="s">
        <v>1470</v>
      </c>
      <c r="F548" s="379">
        <v>0</v>
      </c>
      <c r="G548" s="379">
        <v>0</v>
      </c>
      <c r="I548" s="359">
        <f t="shared" si="8"/>
        <v>630</v>
      </c>
    </row>
    <row r="549" spans="1:9" ht="15" x14ac:dyDescent="0.25">
      <c r="A549" s="379"/>
      <c r="B549" s="379" t="s">
        <v>51</v>
      </c>
      <c r="C549" s="379" t="s">
        <v>719</v>
      </c>
      <c r="D549" s="379" t="s">
        <v>59</v>
      </c>
      <c r="E549" s="379" t="s">
        <v>1469</v>
      </c>
      <c r="F549" s="379">
        <v>0</v>
      </c>
      <c r="G549" s="379">
        <v>0</v>
      </c>
      <c r="I549" s="359">
        <f t="shared" si="8"/>
        <v>671</v>
      </c>
    </row>
    <row r="550" spans="1:9" ht="15" x14ac:dyDescent="0.25">
      <c r="A550" s="379"/>
      <c r="B550" s="379" t="s">
        <v>51</v>
      </c>
      <c r="C550" s="379" t="s">
        <v>851</v>
      </c>
      <c r="D550" s="379" t="s">
        <v>1585</v>
      </c>
      <c r="E550" s="379" t="s">
        <v>1469</v>
      </c>
      <c r="F550" s="379">
        <v>0</v>
      </c>
      <c r="G550" s="379">
        <v>0</v>
      </c>
      <c r="I550" s="359">
        <f t="shared" si="8"/>
        <v>364</v>
      </c>
    </row>
    <row r="551" spans="1:9" ht="15" x14ac:dyDescent="0.25">
      <c r="A551" s="379"/>
      <c r="B551" s="379" t="s">
        <v>51</v>
      </c>
      <c r="C551" s="379" t="s">
        <v>852</v>
      </c>
      <c r="D551" s="379" t="s">
        <v>59</v>
      </c>
      <c r="E551" s="379" t="s">
        <v>1469</v>
      </c>
      <c r="F551" s="379">
        <v>0</v>
      </c>
      <c r="G551" s="379">
        <v>0</v>
      </c>
      <c r="I551" s="359">
        <f t="shared" si="8"/>
        <v>938</v>
      </c>
    </row>
    <row r="552" spans="1:9" ht="15" x14ac:dyDescent="0.25">
      <c r="A552" s="379"/>
      <c r="B552" s="379" t="s">
        <v>51</v>
      </c>
      <c r="C552" s="379" t="s">
        <v>853</v>
      </c>
      <c r="D552" s="379" t="s">
        <v>59</v>
      </c>
      <c r="E552" s="379" t="s">
        <v>1469</v>
      </c>
      <c r="F552" s="379">
        <v>0</v>
      </c>
      <c r="G552" s="379">
        <v>0</v>
      </c>
      <c r="I552" s="359">
        <f t="shared" si="8"/>
        <v>261</v>
      </c>
    </row>
    <row r="553" spans="1:9" ht="15" x14ac:dyDescent="0.25">
      <c r="A553" s="379"/>
      <c r="B553" s="379" t="s">
        <v>51</v>
      </c>
      <c r="C553" s="379" t="s">
        <v>1196</v>
      </c>
      <c r="D553" s="379" t="s">
        <v>59</v>
      </c>
      <c r="E553" s="379" t="s">
        <v>1470</v>
      </c>
      <c r="F553" s="379">
        <v>0</v>
      </c>
      <c r="G553" s="379">
        <v>0</v>
      </c>
      <c r="I553" s="359">
        <f t="shared" si="8"/>
        <v>579</v>
      </c>
    </row>
    <row r="554" spans="1:9" ht="15" x14ac:dyDescent="0.25">
      <c r="A554" s="379"/>
      <c r="B554" s="379" t="s">
        <v>51</v>
      </c>
      <c r="C554" s="379" t="s">
        <v>854</v>
      </c>
      <c r="D554" s="379" t="s">
        <v>59</v>
      </c>
      <c r="E554" s="379" t="s">
        <v>1469</v>
      </c>
      <c r="F554" s="379">
        <v>0</v>
      </c>
      <c r="G554" s="379">
        <v>0</v>
      </c>
      <c r="I554" s="359">
        <f t="shared" si="8"/>
        <v>921</v>
      </c>
    </row>
    <row r="555" spans="1:9" ht="15" x14ac:dyDescent="0.25">
      <c r="A555" s="379"/>
      <c r="B555" s="379" t="s">
        <v>51</v>
      </c>
      <c r="C555" s="379" t="s">
        <v>855</v>
      </c>
      <c r="D555" s="379" t="s">
        <v>62</v>
      </c>
      <c r="E555" s="379" t="s">
        <v>1469</v>
      </c>
      <c r="F555" s="379">
        <v>0</v>
      </c>
      <c r="G555" s="379">
        <v>0</v>
      </c>
      <c r="I555" s="359">
        <f t="shared" si="8"/>
        <v>365</v>
      </c>
    </row>
    <row r="556" spans="1:9" ht="15" x14ac:dyDescent="0.25">
      <c r="A556" s="379"/>
      <c r="B556" s="379" t="s">
        <v>51</v>
      </c>
      <c r="C556" s="379" t="s">
        <v>856</v>
      </c>
      <c r="D556" s="379" t="s">
        <v>59</v>
      </c>
      <c r="E556" s="379" t="s">
        <v>1469</v>
      </c>
      <c r="F556" s="379">
        <v>0</v>
      </c>
      <c r="G556" s="379">
        <v>0</v>
      </c>
      <c r="I556" s="359">
        <f t="shared" si="8"/>
        <v>815</v>
      </c>
    </row>
    <row r="557" spans="1:9" ht="15" x14ac:dyDescent="0.25">
      <c r="A557" s="379"/>
      <c r="B557" s="379" t="s">
        <v>51</v>
      </c>
      <c r="C557" s="379" t="s">
        <v>857</v>
      </c>
      <c r="D557" s="379" t="s">
        <v>59</v>
      </c>
      <c r="E557" s="379" t="s">
        <v>1469</v>
      </c>
      <c r="F557" s="379">
        <v>0</v>
      </c>
      <c r="G557" s="379">
        <v>0</v>
      </c>
      <c r="I557" s="359">
        <f t="shared" si="8"/>
        <v>123</v>
      </c>
    </row>
    <row r="558" spans="1:9" ht="15" x14ac:dyDescent="0.25">
      <c r="A558" s="379"/>
      <c r="B558" s="379" t="s">
        <v>51</v>
      </c>
      <c r="C558" s="379" t="s">
        <v>858</v>
      </c>
      <c r="D558" s="379" t="s">
        <v>59</v>
      </c>
      <c r="E558" s="379" t="s">
        <v>1469</v>
      </c>
      <c r="F558" s="379">
        <v>0</v>
      </c>
      <c r="G558" s="379">
        <v>0</v>
      </c>
      <c r="I558" s="359">
        <f t="shared" si="8"/>
        <v>410</v>
      </c>
    </row>
    <row r="559" spans="1:9" ht="15" x14ac:dyDescent="0.25">
      <c r="A559" s="379"/>
      <c r="B559" s="379" t="s">
        <v>51</v>
      </c>
      <c r="C559" s="379" t="s">
        <v>1317</v>
      </c>
      <c r="D559" s="379" t="s">
        <v>58</v>
      </c>
      <c r="E559" s="379" t="s">
        <v>1469</v>
      </c>
      <c r="F559" s="379">
        <v>0</v>
      </c>
      <c r="G559" s="379">
        <v>0</v>
      </c>
      <c r="I559" s="359">
        <f t="shared" si="8"/>
        <v>17</v>
      </c>
    </row>
    <row r="560" spans="1:9" ht="15" x14ac:dyDescent="0.25">
      <c r="A560" s="379"/>
      <c r="B560" s="379" t="s">
        <v>1715</v>
      </c>
      <c r="C560" s="379" t="s">
        <v>738</v>
      </c>
      <c r="D560" s="379" t="s">
        <v>59</v>
      </c>
      <c r="E560" s="379" t="s">
        <v>1469</v>
      </c>
      <c r="F560" s="379">
        <v>0</v>
      </c>
      <c r="G560" s="379">
        <v>0</v>
      </c>
      <c r="I560" s="359">
        <f t="shared" si="8"/>
        <v>672</v>
      </c>
    </row>
    <row r="561" spans="1:9" ht="15" x14ac:dyDescent="0.25">
      <c r="A561" s="379"/>
      <c r="B561" s="379" t="s">
        <v>51</v>
      </c>
      <c r="C561" s="379" t="s">
        <v>859</v>
      </c>
      <c r="D561" s="379" t="s">
        <v>58</v>
      </c>
      <c r="E561" s="379" t="s">
        <v>1470</v>
      </c>
      <c r="F561" s="379">
        <v>0</v>
      </c>
      <c r="G561" s="379">
        <v>0</v>
      </c>
      <c r="I561" s="359">
        <f t="shared" si="8"/>
        <v>839</v>
      </c>
    </row>
    <row r="562" spans="1:9" ht="15" x14ac:dyDescent="0.25">
      <c r="A562" s="379"/>
      <c r="B562" s="379" t="s">
        <v>51</v>
      </c>
      <c r="C562" s="379" t="s">
        <v>860</v>
      </c>
      <c r="D562" s="379" t="s">
        <v>58</v>
      </c>
      <c r="E562" s="379" t="s">
        <v>1469</v>
      </c>
      <c r="F562" s="379">
        <v>0</v>
      </c>
      <c r="G562" s="379">
        <v>0</v>
      </c>
      <c r="I562" s="359">
        <f t="shared" si="8"/>
        <v>43</v>
      </c>
    </row>
    <row r="563" spans="1:9" ht="15" x14ac:dyDescent="0.25">
      <c r="A563" s="379"/>
      <c r="B563" s="379" t="s">
        <v>51</v>
      </c>
      <c r="C563" s="379" t="s">
        <v>861</v>
      </c>
      <c r="D563" s="379" t="s">
        <v>66</v>
      </c>
      <c r="E563" s="379" t="s">
        <v>1469</v>
      </c>
      <c r="F563" s="379">
        <v>0</v>
      </c>
      <c r="G563" s="379">
        <v>0</v>
      </c>
      <c r="I563" s="359">
        <f t="shared" si="8"/>
        <v>485</v>
      </c>
    </row>
    <row r="564" spans="1:9" ht="15" x14ac:dyDescent="0.25">
      <c r="A564" s="379"/>
      <c r="B564" s="379" t="s">
        <v>51</v>
      </c>
      <c r="C564" s="379" t="s">
        <v>862</v>
      </c>
      <c r="D564" s="379" t="s">
        <v>59</v>
      </c>
      <c r="E564" s="379" t="s">
        <v>1469</v>
      </c>
      <c r="F564" s="379">
        <v>0</v>
      </c>
      <c r="G564" s="379">
        <v>0</v>
      </c>
      <c r="I564" s="359">
        <f t="shared" si="8"/>
        <v>191</v>
      </c>
    </row>
    <row r="565" spans="1:9" ht="15" x14ac:dyDescent="0.25">
      <c r="A565" s="379"/>
      <c r="B565" s="379" t="s">
        <v>51</v>
      </c>
      <c r="C565" s="379" t="s">
        <v>863</v>
      </c>
      <c r="D565" s="379" t="s">
        <v>67</v>
      </c>
      <c r="E565" s="379" t="s">
        <v>1470</v>
      </c>
      <c r="F565" s="379">
        <v>0</v>
      </c>
      <c r="G565" s="379">
        <v>0</v>
      </c>
      <c r="I565" s="359">
        <f t="shared" si="8"/>
        <v>566</v>
      </c>
    </row>
    <row r="566" spans="1:9" ht="15" x14ac:dyDescent="0.25">
      <c r="A566" s="379"/>
      <c r="B566" s="379" t="s">
        <v>51</v>
      </c>
      <c r="C566" s="379" t="s">
        <v>864</v>
      </c>
      <c r="D566" s="379" t="s">
        <v>64</v>
      </c>
      <c r="E566" s="379" t="s">
        <v>1469</v>
      </c>
      <c r="F566" s="379">
        <v>0</v>
      </c>
      <c r="G566" s="379">
        <v>0</v>
      </c>
      <c r="I566" s="359">
        <f t="shared" si="8"/>
        <v>406</v>
      </c>
    </row>
    <row r="567" spans="1:9" ht="15" x14ac:dyDescent="0.25">
      <c r="A567" s="379"/>
      <c r="B567" s="379" t="s">
        <v>51</v>
      </c>
      <c r="C567" s="379" t="s">
        <v>865</v>
      </c>
      <c r="D567" s="379" t="s">
        <v>58</v>
      </c>
      <c r="E567" s="379" t="s">
        <v>1470</v>
      </c>
      <c r="F567" s="379">
        <v>0</v>
      </c>
      <c r="G567" s="379">
        <v>0</v>
      </c>
      <c r="I567" s="359">
        <f t="shared" si="8"/>
        <v>270</v>
      </c>
    </row>
    <row r="568" spans="1:9" ht="15" x14ac:dyDescent="0.25">
      <c r="A568" s="379"/>
      <c r="B568" s="379" t="s">
        <v>51</v>
      </c>
      <c r="C568" s="379" t="s">
        <v>866</v>
      </c>
      <c r="D568" s="379" t="s">
        <v>58</v>
      </c>
      <c r="E568" s="379" t="s">
        <v>1469</v>
      </c>
      <c r="F568" s="379">
        <v>0</v>
      </c>
      <c r="G568" s="379">
        <v>0</v>
      </c>
      <c r="I568" s="359">
        <f t="shared" si="8"/>
        <v>710</v>
      </c>
    </row>
    <row r="569" spans="1:9" ht="15" x14ac:dyDescent="0.25">
      <c r="A569" s="379"/>
      <c r="B569" s="379" t="s">
        <v>51</v>
      </c>
      <c r="C569" s="379" t="s">
        <v>867</v>
      </c>
      <c r="D569" s="379" t="s">
        <v>868</v>
      </c>
      <c r="E569" s="379" t="s">
        <v>1469</v>
      </c>
      <c r="F569" s="379">
        <v>0</v>
      </c>
      <c r="G569" s="379">
        <v>0</v>
      </c>
      <c r="I569" s="359">
        <f t="shared" si="8"/>
        <v>31</v>
      </c>
    </row>
    <row r="570" spans="1:9" ht="15" x14ac:dyDescent="0.25">
      <c r="A570" s="379"/>
      <c r="B570" s="379" t="s">
        <v>51</v>
      </c>
      <c r="C570" s="379" t="s">
        <v>869</v>
      </c>
      <c r="D570" s="379" t="s">
        <v>58</v>
      </c>
      <c r="E570" s="379" t="s">
        <v>1469</v>
      </c>
      <c r="F570" s="379">
        <v>0</v>
      </c>
      <c r="G570" s="379">
        <v>0</v>
      </c>
      <c r="I570" s="359">
        <f t="shared" si="8"/>
        <v>606</v>
      </c>
    </row>
    <row r="571" spans="1:9" ht="15" x14ac:dyDescent="0.25">
      <c r="A571" s="379"/>
      <c r="B571" s="379" t="s">
        <v>51</v>
      </c>
      <c r="C571" s="379" t="s">
        <v>870</v>
      </c>
      <c r="D571" s="379" t="s">
        <v>61</v>
      </c>
      <c r="E571" s="379" t="s">
        <v>1469</v>
      </c>
      <c r="F571" s="379">
        <v>0</v>
      </c>
      <c r="G571" s="379">
        <v>0</v>
      </c>
      <c r="I571" s="359">
        <f t="shared" si="8"/>
        <v>517</v>
      </c>
    </row>
    <row r="572" spans="1:9" ht="15" x14ac:dyDescent="0.25">
      <c r="A572" s="379"/>
      <c r="B572" s="379" t="s">
        <v>51</v>
      </c>
      <c r="C572" s="379" t="s">
        <v>871</v>
      </c>
      <c r="D572" s="379" t="s">
        <v>61</v>
      </c>
      <c r="E572" s="379" t="s">
        <v>1469</v>
      </c>
      <c r="F572" s="379">
        <v>0</v>
      </c>
      <c r="G572" s="379">
        <v>0</v>
      </c>
      <c r="I572" s="359">
        <f t="shared" si="8"/>
        <v>435</v>
      </c>
    </row>
    <row r="573" spans="1:9" ht="15" x14ac:dyDescent="0.25">
      <c r="A573" s="379"/>
      <c r="B573" s="379" t="s">
        <v>51</v>
      </c>
      <c r="C573" s="379" t="s">
        <v>872</v>
      </c>
      <c r="D573" s="379" t="s">
        <v>58</v>
      </c>
      <c r="E573" s="379" t="s">
        <v>1469</v>
      </c>
      <c r="F573" s="379">
        <v>0</v>
      </c>
      <c r="G573" s="379">
        <v>0</v>
      </c>
      <c r="I573" s="359">
        <f t="shared" si="8"/>
        <v>320</v>
      </c>
    </row>
    <row r="574" spans="1:9" ht="15" x14ac:dyDescent="0.25">
      <c r="A574" s="379"/>
      <c r="B574" s="379" t="s">
        <v>51</v>
      </c>
      <c r="C574" s="379" t="s">
        <v>873</v>
      </c>
      <c r="D574" s="379" t="s">
        <v>59</v>
      </c>
      <c r="E574" s="379" t="s">
        <v>1469</v>
      </c>
      <c r="F574" s="379">
        <v>0</v>
      </c>
      <c r="G574" s="379">
        <v>0</v>
      </c>
      <c r="I574" s="359">
        <f t="shared" si="8"/>
        <v>137</v>
      </c>
    </row>
    <row r="575" spans="1:9" ht="15" x14ac:dyDescent="0.25">
      <c r="A575" s="379"/>
      <c r="B575" s="379" t="s">
        <v>51</v>
      </c>
      <c r="C575" s="379" t="s">
        <v>874</v>
      </c>
      <c r="D575" s="379" t="s">
        <v>59</v>
      </c>
      <c r="E575" s="379" t="s">
        <v>1470</v>
      </c>
      <c r="F575" s="379">
        <v>0</v>
      </c>
      <c r="G575" s="379">
        <v>0</v>
      </c>
      <c r="I575" s="359">
        <f t="shared" si="8"/>
        <v>149</v>
      </c>
    </row>
    <row r="576" spans="1:9" ht="15" x14ac:dyDescent="0.25">
      <c r="A576" s="379"/>
      <c r="B576" s="379" t="s">
        <v>51</v>
      </c>
      <c r="C576" s="379" t="s">
        <v>875</v>
      </c>
      <c r="D576" s="379" t="s">
        <v>59</v>
      </c>
      <c r="E576" s="379" t="s">
        <v>1469</v>
      </c>
      <c r="F576" s="379">
        <v>0</v>
      </c>
      <c r="G576" s="379">
        <v>0</v>
      </c>
      <c r="I576" s="359">
        <f t="shared" si="8"/>
        <v>154</v>
      </c>
    </row>
    <row r="577" spans="1:9" ht="15" x14ac:dyDescent="0.25">
      <c r="A577" s="379"/>
      <c r="B577" s="379" t="s">
        <v>51</v>
      </c>
      <c r="C577" s="379" t="s">
        <v>876</v>
      </c>
      <c r="D577" s="379" t="s">
        <v>59</v>
      </c>
      <c r="E577" s="379" t="s">
        <v>1469</v>
      </c>
      <c r="F577" s="379">
        <v>0</v>
      </c>
      <c r="G577" s="379">
        <v>0</v>
      </c>
      <c r="I577" s="359">
        <f t="shared" si="8"/>
        <v>668</v>
      </c>
    </row>
    <row r="578" spans="1:9" ht="15" x14ac:dyDescent="0.25">
      <c r="A578" s="379"/>
      <c r="B578" s="379" t="s">
        <v>51</v>
      </c>
      <c r="C578" s="379" t="s">
        <v>758</v>
      </c>
      <c r="D578" s="379" t="s">
        <v>61</v>
      </c>
      <c r="E578" s="379" t="s">
        <v>1469</v>
      </c>
      <c r="F578" s="379">
        <v>0</v>
      </c>
      <c r="G578" s="379">
        <v>0</v>
      </c>
      <c r="I578" s="359">
        <f t="shared" si="8"/>
        <v>872</v>
      </c>
    </row>
    <row r="579" spans="1:9" ht="15" x14ac:dyDescent="0.25">
      <c r="A579" s="379"/>
      <c r="B579" s="379" t="s">
        <v>51</v>
      </c>
      <c r="C579" s="379" t="s">
        <v>518</v>
      </c>
      <c r="D579" s="379" t="s">
        <v>61</v>
      </c>
      <c r="E579" s="379" t="s">
        <v>1470</v>
      </c>
      <c r="F579" s="379">
        <v>0</v>
      </c>
      <c r="G579" s="379">
        <v>0</v>
      </c>
      <c r="I579" s="359">
        <f t="shared" ref="I579:I642" si="9">SUMPRODUCT((C$2:C$1000 &lt; C579)+(C579="")*1000)</f>
        <v>568</v>
      </c>
    </row>
    <row r="580" spans="1:9" ht="15" x14ac:dyDescent="0.25">
      <c r="A580" s="379"/>
      <c r="B580" s="379">
        <v>287</v>
      </c>
      <c r="C580" s="379" t="s">
        <v>534</v>
      </c>
      <c r="D580" s="379" t="s">
        <v>59</v>
      </c>
      <c r="E580" s="379" t="s">
        <v>1469</v>
      </c>
      <c r="F580" s="379">
        <v>0</v>
      </c>
      <c r="G580" s="379">
        <v>0</v>
      </c>
      <c r="I580" s="359">
        <f t="shared" si="9"/>
        <v>138</v>
      </c>
    </row>
    <row r="581" spans="1:9" ht="15" x14ac:dyDescent="0.25">
      <c r="A581" s="379"/>
      <c r="B581" s="379" t="s">
        <v>51</v>
      </c>
      <c r="C581" s="379" t="s">
        <v>877</v>
      </c>
      <c r="D581" s="379" t="s">
        <v>61</v>
      </c>
      <c r="E581" s="379" t="s">
        <v>1469</v>
      </c>
      <c r="F581" s="379">
        <v>0</v>
      </c>
      <c r="G581" s="379">
        <v>0</v>
      </c>
      <c r="I581" s="359">
        <f t="shared" si="9"/>
        <v>930</v>
      </c>
    </row>
    <row r="582" spans="1:9" ht="15" x14ac:dyDescent="0.25">
      <c r="A582" s="379"/>
      <c r="B582" s="379" t="s">
        <v>51</v>
      </c>
      <c r="C582" s="379" t="s">
        <v>455</v>
      </c>
      <c r="D582" s="379" t="s">
        <v>61</v>
      </c>
      <c r="E582" s="379" t="s">
        <v>1469</v>
      </c>
      <c r="F582" s="379">
        <v>0</v>
      </c>
      <c r="G582" s="379">
        <v>0</v>
      </c>
      <c r="I582" s="359">
        <f t="shared" si="9"/>
        <v>778</v>
      </c>
    </row>
    <row r="583" spans="1:9" ht="15" x14ac:dyDescent="0.25">
      <c r="A583" s="379"/>
      <c r="B583" s="379" t="s">
        <v>51</v>
      </c>
      <c r="C583" s="379" t="s">
        <v>878</v>
      </c>
      <c r="D583" s="379" t="s">
        <v>59</v>
      </c>
      <c r="E583" s="379" t="s">
        <v>1470</v>
      </c>
      <c r="F583" s="379">
        <v>0</v>
      </c>
      <c r="G583" s="379">
        <v>0</v>
      </c>
      <c r="I583" s="359">
        <f t="shared" si="9"/>
        <v>789</v>
      </c>
    </row>
    <row r="584" spans="1:9" ht="15" x14ac:dyDescent="0.25">
      <c r="A584" s="379"/>
      <c r="B584" s="379" t="s">
        <v>51</v>
      </c>
      <c r="C584" s="379" t="s">
        <v>879</v>
      </c>
      <c r="D584" s="379" t="s">
        <v>59</v>
      </c>
      <c r="E584" s="379" t="s">
        <v>1469</v>
      </c>
      <c r="F584" s="379">
        <v>0</v>
      </c>
      <c r="G584" s="379">
        <v>0</v>
      </c>
      <c r="I584" s="359">
        <f t="shared" si="9"/>
        <v>955</v>
      </c>
    </row>
    <row r="585" spans="1:9" ht="15" x14ac:dyDescent="0.25">
      <c r="A585" s="379"/>
      <c r="B585" s="379" t="s">
        <v>51</v>
      </c>
      <c r="C585" s="379" t="s">
        <v>880</v>
      </c>
      <c r="D585" s="379" t="s">
        <v>59</v>
      </c>
      <c r="E585" s="379" t="s">
        <v>1469</v>
      </c>
      <c r="F585" s="379">
        <v>0</v>
      </c>
      <c r="G585" s="379">
        <v>0</v>
      </c>
      <c r="I585" s="359">
        <f t="shared" si="9"/>
        <v>706</v>
      </c>
    </row>
    <row r="586" spans="1:9" ht="15" x14ac:dyDescent="0.25">
      <c r="A586" s="379"/>
      <c r="B586" s="379" t="s">
        <v>51</v>
      </c>
      <c r="C586" s="379" t="s">
        <v>881</v>
      </c>
      <c r="D586" s="379" t="s">
        <v>59</v>
      </c>
      <c r="E586" s="379" t="s">
        <v>1469</v>
      </c>
      <c r="F586" s="379">
        <v>0</v>
      </c>
      <c r="G586" s="379">
        <v>0</v>
      </c>
      <c r="I586" s="359">
        <f t="shared" si="9"/>
        <v>802</v>
      </c>
    </row>
    <row r="587" spans="1:9" ht="15" x14ac:dyDescent="0.25">
      <c r="A587" s="379"/>
      <c r="B587" s="379" t="s">
        <v>51</v>
      </c>
      <c r="C587" s="379" t="s">
        <v>882</v>
      </c>
      <c r="D587" s="379" t="s">
        <v>59</v>
      </c>
      <c r="E587" s="379" t="s">
        <v>1469</v>
      </c>
      <c r="F587" s="379">
        <v>0</v>
      </c>
      <c r="G587" s="379">
        <v>0</v>
      </c>
      <c r="I587" s="359">
        <f t="shared" si="9"/>
        <v>284</v>
      </c>
    </row>
    <row r="588" spans="1:9" ht="15" x14ac:dyDescent="0.25">
      <c r="A588" s="379"/>
      <c r="B588" s="379" t="s">
        <v>51</v>
      </c>
      <c r="C588" s="379" t="s">
        <v>883</v>
      </c>
      <c r="D588" s="379" t="s">
        <v>1585</v>
      </c>
      <c r="E588" s="379" t="s">
        <v>1469</v>
      </c>
      <c r="F588" s="379">
        <v>0</v>
      </c>
      <c r="G588" s="379">
        <v>0</v>
      </c>
      <c r="I588" s="359">
        <f t="shared" si="9"/>
        <v>819</v>
      </c>
    </row>
    <row r="589" spans="1:9" ht="15" x14ac:dyDescent="0.25">
      <c r="A589" s="379"/>
      <c r="B589" s="379" t="s">
        <v>51</v>
      </c>
      <c r="C589" s="379" t="s">
        <v>884</v>
      </c>
      <c r="D589" s="379" t="s">
        <v>59</v>
      </c>
      <c r="E589" s="379" t="s">
        <v>1469</v>
      </c>
      <c r="F589" s="379">
        <v>0</v>
      </c>
      <c r="G589" s="379">
        <v>0</v>
      </c>
      <c r="I589" s="359">
        <f t="shared" si="9"/>
        <v>155</v>
      </c>
    </row>
    <row r="590" spans="1:9" ht="15" x14ac:dyDescent="0.25">
      <c r="A590" s="379"/>
      <c r="B590" s="379" t="s">
        <v>51</v>
      </c>
      <c r="C590" s="379" t="s">
        <v>885</v>
      </c>
      <c r="D590" s="379" t="s">
        <v>59</v>
      </c>
      <c r="E590" s="379" t="s">
        <v>1469</v>
      </c>
      <c r="F590" s="379">
        <v>0</v>
      </c>
      <c r="G590" s="379">
        <v>0</v>
      </c>
      <c r="I590" s="359">
        <f t="shared" si="9"/>
        <v>486</v>
      </c>
    </row>
    <row r="591" spans="1:9" ht="15" x14ac:dyDescent="0.25">
      <c r="A591" s="379"/>
      <c r="B591" s="379" t="s">
        <v>51</v>
      </c>
      <c r="C591" s="379" t="s">
        <v>886</v>
      </c>
      <c r="D591" s="379" t="s">
        <v>887</v>
      </c>
      <c r="E591" s="379" t="s">
        <v>1469</v>
      </c>
      <c r="F591" s="379">
        <v>0</v>
      </c>
      <c r="G591" s="379">
        <v>0</v>
      </c>
      <c r="I591" s="359">
        <f t="shared" si="9"/>
        <v>693</v>
      </c>
    </row>
    <row r="592" spans="1:9" ht="15" x14ac:dyDescent="0.25">
      <c r="A592" s="379"/>
      <c r="B592" s="379" t="s">
        <v>51</v>
      </c>
      <c r="C592" s="379" t="s">
        <v>597</v>
      </c>
      <c r="D592" s="379" t="s">
        <v>75</v>
      </c>
      <c r="E592" s="379" t="s">
        <v>1469</v>
      </c>
      <c r="F592" s="379">
        <v>0</v>
      </c>
      <c r="G592" s="379">
        <v>0</v>
      </c>
      <c r="I592" s="359">
        <f t="shared" si="9"/>
        <v>102</v>
      </c>
    </row>
    <row r="593" spans="1:9" ht="15" x14ac:dyDescent="0.25">
      <c r="A593" s="379"/>
      <c r="B593" s="379" t="s">
        <v>51</v>
      </c>
      <c r="C593" s="379" t="s">
        <v>1267</v>
      </c>
      <c r="D593" s="379" t="s">
        <v>75</v>
      </c>
      <c r="E593" s="379" t="s">
        <v>1469</v>
      </c>
      <c r="F593" s="379">
        <v>0</v>
      </c>
      <c r="G593" s="379">
        <v>0</v>
      </c>
      <c r="I593" s="359">
        <f t="shared" si="9"/>
        <v>604</v>
      </c>
    </row>
    <row r="594" spans="1:9" ht="15" x14ac:dyDescent="0.25">
      <c r="A594" s="379"/>
      <c r="B594" s="379" t="s">
        <v>51</v>
      </c>
      <c r="C594" s="379" t="s">
        <v>888</v>
      </c>
      <c r="D594" s="379" t="s">
        <v>59</v>
      </c>
      <c r="E594" s="379" t="s">
        <v>1469</v>
      </c>
      <c r="F594" s="379">
        <v>0</v>
      </c>
      <c r="G594" s="379">
        <v>0</v>
      </c>
      <c r="I594" s="359">
        <f t="shared" si="9"/>
        <v>338</v>
      </c>
    </row>
    <row r="595" spans="1:9" ht="15" x14ac:dyDescent="0.25">
      <c r="A595" s="379"/>
      <c r="B595" s="379" t="s">
        <v>51</v>
      </c>
      <c r="C595" s="379" t="s">
        <v>1197</v>
      </c>
      <c r="D595" s="379" t="s">
        <v>59</v>
      </c>
      <c r="E595" s="379" t="s">
        <v>1470</v>
      </c>
      <c r="F595" s="379">
        <v>0</v>
      </c>
      <c r="G595" s="379">
        <v>0</v>
      </c>
      <c r="I595" s="359">
        <f t="shared" si="9"/>
        <v>250</v>
      </c>
    </row>
    <row r="596" spans="1:9" ht="15" x14ac:dyDescent="0.25">
      <c r="A596" s="379"/>
      <c r="B596" s="379" t="s">
        <v>51</v>
      </c>
      <c r="C596" s="379" t="s">
        <v>599</v>
      </c>
      <c r="D596" s="379" t="s">
        <v>59</v>
      </c>
      <c r="E596" s="379" t="s">
        <v>1469</v>
      </c>
      <c r="F596" s="379">
        <v>0</v>
      </c>
      <c r="G596" s="379">
        <v>0</v>
      </c>
      <c r="I596" s="359">
        <f t="shared" si="9"/>
        <v>505</v>
      </c>
    </row>
    <row r="597" spans="1:9" ht="15" x14ac:dyDescent="0.25">
      <c r="A597" s="379"/>
      <c r="B597" s="379" t="s">
        <v>51</v>
      </c>
      <c r="C597" s="379" t="s">
        <v>889</v>
      </c>
      <c r="D597" s="379" t="s">
        <v>61</v>
      </c>
      <c r="E597" s="379" t="s">
        <v>1469</v>
      </c>
      <c r="F597" s="379">
        <v>0</v>
      </c>
      <c r="G597" s="379">
        <v>0</v>
      </c>
      <c r="I597" s="359">
        <f t="shared" si="9"/>
        <v>861</v>
      </c>
    </row>
    <row r="598" spans="1:9" ht="15" x14ac:dyDescent="0.25">
      <c r="A598" s="379"/>
      <c r="B598" s="379" t="s">
        <v>51</v>
      </c>
      <c r="C598" s="379" t="s">
        <v>486</v>
      </c>
      <c r="D598" s="379" t="s">
        <v>61</v>
      </c>
      <c r="E598" s="379" t="s">
        <v>1469</v>
      </c>
      <c r="F598" s="379">
        <v>0</v>
      </c>
      <c r="G598" s="379">
        <v>0</v>
      </c>
      <c r="I598" s="359">
        <f t="shared" si="9"/>
        <v>956</v>
      </c>
    </row>
    <row r="599" spans="1:9" ht="15" x14ac:dyDescent="0.25">
      <c r="A599" s="379"/>
      <c r="B599" s="379" t="s">
        <v>51</v>
      </c>
      <c r="C599" s="379" t="s">
        <v>561</v>
      </c>
      <c r="D599" s="379" t="s">
        <v>59</v>
      </c>
      <c r="E599" s="379" t="s">
        <v>1469</v>
      </c>
      <c r="F599" s="379">
        <v>0</v>
      </c>
      <c r="G599" s="379">
        <v>0</v>
      </c>
      <c r="I599" s="359">
        <f t="shared" si="9"/>
        <v>683</v>
      </c>
    </row>
    <row r="600" spans="1:9" ht="15" x14ac:dyDescent="0.25">
      <c r="A600" s="379"/>
      <c r="B600" s="379" t="s">
        <v>51</v>
      </c>
      <c r="C600" s="379" t="s">
        <v>1205</v>
      </c>
      <c r="D600" s="379" t="s">
        <v>73</v>
      </c>
      <c r="E600" s="379" t="s">
        <v>1470</v>
      </c>
      <c r="F600" s="379">
        <v>0</v>
      </c>
      <c r="G600" s="379">
        <v>0</v>
      </c>
      <c r="I600" s="359">
        <f t="shared" si="9"/>
        <v>14</v>
      </c>
    </row>
    <row r="601" spans="1:9" ht="15" x14ac:dyDescent="0.25">
      <c r="A601" s="379"/>
      <c r="B601" s="379" t="s">
        <v>51</v>
      </c>
      <c r="C601" s="379" t="s">
        <v>728</v>
      </c>
      <c r="D601" s="379" t="s">
        <v>59</v>
      </c>
      <c r="E601" s="379" t="s">
        <v>1469</v>
      </c>
      <c r="F601" s="379">
        <v>0</v>
      </c>
      <c r="G601" s="379">
        <v>0</v>
      </c>
      <c r="I601" s="359">
        <f t="shared" si="9"/>
        <v>195</v>
      </c>
    </row>
    <row r="602" spans="1:9" ht="15" x14ac:dyDescent="0.25">
      <c r="A602" s="379"/>
      <c r="B602" s="379" t="s">
        <v>51</v>
      </c>
      <c r="C602" s="379" t="s">
        <v>891</v>
      </c>
      <c r="D602" s="379" t="s">
        <v>59</v>
      </c>
      <c r="E602" s="379" t="s">
        <v>1469</v>
      </c>
      <c r="F602" s="379">
        <v>0</v>
      </c>
      <c r="G602" s="379">
        <v>0</v>
      </c>
      <c r="I602" s="359">
        <f t="shared" si="9"/>
        <v>857</v>
      </c>
    </row>
    <row r="603" spans="1:9" ht="15" x14ac:dyDescent="0.25">
      <c r="A603" s="379"/>
      <c r="B603" s="379" t="s">
        <v>51</v>
      </c>
      <c r="C603" s="379" t="s">
        <v>892</v>
      </c>
      <c r="D603" s="379" t="s">
        <v>61</v>
      </c>
      <c r="E603" s="379" t="s">
        <v>1469</v>
      </c>
      <c r="F603" s="379">
        <v>0</v>
      </c>
      <c r="G603" s="379">
        <v>0</v>
      </c>
      <c r="I603" s="359">
        <f t="shared" si="9"/>
        <v>281</v>
      </c>
    </row>
    <row r="604" spans="1:9" ht="15" x14ac:dyDescent="0.25">
      <c r="A604" s="379"/>
      <c r="B604" s="379" t="s">
        <v>51</v>
      </c>
      <c r="C604" s="379" t="s">
        <v>893</v>
      </c>
      <c r="D604" s="379" t="s">
        <v>59</v>
      </c>
      <c r="E604" s="379" t="s">
        <v>1469</v>
      </c>
      <c r="F604" s="379">
        <v>0</v>
      </c>
      <c r="G604" s="379">
        <v>0</v>
      </c>
      <c r="I604" s="359">
        <f t="shared" si="9"/>
        <v>614</v>
      </c>
    </row>
    <row r="605" spans="1:9" ht="15" x14ac:dyDescent="0.25">
      <c r="A605" s="379"/>
      <c r="B605" s="379" t="s">
        <v>51</v>
      </c>
      <c r="C605" s="379" t="s">
        <v>894</v>
      </c>
      <c r="D605" s="379" t="s">
        <v>58</v>
      </c>
      <c r="E605" s="379" t="s">
        <v>1469</v>
      </c>
      <c r="F605" s="379">
        <v>0</v>
      </c>
      <c r="G605" s="379">
        <v>0</v>
      </c>
      <c r="I605" s="359">
        <f t="shared" si="9"/>
        <v>362</v>
      </c>
    </row>
    <row r="606" spans="1:9" ht="15" x14ac:dyDescent="0.25">
      <c r="A606" s="379"/>
      <c r="B606" s="379" t="s">
        <v>51</v>
      </c>
      <c r="C606" s="379" t="s">
        <v>656</v>
      </c>
      <c r="D606" s="379" t="s">
        <v>61</v>
      </c>
      <c r="E606" s="379" t="s">
        <v>1469</v>
      </c>
      <c r="F606" s="379">
        <v>0</v>
      </c>
      <c r="G606" s="379">
        <v>0</v>
      </c>
      <c r="I606" s="359">
        <f t="shared" si="9"/>
        <v>322</v>
      </c>
    </row>
    <row r="607" spans="1:9" ht="15" x14ac:dyDescent="0.25">
      <c r="A607" s="379"/>
      <c r="B607" s="379" t="s">
        <v>51</v>
      </c>
      <c r="C607" s="379" t="s">
        <v>895</v>
      </c>
      <c r="D607" s="379" t="s">
        <v>59</v>
      </c>
      <c r="E607" s="379" t="s">
        <v>1469</v>
      </c>
      <c r="F607" s="379">
        <v>0</v>
      </c>
      <c r="G607" s="379">
        <v>0</v>
      </c>
      <c r="I607" s="359">
        <f t="shared" si="9"/>
        <v>447</v>
      </c>
    </row>
    <row r="608" spans="1:9" ht="15" x14ac:dyDescent="0.25">
      <c r="A608" s="379"/>
      <c r="B608" s="379" t="s">
        <v>51</v>
      </c>
      <c r="C608" s="379" t="s">
        <v>896</v>
      </c>
      <c r="D608" s="379" t="s">
        <v>59</v>
      </c>
      <c r="E608" s="379" t="s">
        <v>1469</v>
      </c>
      <c r="F608" s="379">
        <v>0</v>
      </c>
      <c r="G608" s="379">
        <v>0</v>
      </c>
      <c r="I608" s="359">
        <f t="shared" si="9"/>
        <v>471</v>
      </c>
    </row>
    <row r="609" spans="1:9" ht="15" x14ac:dyDescent="0.25">
      <c r="A609" s="379"/>
      <c r="B609" s="379" t="s">
        <v>51</v>
      </c>
      <c r="C609" s="379" t="s">
        <v>1294</v>
      </c>
      <c r="D609" s="379" t="s">
        <v>58</v>
      </c>
      <c r="E609" s="379" t="s">
        <v>1469</v>
      </c>
      <c r="F609" s="379">
        <v>0</v>
      </c>
      <c r="G609" s="379">
        <v>0</v>
      </c>
      <c r="I609" s="359">
        <f t="shared" si="9"/>
        <v>564</v>
      </c>
    </row>
    <row r="610" spans="1:9" ht="15" x14ac:dyDescent="0.25">
      <c r="A610" s="379"/>
      <c r="B610" s="379" t="s">
        <v>51</v>
      </c>
      <c r="C610" s="379" t="s">
        <v>620</v>
      </c>
      <c r="D610" s="379" t="s">
        <v>61</v>
      </c>
      <c r="E610" s="379" t="s">
        <v>1469</v>
      </c>
      <c r="F610" s="379">
        <v>0</v>
      </c>
      <c r="G610" s="379">
        <v>0</v>
      </c>
      <c r="I610" s="359">
        <f t="shared" si="9"/>
        <v>456</v>
      </c>
    </row>
    <row r="611" spans="1:9" ht="15" x14ac:dyDescent="0.25">
      <c r="A611" s="379"/>
      <c r="B611" s="379" t="s">
        <v>51</v>
      </c>
      <c r="C611" s="379" t="s">
        <v>897</v>
      </c>
      <c r="D611" s="379" t="s">
        <v>61</v>
      </c>
      <c r="E611" s="379" t="s">
        <v>1469</v>
      </c>
      <c r="F611" s="379">
        <v>0</v>
      </c>
      <c r="G611" s="379">
        <v>0</v>
      </c>
      <c r="I611" s="359">
        <f t="shared" si="9"/>
        <v>920</v>
      </c>
    </row>
    <row r="612" spans="1:9" ht="15" x14ac:dyDescent="0.25">
      <c r="A612" s="379"/>
      <c r="B612" s="379" t="s">
        <v>51</v>
      </c>
      <c r="C612" s="379" t="s">
        <v>1256</v>
      </c>
      <c r="D612" s="379" t="s">
        <v>61</v>
      </c>
      <c r="E612" s="379" t="s">
        <v>1469</v>
      </c>
      <c r="F612" s="379">
        <v>0</v>
      </c>
      <c r="G612" s="379">
        <v>0</v>
      </c>
      <c r="I612" s="359">
        <f t="shared" si="9"/>
        <v>807</v>
      </c>
    </row>
    <row r="613" spans="1:9" ht="15" x14ac:dyDescent="0.25">
      <c r="A613" s="379"/>
      <c r="B613" s="379" t="s">
        <v>51</v>
      </c>
      <c r="C613" s="379" t="s">
        <v>898</v>
      </c>
      <c r="D613" s="379" t="s">
        <v>58</v>
      </c>
      <c r="E613" s="379" t="s">
        <v>1469</v>
      </c>
      <c r="F613" s="379">
        <v>0</v>
      </c>
      <c r="G613" s="379">
        <v>0</v>
      </c>
      <c r="I613" s="359">
        <f t="shared" si="9"/>
        <v>19</v>
      </c>
    </row>
    <row r="614" spans="1:9" ht="15" x14ac:dyDescent="0.25">
      <c r="A614" s="379"/>
      <c r="B614" s="379" t="s">
        <v>51</v>
      </c>
      <c r="C614" s="379" t="s">
        <v>899</v>
      </c>
      <c r="D614" s="379" t="s">
        <v>59</v>
      </c>
      <c r="E614" s="379" t="s">
        <v>1469</v>
      </c>
      <c r="F614" s="379">
        <v>0</v>
      </c>
      <c r="G614" s="379">
        <v>0</v>
      </c>
      <c r="I614" s="359">
        <f t="shared" si="9"/>
        <v>940</v>
      </c>
    </row>
    <row r="615" spans="1:9" ht="15" x14ac:dyDescent="0.25">
      <c r="A615" s="379"/>
      <c r="B615" s="379" t="s">
        <v>51</v>
      </c>
      <c r="C615" s="379" t="s">
        <v>1318</v>
      </c>
      <c r="D615" s="379" t="s">
        <v>58</v>
      </c>
      <c r="E615" s="379" t="s">
        <v>1469</v>
      </c>
      <c r="F615" s="379">
        <v>0</v>
      </c>
      <c r="G615" s="379">
        <v>0</v>
      </c>
      <c r="I615" s="359">
        <f t="shared" si="9"/>
        <v>236</v>
      </c>
    </row>
    <row r="616" spans="1:9" ht="15" x14ac:dyDescent="0.25">
      <c r="A616" s="379"/>
      <c r="B616" s="379" t="s">
        <v>51</v>
      </c>
      <c r="C616" s="379" t="s">
        <v>900</v>
      </c>
      <c r="D616" s="379" t="s">
        <v>62</v>
      </c>
      <c r="E616" s="379" t="s">
        <v>1469</v>
      </c>
      <c r="F616" s="379">
        <v>0</v>
      </c>
      <c r="G616" s="379">
        <v>0</v>
      </c>
      <c r="I616" s="359">
        <f t="shared" si="9"/>
        <v>621</v>
      </c>
    </row>
    <row r="617" spans="1:9" ht="15" x14ac:dyDescent="0.25">
      <c r="A617" s="379"/>
      <c r="B617" s="379" t="s">
        <v>51</v>
      </c>
      <c r="C617" s="379" t="s">
        <v>747</v>
      </c>
      <c r="D617" s="379" t="s">
        <v>59</v>
      </c>
      <c r="E617" s="379" t="s">
        <v>1469</v>
      </c>
      <c r="F617" s="379">
        <v>0</v>
      </c>
      <c r="G617" s="379">
        <v>0</v>
      </c>
      <c r="I617" s="359">
        <f t="shared" si="9"/>
        <v>494</v>
      </c>
    </row>
    <row r="618" spans="1:9" ht="15" x14ac:dyDescent="0.25">
      <c r="A618" s="379"/>
      <c r="B618" s="379" t="s">
        <v>51</v>
      </c>
      <c r="C618" s="379" t="s">
        <v>901</v>
      </c>
      <c r="D618" s="379" t="s">
        <v>58</v>
      </c>
      <c r="E618" s="379" t="s">
        <v>1470</v>
      </c>
      <c r="F618" s="379">
        <v>0</v>
      </c>
      <c r="G618" s="379">
        <v>0</v>
      </c>
      <c r="I618" s="359">
        <f t="shared" si="9"/>
        <v>626</v>
      </c>
    </row>
    <row r="619" spans="1:9" ht="15" x14ac:dyDescent="0.25">
      <c r="A619" s="379"/>
      <c r="B619" s="379" t="s">
        <v>51</v>
      </c>
      <c r="C619" s="379" t="s">
        <v>902</v>
      </c>
      <c r="D619" s="379" t="s">
        <v>69</v>
      </c>
      <c r="E619" s="379" t="s">
        <v>1469</v>
      </c>
      <c r="F619" s="379">
        <v>0</v>
      </c>
      <c r="G619" s="379">
        <v>0</v>
      </c>
      <c r="I619" s="359">
        <f t="shared" si="9"/>
        <v>533</v>
      </c>
    </row>
    <row r="620" spans="1:9" ht="15" x14ac:dyDescent="0.25">
      <c r="A620" s="379"/>
      <c r="B620" s="379" t="s">
        <v>51</v>
      </c>
      <c r="C620" s="379" t="s">
        <v>1319</v>
      </c>
      <c r="D620" s="379" t="s">
        <v>868</v>
      </c>
      <c r="E620" s="379" t="s">
        <v>1469</v>
      </c>
      <c r="F620" s="379">
        <v>0</v>
      </c>
      <c r="G620" s="379">
        <v>0</v>
      </c>
      <c r="I620" s="359">
        <f t="shared" si="9"/>
        <v>41</v>
      </c>
    </row>
    <row r="621" spans="1:9" ht="15" x14ac:dyDescent="0.25">
      <c r="A621" s="379"/>
      <c r="B621" s="379" t="s">
        <v>51</v>
      </c>
      <c r="C621" s="379" t="s">
        <v>903</v>
      </c>
      <c r="D621" s="379" t="s">
        <v>65</v>
      </c>
      <c r="E621" s="379" t="s">
        <v>1469</v>
      </c>
      <c r="F621" s="379">
        <v>0</v>
      </c>
      <c r="G621" s="379">
        <v>0</v>
      </c>
      <c r="I621" s="359">
        <f t="shared" si="9"/>
        <v>398</v>
      </c>
    </row>
    <row r="622" spans="1:9" ht="15" x14ac:dyDescent="0.25">
      <c r="A622" s="379"/>
      <c r="B622" s="379" t="s">
        <v>51</v>
      </c>
      <c r="C622" s="379" t="s">
        <v>905</v>
      </c>
      <c r="D622" s="379" t="s">
        <v>58</v>
      </c>
      <c r="E622" s="379" t="s">
        <v>1469</v>
      </c>
      <c r="F622" s="379">
        <v>0</v>
      </c>
      <c r="G622" s="379">
        <v>0</v>
      </c>
      <c r="I622" s="359">
        <f t="shared" si="9"/>
        <v>400</v>
      </c>
    </row>
    <row r="623" spans="1:9" ht="15" x14ac:dyDescent="0.25">
      <c r="A623" s="379"/>
      <c r="B623" s="379" t="s">
        <v>51</v>
      </c>
      <c r="C623" s="379" t="s">
        <v>906</v>
      </c>
      <c r="D623" s="379" t="s">
        <v>58</v>
      </c>
      <c r="E623" s="379" t="s">
        <v>1469</v>
      </c>
      <c r="F623" s="379">
        <v>0</v>
      </c>
      <c r="G623" s="379">
        <v>0</v>
      </c>
      <c r="I623" s="359">
        <f t="shared" si="9"/>
        <v>46</v>
      </c>
    </row>
    <row r="624" spans="1:9" ht="15" x14ac:dyDescent="0.25">
      <c r="A624" s="379"/>
      <c r="B624" s="379" t="s">
        <v>51</v>
      </c>
      <c r="C624" s="379" t="s">
        <v>907</v>
      </c>
      <c r="D624" s="379" t="s">
        <v>61</v>
      </c>
      <c r="E624" s="379" t="s">
        <v>1469</v>
      </c>
      <c r="F624" s="379">
        <v>0</v>
      </c>
      <c r="G624" s="379">
        <v>0</v>
      </c>
      <c r="I624" s="359">
        <f t="shared" si="9"/>
        <v>312</v>
      </c>
    </row>
    <row r="625" spans="1:9" ht="15" x14ac:dyDescent="0.25">
      <c r="A625" s="379"/>
      <c r="B625" s="379" t="s">
        <v>51</v>
      </c>
      <c r="C625" s="379" t="s">
        <v>908</v>
      </c>
      <c r="D625" s="379" t="s">
        <v>868</v>
      </c>
      <c r="E625" s="379" t="s">
        <v>1469</v>
      </c>
      <c r="F625" s="379">
        <v>0</v>
      </c>
      <c r="G625" s="379">
        <v>0</v>
      </c>
      <c r="I625" s="359">
        <f t="shared" si="9"/>
        <v>917</v>
      </c>
    </row>
    <row r="626" spans="1:9" ht="15" x14ac:dyDescent="0.25">
      <c r="A626" s="379"/>
      <c r="B626" s="379" t="s">
        <v>51</v>
      </c>
      <c r="C626" s="379" t="s">
        <v>548</v>
      </c>
      <c r="D626" s="379" t="s">
        <v>58</v>
      </c>
      <c r="E626" s="379" t="s">
        <v>1469</v>
      </c>
      <c r="F626" s="379">
        <v>0</v>
      </c>
      <c r="G626" s="379">
        <v>0</v>
      </c>
      <c r="I626" s="359">
        <f t="shared" si="9"/>
        <v>47</v>
      </c>
    </row>
    <row r="627" spans="1:9" ht="15" x14ac:dyDescent="0.25">
      <c r="A627" s="379"/>
      <c r="B627" s="379" t="s">
        <v>51</v>
      </c>
      <c r="C627" s="379" t="s">
        <v>910</v>
      </c>
      <c r="D627" s="379" t="s">
        <v>61</v>
      </c>
      <c r="E627" s="379" t="s">
        <v>1470</v>
      </c>
      <c r="F627" s="379">
        <v>0</v>
      </c>
      <c r="G627" s="379">
        <v>0</v>
      </c>
      <c r="I627" s="359">
        <f t="shared" si="9"/>
        <v>69</v>
      </c>
    </row>
    <row r="628" spans="1:9" ht="15" x14ac:dyDescent="0.25">
      <c r="A628" s="379"/>
      <c r="B628" s="379" t="s">
        <v>51</v>
      </c>
      <c r="C628" s="379" t="s">
        <v>911</v>
      </c>
      <c r="D628" s="379" t="s">
        <v>59</v>
      </c>
      <c r="E628" s="379" t="s">
        <v>1470</v>
      </c>
      <c r="F628" s="379">
        <v>0</v>
      </c>
      <c r="G628" s="379">
        <v>0</v>
      </c>
      <c r="I628" s="359">
        <f t="shared" si="9"/>
        <v>80</v>
      </c>
    </row>
    <row r="629" spans="1:9" ht="15" x14ac:dyDescent="0.25">
      <c r="A629" s="379"/>
      <c r="B629" s="379" t="s">
        <v>51</v>
      </c>
      <c r="C629" s="379" t="s">
        <v>912</v>
      </c>
      <c r="D629" s="379" t="s">
        <v>58</v>
      </c>
      <c r="E629" s="379" t="s">
        <v>1469</v>
      </c>
      <c r="F629" s="379">
        <v>0</v>
      </c>
      <c r="G629" s="379">
        <v>0</v>
      </c>
      <c r="I629" s="359">
        <f t="shared" si="9"/>
        <v>302</v>
      </c>
    </row>
    <row r="630" spans="1:9" ht="15" x14ac:dyDescent="0.25">
      <c r="A630" s="379"/>
      <c r="B630" s="379" t="s">
        <v>51</v>
      </c>
      <c r="C630" s="379" t="s">
        <v>701</v>
      </c>
      <c r="D630" s="379" t="s">
        <v>59</v>
      </c>
      <c r="E630" s="379" t="s">
        <v>1469</v>
      </c>
      <c r="F630" s="379">
        <v>0</v>
      </c>
      <c r="G630" s="379">
        <v>0</v>
      </c>
      <c r="I630" s="359">
        <f t="shared" si="9"/>
        <v>125</v>
      </c>
    </row>
    <row r="631" spans="1:9" ht="15" x14ac:dyDescent="0.25">
      <c r="A631" s="379"/>
      <c r="B631" s="379" t="s">
        <v>51</v>
      </c>
      <c r="C631" s="379" t="s">
        <v>913</v>
      </c>
      <c r="D631" s="379" t="s">
        <v>69</v>
      </c>
      <c r="E631" s="379" t="s">
        <v>1469</v>
      </c>
      <c r="F631" s="379">
        <v>0</v>
      </c>
      <c r="G631" s="379">
        <v>0</v>
      </c>
      <c r="I631" s="359">
        <f t="shared" si="9"/>
        <v>7</v>
      </c>
    </row>
    <row r="632" spans="1:9" ht="15" x14ac:dyDescent="0.25">
      <c r="A632" s="379"/>
      <c r="B632" s="379" t="s">
        <v>51</v>
      </c>
      <c r="C632" s="379" t="s">
        <v>680</v>
      </c>
      <c r="D632" s="379" t="s">
        <v>75</v>
      </c>
      <c r="E632" s="379" t="s">
        <v>1469</v>
      </c>
      <c r="F632" s="379">
        <v>0</v>
      </c>
      <c r="G632" s="379">
        <v>0</v>
      </c>
      <c r="I632" s="359">
        <f t="shared" si="9"/>
        <v>596</v>
      </c>
    </row>
    <row r="633" spans="1:9" ht="15" x14ac:dyDescent="0.25">
      <c r="A633" s="379"/>
      <c r="B633" s="379" t="s">
        <v>51</v>
      </c>
      <c r="C633" s="379" t="s">
        <v>914</v>
      </c>
      <c r="D633" s="379" t="s">
        <v>61</v>
      </c>
      <c r="E633" s="379" t="s">
        <v>1469</v>
      </c>
      <c r="F633" s="379">
        <v>0</v>
      </c>
      <c r="G633" s="379">
        <v>0</v>
      </c>
      <c r="I633" s="359">
        <f t="shared" si="9"/>
        <v>163</v>
      </c>
    </row>
    <row r="634" spans="1:9" ht="15" x14ac:dyDescent="0.25">
      <c r="A634" s="379"/>
      <c r="B634" s="379" t="s">
        <v>51</v>
      </c>
      <c r="C634" s="379" t="s">
        <v>1198</v>
      </c>
      <c r="D634" s="379" t="s">
        <v>59</v>
      </c>
      <c r="E634" s="379" t="s">
        <v>1470</v>
      </c>
      <c r="F634" s="379">
        <v>0</v>
      </c>
      <c r="G634" s="379">
        <v>0</v>
      </c>
      <c r="I634" s="359">
        <f t="shared" si="9"/>
        <v>376</v>
      </c>
    </row>
    <row r="635" spans="1:9" ht="15" x14ac:dyDescent="0.25">
      <c r="A635" s="379"/>
      <c r="B635" s="379" t="s">
        <v>51</v>
      </c>
      <c r="C635" s="379" t="s">
        <v>915</v>
      </c>
      <c r="D635" s="379" t="s">
        <v>59</v>
      </c>
      <c r="E635" s="379" t="s">
        <v>1469</v>
      </c>
      <c r="F635" s="379">
        <v>0</v>
      </c>
      <c r="G635" s="379">
        <v>0</v>
      </c>
      <c r="I635" s="359">
        <f t="shared" si="9"/>
        <v>225</v>
      </c>
    </row>
    <row r="636" spans="1:9" ht="15" x14ac:dyDescent="0.25">
      <c r="A636" s="379"/>
      <c r="B636" s="379" t="s">
        <v>51</v>
      </c>
      <c r="C636" s="379" t="s">
        <v>916</v>
      </c>
      <c r="D636" s="379" t="s">
        <v>59</v>
      </c>
      <c r="E636" s="379" t="s">
        <v>1470</v>
      </c>
      <c r="F636" s="379">
        <v>0</v>
      </c>
      <c r="G636" s="379">
        <v>0</v>
      </c>
      <c r="I636" s="359">
        <f t="shared" si="9"/>
        <v>453</v>
      </c>
    </row>
    <row r="637" spans="1:9" ht="15" x14ac:dyDescent="0.25">
      <c r="A637" s="379"/>
      <c r="B637" s="379" t="s">
        <v>51</v>
      </c>
      <c r="C637" s="379" t="s">
        <v>686</v>
      </c>
      <c r="D637" s="379" t="s">
        <v>59</v>
      </c>
      <c r="E637" s="379" t="s">
        <v>1470</v>
      </c>
      <c r="F637" s="379">
        <v>0</v>
      </c>
      <c r="G637" s="379">
        <v>0</v>
      </c>
      <c r="I637" s="359">
        <f t="shared" si="9"/>
        <v>664</v>
      </c>
    </row>
    <row r="638" spans="1:9" ht="15" x14ac:dyDescent="0.25">
      <c r="A638" s="379"/>
      <c r="B638" s="379" t="s">
        <v>51</v>
      </c>
      <c r="C638" s="379" t="s">
        <v>917</v>
      </c>
      <c r="D638" s="379" t="s">
        <v>62</v>
      </c>
      <c r="E638" s="379" t="s">
        <v>1469</v>
      </c>
      <c r="F638" s="379">
        <v>0</v>
      </c>
      <c r="G638" s="379">
        <v>0</v>
      </c>
      <c r="I638" s="359">
        <f t="shared" si="9"/>
        <v>724</v>
      </c>
    </row>
    <row r="639" spans="1:9" ht="15" x14ac:dyDescent="0.25">
      <c r="A639" s="379"/>
      <c r="B639" s="379" t="s">
        <v>51</v>
      </c>
      <c r="C639" s="379" t="s">
        <v>918</v>
      </c>
      <c r="D639" s="379" t="s">
        <v>62</v>
      </c>
      <c r="E639" s="379" t="s">
        <v>1470</v>
      </c>
      <c r="F639" s="379">
        <v>0</v>
      </c>
      <c r="G639" s="379">
        <v>0</v>
      </c>
      <c r="I639" s="359">
        <f t="shared" si="9"/>
        <v>368</v>
      </c>
    </row>
    <row r="640" spans="1:9" ht="15" x14ac:dyDescent="0.25">
      <c r="A640" s="379"/>
      <c r="B640" s="379" t="s">
        <v>51</v>
      </c>
      <c r="C640" s="379" t="s">
        <v>919</v>
      </c>
      <c r="D640" s="379" t="s">
        <v>62</v>
      </c>
      <c r="E640" s="379" t="s">
        <v>1470</v>
      </c>
      <c r="F640" s="379">
        <v>0</v>
      </c>
      <c r="G640" s="379">
        <v>0</v>
      </c>
      <c r="I640" s="359">
        <f t="shared" si="9"/>
        <v>840</v>
      </c>
    </row>
    <row r="641" spans="1:9" ht="15" x14ac:dyDescent="0.25">
      <c r="A641" s="379"/>
      <c r="B641" s="379" t="s">
        <v>51</v>
      </c>
      <c r="C641" s="379" t="s">
        <v>920</v>
      </c>
      <c r="D641" s="379" t="s">
        <v>67</v>
      </c>
      <c r="E641" s="379" t="s">
        <v>1469</v>
      </c>
      <c r="F641" s="379">
        <v>0</v>
      </c>
      <c r="G641" s="379">
        <v>0</v>
      </c>
      <c r="I641" s="359">
        <f t="shared" si="9"/>
        <v>791</v>
      </c>
    </row>
    <row r="642" spans="1:9" ht="15" x14ac:dyDescent="0.25">
      <c r="A642" s="379"/>
      <c r="B642" s="379" t="s">
        <v>51</v>
      </c>
      <c r="C642" s="379" t="s">
        <v>921</v>
      </c>
      <c r="D642" s="379" t="s">
        <v>62</v>
      </c>
      <c r="E642" s="379" t="s">
        <v>1470</v>
      </c>
      <c r="F642" s="379">
        <v>0</v>
      </c>
      <c r="G642" s="379">
        <v>0</v>
      </c>
      <c r="I642" s="359">
        <f t="shared" si="9"/>
        <v>521</v>
      </c>
    </row>
    <row r="643" spans="1:9" ht="15" x14ac:dyDescent="0.25">
      <c r="A643" s="379"/>
      <c r="B643" s="379" t="s">
        <v>51</v>
      </c>
      <c r="C643" s="379" t="s">
        <v>922</v>
      </c>
      <c r="D643" s="379" t="s">
        <v>59</v>
      </c>
      <c r="E643" s="379" t="s">
        <v>1470</v>
      </c>
      <c r="F643" s="379">
        <v>0</v>
      </c>
      <c r="G643" s="379">
        <v>0</v>
      </c>
      <c r="I643" s="359">
        <f t="shared" ref="I643:I706" si="10">SUMPRODUCT((C$2:C$1000 &lt; C643)+(C643="")*1000)</f>
        <v>910</v>
      </c>
    </row>
    <row r="644" spans="1:9" ht="15" x14ac:dyDescent="0.25">
      <c r="A644" s="379"/>
      <c r="B644" s="379" t="s">
        <v>51</v>
      </c>
      <c r="C644" s="379" t="s">
        <v>923</v>
      </c>
      <c r="D644" s="379" t="s">
        <v>59</v>
      </c>
      <c r="E644" s="379" t="s">
        <v>1469</v>
      </c>
      <c r="F644" s="379">
        <v>0</v>
      </c>
      <c r="G644" s="379">
        <v>0</v>
      </c>
      <c r="I644" s="359">
        <f t="shared" si="10"/>
        <v>888</v>
      </c>
    </row>
    <row r="645" spans="1:9" ht="15" x14ac:dyDescent="0.25">
      <c r="A645" s="379"/>
      <c r="B645" s="379" t="s">
        <v>51</v>
      </c>
      <c r="C645" s="379" t="s">
        <v>924</v>
      </c>
      <c r="D645" s="379" t="s">
        <v>59</v>
      </c>
      <c r="E645" s="379" t="s">
        <v>1469</v>
      </c>
      <c r="F645" s="379">
        <v>0</v>
      </c>
      <c r="G645" s="379">
        <v>0</v>
      </c>
      <c r="I645" s="359">
        <f t="shared" si="10"/>
        <v>628</v>
      </c>
    </row>
    <row r="646" spans="1:9" ht="15" x14ac:dyDescent="0.25">
      <c r="A646" s="379"/>
      <c r="B646" s="379" t="s">
        <v>51</v>
      </c>
      <c r="C646" s="379" t="s">
        <v>925</v>
      </c>
      <c r="D646" s="379" t="s">
        <v>61</v>
      </c>
      <c r="E646" s="379" t="s">
        <v>1469</v>
      </c>
      <c r="F646" s="379">
        <v>0</v>
      </c>
      <c r="G646" s="379">
        <v>0</v>
      </c>
      <c r="I646" s="359">
        <f t="shared" si="10"/>
        <v>457</v>
      </c>
    </row>
    <row r="647" spans="1:9" ht="15" x14ac:dyDescent="0.25">
      <c r="A647" s="379"/>
      <c r="B647" s="379" t="s">
        <v>51</v>
      </c>
      <c r="C647" s="379" t="s">
        <v>926</v>
      </c>
      <c r="D647" s="379" t="s">
        <v>59</v>
      </c>
      <c r="E647" s="379" t="s">
        <v>1469</v>
      </c>
      <c r="F647" s="379">
        <v>0</v>
      </c>
      <c r="G647" s="379">
        <v>0</v>
      </c>
      <c r="I647" s="359">
        <f t="shared" si="10"/>
        <v>889</v>
      </c>
    </row>
    <row r="648" spans="1:9" ht="15" x14ac:dyDescent="0.25">
      <c r="A648" s="379"/>
      <c r="B648" s="379" t="s">
        <v>51</v>
      </c>
      <c r="C648" s="379" t="s">
        <v>504</v>
      </c>
      <c r="D648" s="379" t="s">
        <v>61</v>
      </c>
      <c r="E648" s="379" t="s">
        <v>1469</v>
      </c>
      <c r="F648" s="379">
        <v>0</v>
      </c>
      <c r="G648" s="379">
        <v>0</v>
      </c>
      <c r="I648" s="359">
        <f t="shared" si="10"/>
        <v>144</v>
      </c>
    </row>
    <row r="649" spans="1:9" ht="15" x14ac:dyDescent="0.25">
      <c r="A649" s="379"/>
      <c r="B649" s="379" t="s">
        <v>1562</v>
      </c>
      <c r="C649" s="379" t="s">
        <v>1434</v>
      </c>
      <c r="D649" s="379" t="s">
        <v>62</v>
      </c>
      <c r="E649" s="379" t="s">
        <v>1469</v>
      </c>
      <c r="F649" s="379">
        <v>0</v>
      </c>
      <c r="G649" s="379">
        <v>0</v>
      </c>
      <c r="I649" s="359">
        <f t="shared" si="10"/>
        <v>2</v>
      </c>
    </row>
    <row r="650" spans="1:9" ht="15" x14ac:dyDescent="0.25">
      <c r="A650" s="379"/>
      <c r="B650" s="379" t="s">
        <v>51</v>
      </c>
      <c r="C650" s="379" t="s">
        <v>681</v>
      </c>
      <c r="D650" s="379" t="s">
        <v>75</v>
      </c>
      <c r="E650" s="379" t="s">
        <v>1469</v>
      </c>
      <c r="F650" s="379">
        <v>0</v>
      </c>
      <c r="G650" s="379">
        <v>0</v>
      </c>
      <c r="I650" s="359">
        <f t="shared" si="10"/>
        <v>947</v>
      </c>
    </row>
    <row r="651" spans="1:9" ht="15" x14ac:dyDescent="0.25">
      <c r="A651" s="379"/>
      <c r="B651" s="379" t="s">
        <v>51</v>
      </c>
      <c r="C651" s="379" t="s">
        <v>716</v>
      </c>
      <c r="D651" s="379" t="s">
        <v>73</v>
      </c>
      <c r="E651" s="379" t="s">
        <v>1469</v>
      </c>
      <c r="F651" s="379">
        <v>0</v>
      </c>
      <c r="G651" s="379">
        <v>0</v>
      </c>
      <c r="I651" s="359">
        <f t="shared" si="10"/>
        <v>202</v>
      </c>
    </row>
    <row r="652" spans="1:9" ht="15" x14ac:dyDescent="0.25">
      <c r="A652" s="379"/>
      <c r="B652" s="379" t="s">
        <v>51</v>
      </c>
      <c r="C652" s="379" t="s">
        <v>748</v>
      </c>
      <c r="D652" s="379" t="s">
        <v>59</v>
      </c>
      <c r="E652" s="379" t="s">
        <v>1469</v>
      </c>
      <c r="F652" s="379">
        <v>0</v>
      </c>
      <c r="G652" s="379">
        <v>0</v>
      </c>
      <c r="I652" s="359">
        <f t="shared" si="10"/>
        <v>404</v>
      </c>
    </row>
    <row r="653" spans="1:9" ht="15" x14ac:dyDescent="0.25">
      <c r="A653" s="379"/>
      <c r="B653" s="379" t="s">
        <v>1544</v>
      </c>
      <c r="C653" s="379" t="s">
        <v>687</v>
      </c>
      <c r="D653" s="379" t="s">
        <v>59</v>
      </c>
      <c r="E653" s="379" t="s">
        <v>1469</v>
      </c>
      <c r="F653" s="379">
        <v>0</v>
      </c>
      <c r="G653" s="379">
        <v>0</v>
      </c>
      <c r="I653" s="359">
        <f t="shared" si="10"/>
        <v>462</v>
      </c>
    </row>
    <row r="654" spans="1:9" ht="15" x14ac:dyDescent="0.25">
      <c r="A654" s="379"/>
      <c r="B654" s="379" t="s">
        <v>1544</v>
      </c>
      <c r="C654" s="379" t="s">
        <v>749</v>
      </c>
      <c r="D654" s="379" t="s">
        <v>59</v>
      </c>
      <c r="E654" s="379" t="s">
        <v>1469</v>
      </c>
      <c r="F654" s="379">
        <v>0</v>
      </c>
      <c r="G654" s="379">
        <v>0</v>
      </c>
      <c r="I654" s="359">
        <f t="shared" si="10"/>
        <v>873</v>
      </c>
    </row>
    <row r="655" spans="1:9" ht="15" x14ac:dyDescent="0.25">
      <c r="A655" s="379"/>
      <c r="B655" s="379" t="s">
        <v>51</v>
      </c>
      <c r="C655" s="379" t="s">
        <v>927</v>
      </c>
      <c r="D655" s="379" t="s">
        <v>59</v>
      </c>
      <c r="E655" s="379" t="s">
        <v>1469</v>
      </c>
      <c r="F655" s="379">
        <v>0</v>
      </c>
      <c r="G655" s="379">
        <v>0</v>
      </c>
      <c r="I655" s="359">
        <f t="shared" si="10"/>
        <v>121</v>
      </c>
    </row>
    <row r="656" spans="1:9" ht="15" x14ac:dyDescent="0.25">
      <c r="A656" s="379"/>
      <c r="B656" s="379" t="s">
        <v>51</v>
      </c>
      <c r="C656" s="379" t="s">
        <v>928</v>
      </c>
      <c r="D656" s="379" t="s">
        <v>61</v>
      </c>
      <c r="E656" s="379" t="s">
        <v>1470</v>
      </c>
      <c r="F656" s="379">
        <v>0</v>
      </c>
      <c r="G656" s="379">
        <v>0</v>
      </c>
      <c r="I656" s="359">
        <f t="shared" si="10"/>
        <v>273</v>
      </c>
    </row>
    <row r="657" spans="1:9" ht="15" x14ac:dyDescent="0.25">
      <c r="A657" s="379"/>
      <c r="B657" s="379" t="s">
        <v>51</v>
      </c>
      <c r="C657" s="379" t="s">
        <v>929</v>
      </c>
      <c r="D657" s="379" t="s">
        <v>61</v>
      </c>
      <c r="E657" s="379" t="s">
        <v>1469</v>
      </c>
      <c r="F657" s="379">
        <v>0</v>
      </c>
      <c r="G657" s="379">
        <v>0</v>
      </c>
      <c r="I657" s="359">
        <f t="shared" si="10"/>
        <v>685</v>
      </c>
    </row>
    <row r="658" spans="1:9" ht="15" x14ac:dyDescent="0.25">
      <c r="A658" s="379"/>
      <c r="B658" s="379" t="s">
        <v>51</v>
      </c>
      <c r="C658" s="379" t="s">
        <v>590</v>
      </c>
      <c r="D658" s="379" t="s">
        <v>69</v>
      </c>
      <c r="E658" s="379" t="s">
        <v>1469</v>
      </c>
      <c r="F658" s="379">
        <v>0</v>
      </c>
      <c r="G658" s="379">
        <v>0</v>
      </c>
      <c r="I658" s="359">
        <f t="shared" si="10"/>
        <v>373</v>
      </c>
    </row>
    <row r="659" spans="1:9" ht="15" x14ac:dyDescent="0.25">
      <c r="A659" s="379"/>
      <c r="B659" s="379" t="s">
        <v>51</v>
      </c>
      <c r="C659" s="379" t="s">
        <v>930</v>
      </c>
      <c r="D659" s="379" t="s">
        <v>61</v>
      </c>
      <c r="E659" s="379" t="s">
        <v>1469</v>
      </c>
      <c r="F659" s="379">
        <v>0</v>
      </c>
      <c r="G659" s="379">
        <v>0</v>
      </c>
      <c r="I659" s="359">
        <f t="shared" si="10"/>
        <v>156</v>
      </c>
    </row>
    <row r="660" spans="1:9" ht="15" x14ac:dyDescent="0.25">
      <c r="A660" s="379"/>
      <c r="B660" s="379" t="s">
        <v>51</v>
      </c>
      <c r="C660" s="379" t="s">
        <v>931</v>
      </c>
      <c r="D660" s="379" t="s">
        <v>61</v>
      </c>
      <c r="E660" s="379" t="s">
        <v>1469</v>
      </c>
      <c r="F660" s="379">
        <v>0</v>
      </c>
      <c r="G660" s="379">
        <v>0</v>
      </c>
      <c r="I660" s="359">
        <f t="shared" si="10"/>
        <v>386</v>
      </c>
    </row>
    <row r="661" spans="1:9" ht="15" x14ac:dyDescent="0.25">
      <c r="A661" s="379"/>
      <c r="B661" s="379" t="s">
        <v>51</v>
      </c>
      <c r="C661" s="379" t="s">
        <v>932</v>
      </c>
      <c r="D661" s="379" t="s">
        <v>61</v>
      </c>
      <c r="E661" s="379" t="s">
        <v>1469</v>
      </c>
      <c r="F661" s="379">
        <v>0</v>
      </c>
      <c r="G661" s="379">
        <v>0</v>
      </c>
      <c r="I661" s="359">
        <f t="shared" si="10"/>
        <v>39</v>
      </c>
    </row>
    <row r="662" spans="1:9" ht="15" x14ac:dyDescent="0.25">
      <c r="A662" s="379"/>
      <c r="B662" s="379" t="s">
        <v>51</v>
      </c>
      <c r="C662" s="379" t="s">
        <v>933</v>
      </c>
      <c r="D662" s="379" t="s">
        <v>59</v>
      </c>
      <c r="E662" s="379" t="s">
        <v>1469</v>
      </c>
      <c r="F662" s="379">
        <v>0</v>
      </c>
      <c r="G662" s="379">
        <v>0</v>
      </c>
      <c r="I662" s="359">
        <f t="shared" si="10"/>
        <v>556</v>
      </c>
    </row>
    <row r="663" spans="1:9" ht="15" x14ac:dyDescent="0.25">
      <c r="A663" s="379"/>
      <c r="B663" s="379" t="s">
        <v>51</v>
      </c>
      <c r="C663" s="379" t="s">
        <v>934</v>
      </c>
      <c r="D663" s="379" t="s">
        <v>69</v>
      </c>
      <c r="E663" s="379" t="s">
        <v>1469</v>
      </c>
      <c r="F663" s="379">
        <v>0</v>
      </c>
      <c r="G663" s="379">
        <v>0</v>
      </c>
      <c r="I663" s="359">
        <f t="shared" si="10"/>
        <v>701</v>
      </c>
    </row>
    <row r="664" spans="1:9" ht="15" x14ac:dyDescent="0.25">
      <c r="A664" s="379"/>
      <c r="B664" s="379" t="s">
        <v>51</v>
      </c>
      <c r="C664" s="379" t="s">
        <v>660</v>
      </c>
      <c r="D664" s="379" t="s">
        <v>69</v>
      </c>
      <c r="E664" s="379" t="s">
        <v>1469</v>
      </c>
      <c r="F664" s="379">
        <v>0</v>
      </c>
      <c r="G664" s="379">
        <v>0</v>
      </c>
      <c r="I664" s="359">
        <f t="shared" si="10"/>
        <v>542</v>
      </c>
    </row>
    <row r="665" spans="1:9" ht="15" x14ac:dyDescent="0.25">
      <c r="A665" s="379"/>
      <c r="B665" s="379" t="s">
        <v>51</v>
      </c>
      <c r="C665" s="379" t="s">
        <v>666</v>
      </c>
      <c r="D665" s="379" t="s">
        <v>69</v>
      </c>
      <c r="E665" s="379" t="s">
        <v>1469</v>
      </c>
      <c r="F665" s="379">
        <v>0</v>
      </c>
      <c r="G665" s="379">
        <v>0</v>
      </c>
      <c r="I665" s="359">
        <f t="shared" si="10"/>
        <v>991</v>
      </c>
    </row>
    <row r="666" spans="1:9" ht="15" x14ac:dyDescent="0.25">
      <c r="A666" s="379"/>
      <c r="B666" s="379" t="s">
        <v>51</v>
      </c>
      <c r="C666" s="379" t="s">
        <v>935</v>
      </c>
      <c r="D666" s="379" t="s">
        <v>61</v>
      </c>
      <c r="E666" s="379" t="s">
        <v>1469</v>
      </c>
      <c r="F666" s="379">
        <v>0</v>
      </c>
      <c r="G666" s="379">
        <v>0</v>
      </c>
      <c r="I666" s="359">
        <f t="shared" si="10"/>
        <v>718</v>
      </c>
    </row>
    <row r="667" spans="1:9" ht="15" x14ac:dyDescent="0.25">
      <c r="A667" s="379"/>
      <c r="B667" s="379" t="s">
        <v>51</v>
      </c>
      <c r="C667" s="379" t="s">
        <v>753</v>
      </c>
      <c r="D667" s="379" t="s">
        <v>59</v>
      </c>
      <c r="E667" s="379" t="s">
        <v>1470</v>
      </c>
      <c r="F667" s="379">
        <v>0</v>
      </c>
      <c r="G667" s="379">
        <v>0</v>
      </c>
      <c r="I667" s="359">
        <f t="shared" si="10"/>
        <v>901</v>
      </c>
    </row>
    <row r="668" spans="1:9" ht="15" x14ac:dyDescent="0.25">
      <c r="A668" s="379"/>
      <c r="B668" s="379" t="s">
        <v>51</v>
      </c>
      <c r="C668" s="379" t="s">
        <v>936</v>
      </c>
      <c r="D668" s="379" t="s">
        <v>59</v>
      </c>
      <c r="E668" s="379" t="s">
        <v>1469</v>
      </c>
      <c r="F668" s="379">
        <v>0</v>
      </c>
      <c r="G668" s="379">
        <v>0</v>
      </c>
      <c r="I668" s="359">
        <f t="shared" si="10"/>
        <v>827</v>
      </c>
    </row>
    <row r="669" spans="1:9" ht="15" x14ac:dyDescent="0.25">
      <c r="A669" s="379"/>
      <c r="B669" s="379" t="s">
        <v>51</v>
      </c>
      <c r="C669" s="379" t="s">
        <v>937</v>
      </c>
      <c r="D669" s="379" t="s">
        <v>59</v>
      </c>
      <c r="E669" s="379" t="s">
        <v>1469</v>
      </c>
      <c r="F669" s="379">
        <v>0</v>
      </c>
      <c r="G669" s="379">
        <v>0</v>
      </c>
      <c r="I669" s="359">
        <f t="shared" si="10"/>
        <v>359</v>
      </c>
    </row>
    <row r="670" spans="1:9" ht="15" x14ac:dyDescent="0.25">
      <c r="A670" s="379"/>
      <c r="B670" s="379" t="s">
        <v>1562</v>
      </c>
      <c r="C670" s="379" t="s">
        <v>1435</v>
      </c>
      <c r="D670" s="379" t="s">
        <v>62</v>
      </c>
      <c r="E670" s="379" t="s">
        <v>1469</v>
      </c>
      <c r="F670" s="379">
        <v>0</v>
      </c>
      <c r="G670" s="379">
        <v>0</v>
      </c>
      <c r="I670" s="359">
        <f t="shared" si="10"/>
        <v>336</v>
      </c>
    </row>
    <row r="671" spans="1:9" ht="15" x14ac:dyDescent="0.25">
      <c r="A671" s="379"/>
      <c r="B671" s="379" t="s">
        <v>51</v>
      </c>
      <c r="C671" s="379" t="s">
        <v>938</v>
      </c>
      <c r="D671" s="379" t="s">
        <v>1585</v>
      </c>
      <c r="E671" s="379" t="s">
        <v>1469</v>
      </c>
      <c r="F671" s="379">
        <v>0</v>
      </c>
      <c r="G671" s="379">
        <v>0</v>
      </c>
      <c r="I671" s="359">
        <f t="shared" si="10"/>
        <v>610</v>
      </c>
    </row>
    <row r="672" spans="1:9" ht="15" x14ac:dyDescent="0.25">
      <c r="A672" s="379"/>
      <c r="B672" s="379" t="s">
        <v>51</v>
      </c>
      <c r="C672" s="379" t="s">
        <v>1239</v>
      </c>
      <c r="D672" s="379" t="s">
        <v>1240</v>
      </c>
      <c r="E672" s="379" t="s">
        <v>1469</v>
      </c>
      <c r="F672" s="379">
        <v>0</v>
      </c>
      <c r="G672" s="379">
        <v>0</v>
      </c>
      <c r="I672" s="359">
        <f t="shared" si="10"/>
        <v>673</v>
      </c>
    </row>
    <row r="673" spans="1:9" ht="15" x14ac:dyDescent="0.25">
      <c r="A673" s="379"/>
      <c r="B673" s="379" t="s">
        <v>51</v>
      </c>
      <c r="C673" s="379" t="s">
        <v>939</v>
      </c>
      <c r="D673" s="379" t="s">
        <v>59</v>
      </c>
      <c r="E673" s="379" t="s">
        <v>1470</v>
      </c>
      <c r="F673" s="379">
        <v>0</v>
      </c>
      <c r="G673" s="379">
        <v>0</v>
      </c>
      <c r="I673" s="359">
        <f t="shared" si="10"/>
        <v>143</v>
      </c>
    </row>
    <row r="674" spans="1:9" ht="15" x14ac:dyDescent="0.25">
      <c r="A674" s="379"/>
      <c r="B674" s="379" t="s">
        <v>51</v>
      </c>
      <c r="C674" s="379" t="s">
        <v>940</v>
      </c>
      <c r="D674" s="379" t="s">
        <v>59</v>
      </c>
      <c r="E674" s="379" t="s">
        <v>1469</v>
      </c>
      <c r="F674" s="379">
        <v>0</v>
      </c>
      <c r="G674" s="379">
        <v>0</v>
      </c>
      <c r="I674" s="359">
        <f t="shared" si="10"/>
        <v>890</v>
      </c>
    </row>
    <row r="675" spans="1:9" ht="15" x14ac:dyDescent="0.25">
      <c r="A675" s="379"/>
      <c r="B675" s="379" t="s">
        <v>51</v>
      </c>
      <c r="C675" s="379" t="s">
        <v>942</v>
      </c>
      <c r="D675" s="379" t="s">
        <v>59</v>
      </c>
      <c r="E675" s="379" t="s">
        <v>1469</v>
      </c>
      <c r="F675" s="379">
        <v>0</v>
      </c>
      <c r="G675" s="379">
        <v>0</v>
      </c>
      <c r="I675" s="359">
        <f t="shared" si="10"/>
        <v>686</v>
      </c>
    </row>
    <row r="676" spans="1:9" ht="15" x14ac:dyDescent="0.25">
      <c r="A676" s="379"/>
      <c r="B676" s="379" t="s">
        <v>51</v>
      </c>
      <c r="C676" s="379" t="s">
        <v>943</v>
      </c>
      <c r="D676" s="379" t="s">
        <v>59</v>
      </c>
      <c r="E676" s="379" t="s">
        <v>1469</v>
      </c>
      <c r="F676" s="379">
        <v>0</v>
      </c>
      <c r="G676" s="379">
        <v>0</v>
      </c>
      <c r="I676" s="359">
        <f t="shared" si="10"/>
        <v>646</v>
      </c>
    </row>
    <row r="677" spans="1:9" ht="15" x14ac:dyDescent="0.25">
      <c r="A677" s="379"/>
      <c r="B677" s="379" t="s">
        <v>1659</v>
      </c>
      <c r="C677" s="379" t="s">
        <v>1424</v>
      </c>
      <c r="D677" s="379" t="s">
        <v>62</v>
      </c>
      <c r="E677" s="379" t="s">
        <v>1469</v>
      </c>
      <c r="F677" s="379">
        <v>0</v>
      </c>
      <c r="G677" s="379">
        <v>0</v>
      </c>
      <c r="I677" s="359">
        <f t="shared" si="10"/>
        <v>653</v>
      </c>
    </row>
    <row r="678" spans="1:9" ht="15" x14ac:dyDescent="0.25">
      <c r="A678" s="379"/>
      <c r="B678" s="379" t="s">
        <v>51</v>
      </c>
      <c r="C678" s="379" t="s">
        <v>944</v>
      </c>
      <c r="D678" s="379" t="s">
        <v>61</v>
      </c>
      <c r="E678" s="379" t="s">
        <v>1470</v>
      </c>
      <c r="F678" s="379">
        <v>0</v>
      </c>
      <c r="G678" s="379">
        <v>0</v>
      </c>
      <c r="I678" s="359">
        <f t="shared" si="10"/>
        <v>408</v>
      </c>
    </row>
    <row r="679" spans="1:9" ht="15" x14ac:dyDescent="0.25">
      <c r="A679" s="379"/>
      <c r="B679" s="379" t="s">
        <v>51</v>
      </c>
      <c r="C679" s="379" t="s">
        <v>945</v>
      </c>
      <c r="D679" s="379" t="s">
        <v>61</v>
      </c>
      <c r="E679" s="379" t="s">
        <v>1469</v>
      </c>
      <c r="F679" s="379">
        <v>0</v>
      </c>
      <c r="G679" s="379">
        <v>0</v>
      </c>
      <c r="I679" s="359">
        <f t="shared" si="10"/>
        <v>24</v>
      </c>
    </row>
    <row r="680" spans="1:9" ht="15" x14ac:dyDescent="0.25">
      <c r="A680" s="379"/>
      <c r="B680" s="379" t="s">
        <v>51</v>
      </c>
      <c r="C680" s="379" t="s">
        <v>1218</v>
      </c>
      <c r="D680" s="379" t="s">
        <v>59</v>
      </c>
      <c r="E680" s="379" t="s">
        <v>1469</v>
      </c>
      <c r="F680" s="379">
        <v>0</v>
      </c>
      <c r="G680" s="379">
        <v>0</v>
      </c>
      <c r="I680" s="359">
        <f t="shared" si="10"/>
        <v>254</v>
      </c>
    </row>
    <row r="681" spans="1:9" ht="15" x14ac:dyDescent="0.25">
      <c r="A681" s="379"/>
      <c r="B681" s="379" t="s">
        <v>51</v>
      </c>
      <c r="C681" s="379" t="s">
        <v>946</v>
      </c>
      <c r="D681" s="379" t="s">
        <v>191</v>
      </c>
      <c r="E681" s="379" t="s">
        <v>1469</v>
      </c>
      <c r="F681" s="379">
        <v>0</v>
      </c>
      <c r="G681" s="379">
        <v>0</v>
      </c>
      <c r="I681" s="359">
        <f t="shared" si="10"/>
        <v>425</v>
      </c>
    </row>
    <row r="682" spans="1:9" ht="15" x14ac:dyDescent="0.25">
      <c r="A682" s="379"/>
      <c r="B682" s="379" t="s">
        <v>51</v>
      </c>
      <c r="C682" s="379" t="s">
        <v>1310</v>
      </c>
      <c r="D682" s="379" t="s">
        <v>58</v>
      </c>
      <c r="E682" s="379" t="s">
        <v>1469</v>
      </c>
      <c r="F682" s="379">
        <v>0</v>
      </c>
      <c r="G682" s="379">
        <v>0</v>
      </c>
      <c r="I682" s="359">
        <f t="shared" si="10"/>
        <v>86</v>
      </c>
    </row>
    <row r="683" spans="1:9" ht="15" x14ac:dyDescent="0.25">
      <c r="A683" s="379"/>
      <c r="B683" s="379" t="s">
        <v>51</v>
      </c>
      <c r="C683" s="379" t="s">
        <v>947</v>
      </c>
      <c r="D683" s="379" t="s">
        <v>58</v>
      </c>
      <c r="E683" s="379" t="s">
        <v>1470</v>
      </c>
      <c r="F683" s="379">
        <v>0</v>
      </c>
      <c r="G683" s="379">
        <v>0</v>
      </c>
      <c r="I683" s="359">
        <f t="shared" si="10"/>
        <v>325</v>
      </c>
    </row>
    <row r="684" spans="1:9" ht="15" x14ac:dyDescent="0.25">
      <c r="A684" s="379"/>
      <c r="B684" s="379" t="s">
        <v>51</v>
      </c>
      <c r="C684" s="379" t="s">
        <v>565</v>
      </c>
      <c r="D684" s="379" t="s">
        <v>69</v>
      </c>
      <c r="E684" s="379" t="s">
        <v>1469</v>
      </c>
      <c r="F684" s="379">
        <v>0</v>
      </c>
      <c r="G684" s="379">
        <v>0</v>
      </c>
      <c r="I684" s="359">
        <f t="shared" si="10"/>
        <v>980</v>
      </c>
    </row>
    <row r="685" spans="1:9" ht="15" x14ac:dyDescent="0.25">
      <c r="A685" s="379"/>
      <c r="B685" s="379" t="s">
        <v>51</v>
      </c>
      <c r="C685" s="379" t="s">
        <v>667</v>
      </c>
      <c r="D685" s="379" t="s">
        <v>69</v>
      </c>
      <c r="E685" s="379" t="s">
        <v>1469</v>
      </c>
      <c r="F685" s="379">
        <v>0</v>
      </c>
      <c r="G685" s="379">
        <v>0</v>
      </c>
      <c r="I685" s="359">
        <f t="shared" si="10"/>
        <v>637</v>
      </c>
    </row>
    <row r="686" spans="1:9" ht="15" x14ac:dyDescent="0.25">
      <c r="A686" s="379"/>
      <c r="B686" s="379" t="s">
        <v>51</v>
      </c>
      <c r="C686" s="379" t="s">
        <v>948</v>
      </c>
      <c r="D686" s="379" t="s">
        <v>58</v>
      </c>
      <c r="E686" s="379" t="s">
        <v>1469</v>
      </c>
      <c r="F686" s="379">
        <v>0</v>
      </c>
      <c r="G686" s="379">
        <v>0</v>
      </c>
      <c r="I686" s="359">
        <f t="shared" si="10"/>
        <v>866</v>
      </c>
    </row>
    <row r="687" spans="1:9" ht="15" x14ac:dyDescent="0.25">
      <c r="A687" s="379"/>
      <c r="B687" s="379" t="s">
        <v>51</v>
      </c>
      <c r="C687" s="379" t="s">
        <v>949</v>
      </c>
      <c r="D687" s="379" t="s">
        <v>61</v>
      </c>
      <c r="E687" s="379" t="s">
        <v>1469</v>
      </c>
      <c r="F687" s="379">
        <v>0</v>
      </c>
      <c r="G687" s="379">
        <v>0</v>
      </c>
      <c r="I687" s="359">
        <f t="shared" si="10"/>
        <v>770</v>
      </c>
    </row>
    <row r="688" spans="1:9" ht="15" x14ac:dyDescent="0.25">
      <c r="A688" s="379"/>
      <c r="B688" s="379" t="s">
        <v>1673</v>
      </c>
      <c r="C688" s="379" t="s">
        <v>950</v>
      </c>
      <c r="D688" s="379" t="s">
        <v>59</v>
      </c>
      <c r="E688" s="379" t="s">
        <v>1469</v>
      </c>
      <c r="F688" s="379">
        <v>0</v>
      </c>
      <c r="G688" s="379">
        <v>0</v>
      </c>
      <c r="I688" s="359">
        <f t="shared" si="10"/>
        <v>870</v>
      </c>
    </row>
    <row r="689" spans="1:9" ht="15" x14ac:dyDescent="0.25">
      <c r="A689" s="379"/>
      <c r="B689" s="379" t="s">
        <v>51</v>
      </c>
      <c r="C689" s="379" t="s">
        <v>951</v>
      </c>
      <c r="D689" s="379" t="s">
        <v>59</v>
      </c>
      <c r="E689" s="379" t="s">
        <v>1469</v>
      </c>
      <c r="F689" s="379">
        <v>0</v>
      </c>
      <c r="G689" s="379">
        <v>0</v>
      </c>
      <c r="I689" s="359">
        <f t="shared" si="10"/>
        <v>94</v>
      </c>
    </row>
    <row r="690" spans="1:9" ht="15" x14ac:dyDescent="0.25">
      <c r="A690" s="379"/>
      <c r="B690" s="379" t="s">
        <v>51</v>
      </c>
      <c r="C690" s="379" t="s">
        <v>952</v>
      </c>
      <c r="D690" s="379" t="s">
        <v>59</v>
      </c>
      <c r="E690" s="379" t="s">
        <v>1469</v>
      </c>
      <c r="F690" s="379">
        <v>0</v>
      </c>
      <c r="G690" s="379">
        <v>0</v>
      </c>
      <c r="I690" s="359">
        <f t="shared" si="10"/>
        <v>891</v>
      </c>
    </row>
    <row r="691" spans="1:9" ht="15" x14ac:dyDescent="0.25">
      <c r="A691" s="379"/>
      <c r="B691" s="379" t="s">
        <v>51</v>
      </c>
      <c r="C691" s="379" t="s">
        <v>953</v>
      </c>
      <c r="D691" s="379" t="s">
        <v>59</v>
      </c>
      <c r="E691" s="379" t="s">
        <v>1469</v>
      </c>
      <c r="F691" s="379">
        <v>0</v>
      </c>
      <c r="G691" s="379">
        <v>0</v>
      </c>
      <c r="I691" s="359">
        <f t="shared" si="10"/>
        <v>595</v>
      </c>
    </row>
    <row r="692" spans="1:9" ht="15" x14ac:dyDescent="0.25">
      <c r="A692" s="379"/>
      <c r="B692" s="379" t="s">
        <v>51</v>
      </c>
      <c r="C692" s="379" t="s">
        <v>954</v>
      </c>
      <c r="D692" s="379" t="s">
        <v>62</v>
      </c>
      <c r="E692" s="379" t="s">
        <v>1470</v>
      </c>
      <c r="F692" s="379">
        <v>0</v>
      </c>
      <c r="G692" s="379">
        <v>0</v>
      </c>
      <c r="I692" s="359">
        <f t="shared" si="10"/>
        <v>79</v>
      </c>
    </row>
    <row r="693" spans="1:9" ht="15" x14ac:dyDescent="0.25">
      <c r="A693" s="379"/>
      <c r="B693" s="379" t="s">
        <v>51</v>
      </c>
      <c r="C693" s="379" t="s">
        <v>754</v>
      </c>
      <c r="D693" s="379" t="s">
        <v>59</v>
      </c>
      <c r="E693" s="379" t="s">
        <v>1469</v>
      </c>
      <c r="F693" s="379">
        <v>0</v>
      </c>
      <c r="G693" s="379">
        <v>0</v>
      </c>
      <c r="I693" s="359">
        <f t="shared" si="10"/>
        <v>243</v>
      </c>
    </row>
    <row r="694" spans="1:9" ht="15" x14ac:dyDescent="0.25">
      <c r="A694" s="379"/>
      <c r="B694" s="379" t="s">
        <v>51</v>
      </c>
      <c r="C694" s="379" t="s">
        <v>955</v>
      </c>
      <c r="D694" s="379" t="s">
        <v>62</v>
      </c>
      <c r="E694" s="379" t="s">
        <v>1469</v>
      </c>
      <c r="F694" s="379">
        <v>0</v>
      </c>
      <c r="G694" s="379">
        <v>0</v>
      </c>
      <c r="I694" s="359">
        <f t="shared" si="10"/>
        <v>38</v>
      </c>
    </row>
    <row r="695" spans="1:9" ht="15" x14ac:dyDescent="0.25">
      <c r="A695" s="379"/>
      <c r="B695" s="379" t="s">
        <v>51</v>
      </c>
      <c r="C695" s="379" t="s">
        <v>1012</v>
      </c>
      <c r="D695" s="379" t="s">
        <v>1585</v>
      </c>
      <c r="E695" s="379" t="s">
        <v>1469</v>
      </c>
      <c r="F695" s="379">
        <v>0</v>
      </c>
      <c r="G695" s="379">
        <v>0</v>
      </c>
      <c r="I695" s="359">
        <f t="shared" si="10"/>
        <v>643</v>
      </c>
    </row>
    <row r="696" spans="1:9" ht="15" x14ac:dyDescent="0.25">
      <c r="A696" s="379"/>
      <c r="B696" s="379" t="s">
        <v>51</v>
      </c>
      <c r="C696" s="379" t="s">
        <v>956</v>
      </c>
      <c r="D696" s="379" t="s">
        <v>58</v>
      </c>
      <c r="E696" s="379" t="s">
        <v>1469</v>
      </c>
      <c r="F696" s="379">
        <v>0</v>
      </c>
      <c r="G696" s="379">
        <v>0</v>
      </c>
      <c r="I696" s="359">
        <f t="shared" si="10"/>
        <v>306</v>
      </c>
    </row>
    <row r="697" spans="1:9" ht="15" x14ac:dyDescent="0.25">
      <c r="A697" s="379"/>
      <c r="B697" s="379" t="s">
        <v>51</v>
      </c>
      <c r="C697" s="379" t="s">
        <v>636</v>
      </c>
      <c r="D697" s="379" t="s">
        <v>69</v>
      </c>
      <c r="E697" s="379" t="s">
        <v>1469</v>
      </c>
      <c r="F697" s="379">
        <v>0</v>
      </c>
      <c r="G697" s="379">
        <v>0</v>
      </c>
      <c r="I697" s="359">
        <f t="shared" si="10"/>
        <v>633</v>
      </c>
    </row>
    <row r="698" spans="1:9" ht="15" x14ac:dyDescent="0.25">
      <c r="A698" s="379"/>
      <c r="B698" s="379" t="s">
        <v>51</v>
      </c>
      <c r="C698" s="379" t="s">
        <v>957</v>
      </c>
      <c r="D698" s="379" t="s">
        <v>59</v>
      </c>
      <c r="E698" s="379" t="s">
        <v>1469</v>
      </c>
      <c r="F698" s="379">
        <v>0</v>
      </c>
      <c r="G698" s="379">
        <v>0</v>
      </c>
      <c r="I698" s="359">
        <f t="shared" si="10"/>
        <v>116</v>
      </c>
    </row>
    <row r="699" spans="1:9" ht="15" x14ac:dyDescent="0.25">
      <c r="A699" s="379"/>
      <c r="B699" s="379" t="s">
        <v>51</v>
      </c>
      <c r="C699" s="379" t="s">
        <v>958</v>
      </c>
      <c r="D699" s="379" t="s">
        <v>62</v>
      </c>
      <c r="E699" s="379" t="s">
        <v>1469</v>
      </c>
      <c r="F699" s="379">
        <v>0</v>
      </c>
      <c r="G699" s="379">
        <v>0</v>
      </c>
      <c r="I699" s="359">
        <f t="shared" si="10"/>
        <v>126</v>
      </c>
    </row>
    <row r="700" spans="1:9" ht="15" x14ac:dyDescent="0.25">
      <c r="A700" s="379"/>
      <c r="B700" s="379" t="s">
        <v>51</v>
      </c>
      <c r="C700" s="379" t="s">
        <v>959</v>
      </c>
      <c r="D700" s="379" t="s">
        <v>62</v>
      </c>
      <c r="E700" s="379" t="s">
        <v>1469</v>
      </c>
      <c r="F700" s="379">
        <v>0</v>
      </c>
      <c r="G700" s="379">
        <v>0</v>
      </c>
      <c r="I700" s="359">
        <f t="shared" si="10"/>
        <v>818</v>
      </c>
    </row>
    <row r="701" spans="1:9" ht="15" x14ac:dyDescent="0.25">
      <c r="A701" s="379"/>
      <c r="B701" s="379" t="s">
        <v>51</v>
      </c>
      <c r="C701" s="379" t="s">
        <v>537</v>
      </c>
      <c r="D701" s="379" t="s">
        <v>69</v>
      </c>
      <c r="E701" s="379" t="s">
        <v>1469</v>
      </c>
      <c r="F701" s="379">
        <v>0</v>
      </c>
      <c r="G701" s="379">
        <v>0</v>
      </c>
      <c r="I701" s="359">
        <f t="shared" si="10"/>
        <v>951</v>
      </c>
    </row>
    <row r="702" spans="1:9" ht="15" x14ac:dyDescent="0.25">
      <c r="A702" s="379"/>
      <c r="B702" s="379" t="s">
        <v>51</v>
      </c>
      <c r="C702" s="379" t="s">
        <v>960</v>
      </c>
      <c r="D702" s="379" t="s">
        <v>61</v>
      </c>
      <c r="E702" s="379" t="s">
        <v>1469</v>
      </c>
      <c r="F702" s="379">
        <v>0</v>
      </c>
      <c r="G702" s="379">
        <v>0</v>
      </c>
      <c r="I702" s="359">
        <f t="shared" si="10"/>
        <v>150</v>
      </c>
    </row>
    <row r="703" spans="1:9" ht="15" x14ac:dyDescent="0.25">
      <c r="A703" s="379"/>
      <c r="B703" s="379" t="s">
        <v>51</v>
      </c>
      <c r="C703" s="379" t="s">
        <v>731</v>
      </c>
      <c r="D703" s="379" t="s">
        <v>59</v>
      </c>
      <c r="E703" s="379" t="s">
        <v>1469</v>
      </c>
      <c r="F703" s="379">
        <v>0</v>
      </c>
      <c r="G703" s="379">
        <v>0</v>
      </c>
      <c r="I703" s="359">
        <f t="shared" si="10"/>
        <v>402</v>
      </c>
    </row>
    <row r="704" spans="1:9" ht="15" x14ac:dyDescent="0.25">
      <c r="A704" s="379"/>
      <c r="B704" s="379" t="s">
        <v>51</v>
      </c>
      <c r="C704" s="379" t="s">
        <v>962</v>
      </c>
      <c r="D704" s="379" t="s">
        <v>59</v>
      </c>
      <c r="E704" s="379" t="s">
        <v>1470</v>
      </c>
      <c r="F704" s="379">
        <v>0</v>
      </c>
      <c r="G704" s="379">
        <v>0</v>
      </c>
      <c r="I704" s="359">
        <f t="shared" si="10"/>
        <v>420</v>
      </c>
    </row>
    <row r="705" spans="1:9" ht="15" x14ac:dyDescent="0.25">
      <c r="A705" s="379"/>
      <c r="B705" s="379" t="s">
        <v>51</v>
      </c>
      <c r="C705" s="379" t="s">
        <v>963</v>
      </c>
      <c r="D705" s="379" t="s">
        <v>59</v>
      </c>
      <c r="E705" s="379" t="s">
        <v>1469</v>
      </c>
      <c r="F705" s="379">
        <v>0</v>
      </c>
      <c r="G705" s="379">
        <v>0</v>
      </c>
      <c r="I705" s="359">
        <f t="shared" si="10"/>
        <v>227</v>
      </c>
    </row>
    <row r="706" spans="1:9" ht="15" x14ac:dyDescent="0.25">
      <c r="A706" s="379"/>
      <c r="B706" s="379" t="s">
        <v>51</v>
      </c>
      <c r="C706" s="379" t="s">
        <v>964</v>
      </c>
      <c r="D706" s="379" t="s">
        <v>59</v>
      </c>
      <c r="E706" s="379" t="s">
        <v>1469</v>
      </c>
      <c r="F706" s="379">
        <v>0</v>
      </c>
      <c r="G706" s="379">
        <v>0</v>
      </c>
      <c r="I706" s="359">
        <f t="shared" si="10"/>
        <v>670</v>
      </c>
    </row>
    <row r="707" spans="1:9" ht="15" x14ac:dyDescent="0.25">
      <c r="A707" s="379"/>
      <c r="B707" s="379" t="s">
        <v>51</v>
      </c>
      <c r="C707" s="379" t="s">
        <v>965</v>
      </c>
      <c r="D707" s="379" t="s">
        <v>59</v>
      </c>
      <c r="E707" s="379" t="s">
        <v>1469</v>
      </c>
      <c r="F707" s="379">
        <v>0</v>
      </c>
      <c r="G707" s="379">
        <v>0</v>
      </c>
      <c r="I707" s="359">
        <f t="shared" ref="I707:I770" si="11">SUMPRODUCT((C$2:C$1000 &lt; C707)+(C707="")*1000)</f>
        <v>177</v>
      </c>
    </row>
    <row r="708" spans="1:9" ht="15" x14ac:dyDescent="0.25">
      <c r="A708" s="379"/>
      <c r="B708" s="379" t="s">
        <v>51</v>
      </c>
      <c r="C708" s="379" t="s">
        <v>966</v>
      </c>
      <c r="D708" s="379" t="s">
        <v>59</v>
      </c>
      <c r="E708" s="379" t="s">
        <v>1469</v>
      </c>
      <c r="F708" s="379">
        <v>0</v>
      </c>
      <c r="G708" s="379">
        <v>0</v>
      </c>
      <c r="I708" s="359">
        <f t="shared" si="11"/>
        <v>488</v>
      </c>
    </row>
    <row r="709" spans="1:9" ht="15" x14ac:dyDescent="0.25">
      <c r="A709" s="379"/>
      <c r="B709" s="379" t="s">
        <v>51</v>
      </c>
      <c r="C709" s="379" t="s">
        <v>967</v>
      </c>
      <c r="D709" s="379" t="s">
        <v>61</v>
      </c>
      <c r="E709" s="379" t="s">
        <v>1469</v>
      </c>
      <c r="F709" s="379">
        <v>0</v>
      </c>
      <c r="G709" s="379">
        <v>0</v>
      </c>
      <c r="I709" s="359">
        <f t="shared" si="11"/>
        <v>379</v>
      </c>
    </row>
    <row r="710" spans="1:9" ht="15" x14ac:dyDescent="0.25">
      <c r="A710" s="379"/>
      <c r="B710" s="379" t="s">
        <v>51</v>
      </c>
      <c r="C710" s="379" t="s">
        <v>1226</v>
      </c>
      <c r="D710" s="379" t="s">
        <v>59</v>
      </c>
      <c r="E710" s="379" t="s">
        <v>1469</v>
      </c>
      <c r="F710" s="379">
        <v>0</v>
      </c>
      <c r="G710" s="379">
        <v>0</v>
      </c>
      <c r="I710" s="359">
        <f t="shared" si="11"/>
        <v>531</v>
      </c>
    </row>
    <row r="711" spans="1:9" ht="15" x14ac:dyDescent="0.25">
      <c r="A711" s="379"/>
      <c r="B711" s="379" t="s">
        <v>51</v>
      </c>
      <c r="C711" s="379" t="s">
        <v>627</v>
      </c>
      <c r="D711" s="379" t="s">
        <v>59</v>
      </c>
      <c r="E711" s="379" t="s">
        <v>1469</v>
      </c>
      <c r="F711" s="379">
        <v>0</v>
      </c>
      <c r="G711" s="379">
        <v>0</v>
      </c>
      <c r="I711" s="359">
        <f t="shared" si="11"/>
        <v>741</v>
      </c>
    </row>
    <row r="712" spans="1:9" ht="15" x14ac:dyDescent="0.25">
      <c r="A712" s="379"/>
      <c r="B712" s="379" t="s">
        <v>51</v>
      </c>
      <c r="C712" s="379" t="s">
        <v>968</v>
      </c>
      <c r="D712" s="379" t="s">
        <v>59</v>
      </c>
      <c r="E712" s="379" t="s">
        <v>1470</v>
      </c>
      <c r="F712" s="379">
        <v>0</v>
      </c>
      <c r="G712" s="379">
        <v>0</v>
      </c>
      <c r="I712" s="359">
        <f t="shared" si="11"/>
        <v>88</v>
      </c>
    </row>
    <row r="713" spans="1:9" ht="15" x14ac:dyDescent="0.25">
      <c r="A713" s="379"/>
      <c r="B713" s="379" t="s">
        <v>51</v>
      </c>
      <c r="C713" s="379" t="s">
        <v>969</v>
      </c>
      <c r="D713" s="379" t="s">
        <v>61</v>
      </c>
      <c r="E713" s="379" t="s">
        <v>1469</v>
      </c>
      <c r="F713" s="379">
        <v>0</v>
      </c>
      <c r="G713" s="379">
        <v>0</v>
      </c>
      <c r="I713" s="359">
        <f t="shared" si="11"/>
        <v>623</v>
      </c>
    </row>
    <row r="714" spans="1:9" ht="15" x14ac:dyDescent="0.25">
      <c r="A714" s="379"/>
      <c r="B714" s="379" t="s">
        <v>51</v>
      </c>
      <c r="C714" s="379" t="s">
        <v>970</v>
      </c>
      <c r="D714" s="379" t="s">
        <v>61</v>
      </c>
      <c r="E714" s="379" t="s">
        <v>1470</v>
      </c>
      <c r="F714" s="379">
        <v>0</v>
      </c>
      <c r="G714" s="379">
        <v>0</v>
      </c>
      <c r="I714" s="359">
        <f t="shared" si="11"/>
        <v>878</v>
      </c>
    </row>
    <row r="715" spans="1:9" ht="15" x14ac:dyDescent="0.25">
      <c r="A715" s="379"/>
      <c r="B715" s="379" t="s">
        <v>51</v>
      </c>
      <c r="C715" s="379" t="s">
        <v>971</v>
      </c>
      <c r="D715" s="379" t="s">
        <v>59</v>
      </c>
      <c r="E715" s="379" t="s">
        <v>1469</v>
      </c>
      <c r="F715" s="379">
        <v>0</v>
      </c>
      <c r="G715" s="379">
        <v>0</v>
      </c>
      <c r="I715" s="359">
        <f t="shared" si="11"/>
        <v>806</v>
      </c>
    </row>
    <row r="716" spans="1:9" ht="15" x14ac:dyDescent="0.25">
      <c r="A716" s="379"/>
      <c r="B716" s="379" t="s">
        <v>51</v>
      </c>
      <c r="C716" s="379" t="s">
        <v>972</v>
      </c>
      <c r="D716" s="379" t="s">
        <v>61</v>
      </c>
      <c r="E716" s="379" t="s">
        <v>1469</v>
      </c>
      <c r="F716" s="379">
        <v>0</v>
      </c>
      <c r="G716" s="379">
        <v>0</v>
      </c>
      <c r="I716" s="359">
        <f t="shared" si="11"/>
        <v>824</v>
      </c>
    </row>
    <row r="717" spans="1:9" ht="15" x14ac:dyDescent="0.25">
      <c r="A717" s="379"/>
      <c r="B717" s="379" t="s">
        <v>51</v>
      </c>
      <c r="C717" s="379" t="s">
        <v>694</v>
      </c>
      <c r="D717" s="379" t="s">
        <v>61</v>
      </c>
      <c r="E717" s="379" t="s">
        <v>1469</v>
      </c>
      <c r="F717" s="379">
        <v>0</v>
      </c>
      <c r="G717" s="379">
        <v>0</v>
      </c>
      <c r="I717" s="359">
        <f t="shared" si="11"/>
        <v>903</v>
      </c>
    </row>
    <row r="718" spans="1:9" ht="15" x14ac:dyDescent="0.25">
      <c r="A718" s="379"/>
      <c r="B718" s="379" t="s">
        <v>51</v>
      </c>
      <c r="C718" s="379" t="s">
        <v>1200</v>
      </c>
      <c r="D718" s="379" t="s">
        <v>69</v>
      </c>
      <c r="E718" s="379" t="s">
        <v>1470</v>
      </c>
      <c r="F718" s="379">
        <v>0</v>
      </c>
      <c r="G718" s="379">
        <v>0</v>
      </c>
      <c r="I718" s="359">
        <f t="shared" si="11"/>
        <v>984</v>
      </c>
    </row>
    <row r="719" spans="1:9" ht="15" x14ac:dyDescent="0.25">
      <c r="A719" s="379"/>
      <c r="B719" s="379" t="s">
        <v>51</v>
      </c>
      <c r="C719" s="379" t="s">
        <v>689</v>
      </c>
      <c r="D719" s="379" t="s">
        <v>69</v>
      </c>
      <c r="E719" s="379" t="s">
        <v>1469</v>
      </c>
      <c r="F719" s="379">
        <v>0</v>
      </c>
      <c r="G719" s="379">
        <v>0</v>
      </c>
      <c r="I719" s="359">
        <f t="shared" si="11"/>
        <v>844</v>
      </c>
    </row>
    <row r="720" spans="1:9" ht="15" x14ac:dyDescent="0.25">
      <c r="A720" s="379"/>
      <c r="B720" s="379" t="s">
        <v>51</v>
      </c>
      <c r="C720" s="379" t="s">
        <v>973</v>
      </c>
      <c r="D720" s="379" t="s">
        <v>61</v>
      </c>
      <c r="E720" s="379" t="s">
        <v>1469</v>
      </c>
      <c r="F720" s="379">
        <v>0</v>
      </c>
      <c r="G720" s="379">
        <v>0</v>
      </c>
      <c r="I720" s="359">
        <f t="shared" si="11"/>
        <v>535</v>
      </c>
    </row>
    <row r="721" spans="1:9" ht="15" x14ac:dyDescent="0.25">
      <c r="A721" s="379"/>
      <c r="B721" s="379" t="s">
        <v>51</v>
      </c>
      <c r="C721" s="379" t="s">
        <v>763</v>
      </c>
      <c r="D721" s="379" t="s">
        <v>59</v>
      </c>
      <c r="E721" s="379" t="s">
        <v>1469</v>
      </c>
      <c r="F721" s="379">
        <v>0</v>
      </c>
      <c r="G721" s="379">
        <v>0</v>
      </c>
      <c r="I721" s="359">
        <f t="shared" si="11"/>
        <v>448</v>
      </c>
    </row>
    <row r="722" spans="1:9" ht="15" x14ac:dyDescent="0.25">
      <c r="A722" s="379"/>
      <c r="B722" s="379" t="s">
        <v>51</v>
      </c>
      <c r="C722" s="379" t="s">
        <v>726</v>
      </c>
      <c r="D722" s="379" t="s">
        <v>61</v>
      </c>
      <c r="E722" s="379" t="s">
        <v>1469</v>
      </c>
      <c r="F722" s="379">
        <v>0</v>
      </c>
      <c r="G722" s="379">
        <v>0</v>
      </c>
      <c r="I722" s="359">
        <f t="shared" si="11"/>
        <v>159</v>
      </c>
    </row>
    <row r="723" spans="1:9" ht="15" x14ac:dyDescent="0.25">
      <c r="A723" s="379"/>
      <c r="B723" s="379" t="s">
        <v>51</v>
      </c>
      <c r="C723" s="379" t="s">
        <v>622</v>
      </c>
      <c r="D723" s="379" t="s">
        <v>69</v>
      </c>
      <c r="E723" s="379" t="s">
        <v>1469</v>
      </c>
      <c r="F723" s="379">
        <v>0</v>
      </c>
      <c r="G723" s="379">
        <v>0</v>
      </c>
      <c r="I723" s="359">
        <f t="shared" si="11"/>
        <v>529</v>
      </c>
    </row>
    <row r="724" spans="1:9" ht="15" x14ac:dyDescent="0.25">
      <c r="A724" s="379"/>
      <c r="B724" s="379" t="s">
        <v>51</v>
      </c>
      <c r="C724" s="379" t="s">
        <v>634</v>
      </c>
      <c r="D724" s="379" t="s">
        <v>61</v>
      </c>
      <c r="E724" s="379" t="s">
        <v>1470</v>
      </c>
      <c r="F724" s="379">
        <v>0</v>
      </c>
      <c r="G724" s="379">
        <v>0</v>
      </c>
      <c r="I724" s="359">
        <f t="shared" si="11"/>
        <v>666</v>
      </c>
    </row>
    <row r="725" spans="1:9" ht="15" x14ac:dyDescent="0.25">
      <c r="A725" s="379"/>
      <c r="B725" s="379" t="s">
        <v>51</v>
      </c>
      <c r="C725" s="379" t="s">
        <v>975</v>
      </c>
      <c r="D725" s="379" t="s">
        <v>61</v>
      </c>
      <c r="E725" s="379" t="s">
        <v>1469</v>
      </c>
      <c r="F725" s="379">
        <v>0</v>
      </c>
      <c r="G725" s="379">
        <v>0</v>
      </c>
      <c r="I725" s="359">
        <f t="shared" si="11"/>
        <v>247</v>
      </c>
    </row>
    <row r="726" spans="1:9" ht="15" x14ac:dyDescent="0.25">
      <c r="A726" s="379"/>
      <c r="B726" s="379" t="s">
        <v>51</v>
      </c>
      <c r="C726" s="379" t="s">
        <v>976</v>
      </c>
      <c r="D726" s="379" t="s">
        <v>61</v>
      </c>
      <c r="E726" s="379" t="s">
        <v>1470</v>
      </c>
      <c r="F726" s="379">
        <v>0</v>
      </c>
      <c r="G726" s="379">
        <v>0</v>
      </c>
      <c r="I726" s="359">
        <f t="shared" si="11"/>
        <v>859</v>
      </c>
    </row>
    <row r="727" spans="1:9" ht="15" x14ac:dyDescent="0.25">
      <c r="A727" s="379"/>
      <c r="B727" s="379" t="s">
        <v>51</v>
      </c>
      <c r="C727" s="379" t="s">
        <v>977</v>
      </c>
      <c r="D727" s="379" t="s">
        <v>59</v>
      </c>
      <c r="E727" s="379" t="s">
        <v>1469</v>
      </c>
      <c r="F727" s="379">
        <v>0</v>
      </c>
      <c r="G727" s="379">
        <v>0</v>
      </c>
      <c r="I727" s="359">
        <f t="shared" si="11"/>
        <v>449</v>
      </c>
    </row>
    <row r="728" spans="1:9" ht="15" x14ac:dyDescent="0.25">
      <c r="A728" s="379"/>
      <c r="B728" s="379" t="s">
        <v>51</v>
      </c>
      <c r="C728" s="379" t="s">
        <v>978</v>
      </c>
      <c r="D728" s="379" t="s">
        <v>1585</v>
      </c>
      <c r="E728" s="379" t="s">
        <v>1469</v>
      </c>
      <c r="F728" s="379">
        <v>0</v>
      </c>
      <c r="G728" s="379">
        <v>0</v>
      </c>
      <c r="I728" s="359">
        <f t="shared" si="11"/>
        <v>552</v>
      </c>
    </row>
    <row r="729" spans="1:9" ht="15" x14ac:dyDescent="0.25">
      <c r="A729" s="379"/>
      <c r="B729" s="379" t="s">
        <v>51</v>
      </c>
      <c r="C729" s="379" t="s">
        <v>979</v>
      </c>
      <c r="D729" s="379" t="s">
        <v>59</v>
      </c>
      <c r="E729" s="379" t="s">
        <v>1469</v>
      </c>
      <c r="F729" s="379">
        <v>0</v>
      </c>
      <c r="G729" s="379">
        <v>0</v>
      </c>
      <c r="I729" s="359">
        <f t="shared" si="11"/>
        <v>228</v>
      </c>
    </row>
    <row r="730" spans="1:9" ht="15" x14ac:dyDescent="0.25">
      <c r="A730" s="379"/>
      <c r="B730" s="379" t="s">
        <v>51</v>
      </c>
      <c r="C730" s="379" t="s">
        <v>980</v>
      </c>
      <c r="D730" s="379" t="s">
        <v>59</v>
      </c>
      <c r="E730" s="379" t="s">
        <v>1469</v>
      </c>
      <c r="F730" s="379">
        <v>0</v>
      </c>
      <c r="G730" s="379">
        <v>0</v>
      </c>
      <c r="I730" s="359">
        <f t="shared" si="11"/>
        <v>742</v>
      </c>
    </row>
    <row r="731" spans="1:9" ht="15" x14ac:dyDescent="0.25">
      <c r="A731" s="379"/>
      <c r="B731" s="379" t="s">
        <v>1670</v>
      </c>
      <c r="C731" s="379" t="s">
        <v>423</v>
      </c>
      <c r="D731" s="379" t="s">
        <v>64</v>
      </c>
      <c r="E731" s="379" t="s">
        <v>1470</v>
      </c>
      <c r="F731" s="379">
        <v>0</v>
      </c>
      <c r="G731" s="379">
        <v>0</v>
      </c>
      <c r="I731" s="359">
        <f t="shared" si="11"/>
        <v>397</v>
      </c>
    </row>
    <row r="732" spans="1:9" ht="15" x14ac:dyDescent="0.25">
      <c r="A732" s="379"/>
      <c r="B732" s="379" t="s">
        <v>51</v>
      </c>
      <c r="C732" s="379" t="s">
        <v>1202</v>
      </c>
      <c r="D732" s="379" t="s">
        <v>61</v>
      </c>
      <c r="E732" s="379" t="s">
        <v>1470</v>
      </c>
      <c r="F732" s="379">
        <v>0</v>
      </c>
      <c r="G732" s="379">
        <v>0</v>
      </c>
      <c r="I732" s="359">
        <f t="shared" si="11"/>
        <v>166</v>
      </c>
    </row>
    <row r="733" spans="1:9" ht="15" x14ac:dyDescent="0.25">
      <c r="A733" s="379"/>
      <c r="B733" s="379" t="s">
        <v>51</v>
      </c>
      <c r="C733" s="379" t="s">
        <v>981</v>
      </c>
      <c r="D733" s="379" t="s">
        <v>58</v>
      </c>
      <c r="E733" s="379" t="s">
        <v>1469</v>
      </c>
      <c r="F733" s="379">
        <v>0</v>
      </c>
      <c r="G733" s="379">
        <v>0</v>
      </c>
      <c r="I733" s="359">
        <f t="shared" si="11"/>
        <v>303</v>
      </c>
    </row>
    <row r="734" spans="1:9" ht="15" x14ac:dyDescent="0.25">
      <c r="A734" s="379"/>
      <c r="B734" s="379" t="s">
        <v>51</v>
      </c>
      <c r="C734" s="379" t="s">
        <v>1212</v>
      </c>
      <c r="D734" s="379" t="s">
        <v>65</v>
      </c>
      <c r="E734" s="379" t="s">
        <v>1469</v>
      </c>
      <c r="F734" s="379">
        <v>0</v>
      </c>
      <c r="G734" s="379">
        <v>0</v>
      </c>
      <c r="I734" s="359">
        <f t="shared" si="11"/>
        <v>267</v>
      </c>
    </row>
    <row r="735" spans="1:9" ht="15" x14ac:dyDescent="0.25">
      <c r="A735" s="379"/>
      <c r="B735" s="379" t="s">
        <v>51</v>
      </c>
      <c r="C735" s="379" t="s">
        <v>983</v>
      </c>
      <c r="D735" s="379" t="s">
        <v>59</v>
      </c>
      <c r="E735" s="379" t="s">
        <v>1469</v>
      </c>
      <c r="F735" s="379">
        <v>0</v>
      </c>
      <c r="G735" s="379">
        <v>0</v>
      </c>
      <c r="I735" s="359">
        <f t="shared" si="11"/>
        <v>899</v>
      </c>
    </row>
    <row r="736" spans="1:9" ht="15" x14ac:dyDescent="0.25">
      <c r="A736" s="379"/>
      <c r="B736" s="379" t="s">
        <v>51</v>
      </c>
      <c r="C736" s="379" t="s">
        <v>984</v>
      </c>
      <c r="D736" s="379" t="s">
        <v>59</v>
      </c>
      <c r="E736" s="379" t="s">
        <v>1469</v>
      </c>
      <c r="F736" s="379">
        <v>0</v>
      </c>
      <c r="G736" s="379">
        <v>0</v>
      </c>
      <c r="I736" s="359">
        <f t="shared" si="11"/>
        <v>489</v>
      </c>
    </row>
    <row r="737" spans="1:9" ht="15" x14ac:dyDescent="0.25">
      <c r="A737" s="379"/>
      <c r="B737" s="379" t="s">
        <v>51</v>
      </c>
      <c r="C737" s="379" t="s">
        <v>985</v>
      </c>
      <c r="D737" s="379" t="s">
        <v>59</v>
      </c>
      <c r="E737" s="379" t="s">
        <v>1469</v>
      </c>
      <c r="F737" s="379">
        <v>0</v>
      </c>
      <c r="G737" s="379">
        <v>0</v>
      </c>
      <c r="I737" s="359">
        <f t="shared" si="11"/>
        <v>757</v>
      </c>
    </row>
    <row r="738" spans="1:9" ht="15" x14ac:dyDescent="0.25">
      <c r="A738" s="379"/>
      <c r="B738" s="379" t="s">
        <v>51</v>
      </c>
      <c r="C738" s="379" t="s">
        <v>986</v>
      </c>
      <c r="D738" s="379" t="s">
        <v>189</v>
      </c>
      <c r="E738" s="379" t="s">
        <v>1469</v>
      </c>
      <c r="F738" s="379">
        <v>0</v>
      </c>
      <c r="G738" s="379">
        <v>0</v>
      </c>
      <c r="I738" s="359">
        <f t="shared" si="11"/>
        <v>168</v>
      </c>
    </row>
    <row r="739" spans="1:9" ht="15" x14ac:dyDescent="0.25">
      <c r="A739" s="379"/>
      <c r="B739" s="379" t="s">
        <v>51</v>
      </c>
      <c r="C739" s="379" t="s">
        <v>987</v>
      </c>
      <c r="D739" s="379" t="s">
        <v>61</v>
      </c>
      <c r="E739" s="379" t="s">
        <v>1469</v>
      </c>
      <c r="F739" s="379">
        <v>0</v>
      </c>
      <c r="G739" s="379">
        <v>0</v>
      </c>
      <c r="I739" s="359">
        <f t="shared" si="11"/>
        <v>996</v>
      </c>
    </row>
    <row r="740" spans="1:9" ht="15" x14ac:dyDescent="0.25">
      <c r="A740" s="379"/>
      <c r="B740" s="379" t="s">
        <v>51</v>
      </c>
      <c r="C740" s="379" t="s">
        <v>988</v>
      </c>
      <c r="D740" s="379" t="s">
        <v>61</v>
      </c>
      <c r="E740" s="379" t="s">
        <v>1469</v>
      </c>
      <c r="F740" s="379">
        <v>0</v>
      </c>
      <c r="G740" s="379">
        <v>0</v>
      </c>
      <c r="I740" s="359">
        <f t="shared" si="11"/>
        <v>324</v>
      </c>
    </row>
    <row r="741" spans="1:9" ht="15" x14ac:dyDescent="0.25">
      <c r="A741" s="379"/>
      <c r="B741" s="379" t="s">
        <v>51</v>
      </c>
      <c r="C741" s="379" t="s">
        <v>989</v>
      </c>
      <c r="D741" s="379" t="s">
        <v>71</v>
      </c>
      <c r="E741" s="379" t="s">
        <v>1469</v>
      </c>
      <c r="F741" s="379">
        <v>0</v>
      </c>
      <c r="G741" s="379">
        <v>0</v>
      </c>
      <c r="I741" s="359">
        <f t="shared" si="11"/>
        <v>330</v>
      </c>
    </row>
    <row r="742" spans="1:9" ht="15" x14ac:dyDescent="0.25">
      <c r="A742" s="379"/>
      <c r="B742" s="379" t="s">
        <v>51</v>
      </c>
      <c r="C742" s="379" t="s">
        <v>704</v>
      </c>
      <c r="D742" s="379" t="s">
        <v>75</v>
      </c>
      <c r="E742" s="379" t="s">
        <v>1469</v>
      </c>
      <c r="F742" s="379">
        <v>0</v>
      </c>
      <c r="G742" s="379">
        <v>0</v>
      </c>
      <c r="I742" s="359">
        <f t="shared" si="11"/>
        <v>775</v>
      </c>
    </row>
    <row r="743" spans="1:9" ht="15" x14ac:dyDescent="0.25">
      <c r="A743" s="379"/>
      <c r="B743" s="379" t="s">
        <v>51</v>
      </c>
      <c r="C743" s="379" t="s">
        <v>990</v>
      </c>
      <c r="D743" s="379" t="s">
        <v>59</v>
      </c>
      <c r="E743" s="379" t="s">
        <v>1470</v>
      </c>
      <c r="F743" s="379">
        <v>0</v>
      </c>
      <c r="G743" s="379">
        <v>0</v>
      </c>
      <c r="I743" s="359">
        <f t="shared" si="11"/>
        <v>118</v>
      </c>
    </row>
    <row r="744" spans="1:9" ht="15" x14ac:dyDescent="0.25">
      <c r="A744" s="379"/>
      <c r="B744" s="379" t="s">
        <v>51</v>
      </c>
      <c r="C744" s="379" t="s">
        <v>729</v>
      </c>
      <c r="D744" s="379" t="s">
        <v>59</v>
      </c>
      <c r="E744" s="379" t="s">
        <v>1470</v>
      </c>
      <c r="F744" s="379">
        <v>0</v>
      </c>
      <c r="G744" s="379">
        <v>0</v>
      </c>
      <c r="I744" s="359">
        <f t="shared" si="11"/>
        <v>771</v>
      </c>
    </row>
    <row r="745" spans="1:9" ht="15" x14ac:dyDescent="0.25">
      <c r="A745" s="379"/>
      <c r="B745" s="379" t="s">
        <v>51</v>
      </c>
      <c r="C745" s="379" t="s">
        <v>991</v>
      </c>
      <c r="D745" s="379" t="s">
        <v>59</v>
      </c>
      <c r="E745" s="379" t="s">
        <v>1469</v>
      </c>
      <c r="F745" s="379">
        <v>0</v>
      </c>
      <c r="G745" s="379">
        <v>0</v>
      </c>
      <c r="I745" s="359">
        <f t="shared" si="11"/>
        <v>229</v>
      </c>
    </row>
    <row r="746" spans="1:9" ht="15" x14ac:dyDescent="0.25">
      <c r="A746" s="379"/>
      <c r="B746" s="379" t="s">
        <v>51</v>
      </c>
      <c r="C746" s="379" t="s">
        <v>1234</v>
      </c>
      <c r="D746" s="379" t="s">
        <v>61</v>
      </c>
      <c r="E746" s="379" t="s">
        <v>1469</v>
      </c>
      <c r="F746" s="379">
        <v>0</v>
      </c>
      <c r="G746" s="379">
        <v>0</v>
      </c>
      <c r="I746" s="359">
        <f t="shared" si="11"/>
        <v>916</v>
      </c>
    </row>
    <row r="747" spans="1:9" ht="15" x14ac:dyDescent="0.25">
      <c r="A747" s="379"/>
      <c r="B747" s="379" t="s">
        <v>1659</v>
      </c>
      <c r="C747" s="379" t="s">
        <v>1426</v>
      </c>
      <c r="D747" s="379" t="s">
        <v>62</v>
      </c>
      <c r="E747" s="379" t="s">
        <v>1469</v>
      </c>
      <c r="F747" s="379">
        <v>0</v>
      </c>
      <c r="G747" s="379">
        <v>0</v>
      </c>
      <c r="I747" s="359">
        <f t="shared" si="11"/>
        <v>83</v>
      </c>
    </row>
    <row r="748" spans="1:9" ht="15" x14ac:dyDescent="0.25">
      <c r="A748" s="379"/>
      <c r="B748" s="379" t="s">
        <v>51</v>
      </c>
      <c r="C748" s="379" t="s">
        <v>992</v>
      </c>
      <c r="D748" s="379" t="s">
        <v>58</v>
      </c>
      <c r="E748" s="379" t="s">
        <v>1469</v>
      </c>
      <c r="F748" s="379">
        <v>0</v>
      </c>
      <c r="G748" s="379">
        <v>0</v>
      </c>
      <c r="I748" s="359">
        <f t="shared" si="11"/>
        <v>240</v>
      </c>
    </row>
    <row r="749" spans="1:9" ht="15" x14ac:dyDescent="0.25">
      <c r="A749" s="379"/>
      <c r="B749" s="379" t="s">
        <v>51</v>
      </c>
      <c r="C749" s="379" t="s">
        <v>993</v>
      </c>
      <c r="D749" s="379" t="s">
        <v>58</v>
      </c>
      <c r="E749" s="379" t="s">
        <v>1469</v>
      </c>
      <c r="F749" s="379">
        <v>0</v>
      </c>
      <c r="G749" s="379">
        <v>0</v>
      </c>
      <c r="I749" s="359">
        <f t="shared" si="11"/>
        <v>867</v>
      </c>
    </row>
    <row r="750" spans="1:9" ht="15" x14ac:dyDescent="0.25">
      <c r="A750" s="379"/>
      <c r="B750" s="379" t="s">
        <v>51</v>
      </c>
      <c r="C750" s="379" t="s">
        <v>994</v>
      </c>
      <c r="D750" s="379" t="s">
        <v>71</v>
      </c>
      <c r="E750" s="379" t="s">
        <v>1469</v>
      </c>
      <c r="F750" s="379">
        <v>0</v>
      </c>
      <c r="G750" s="379">
        <v>0</v>
      </c>
      <c r="I750" s="359">
        <f t="shared" si="11"/>
        <v>101</v>
      </c>
    </row>
    <row r="751" spans="1:9" ht="15" x14ac:dyDescent="0.25">
      <c r="A751" s="379"/>
      <c r="B751" s="379" t="s">
        <v>51</v>
      </c>
      <c r="C751" s="379" t="s">
        <v>995</v>
      </c>
      <c r="D751" s="379" t="s">
        <v>996</v>
      </c>
      <c r="E751" s="379" t="s">
        <v>1469</v>
      </c>
      <c r="F751" s="379">
        <v>0</v>
      </c>
      <c r="G751" s="379">
        <v>0</v>
      </c>
      <c r="I751" s="359">
        <f t="shared" si="11"/>
        <v>725</v>
      </c>
    </row>
    <row r="752" spans="1:9" ht="15" x14ac:dyDescent="0.25">
      <c r="A752" s="379"/>
      <c r="B752" s="379" t="s">
        <v>51</v>
      </c>
      <c r="C752" s="379" t="s">
        <v>616</v>
      </c>
      <c r="D752" s="379" t="s">
        <v>58</v>
      </c>
      <c r="E752" s="379" t="s">
        <v>1470</v>
      </c>
      <c r="F752" s="379">
        <v>0</v>
      </c>
      <c r="G752" s="379">
        <v>0</v>
      </c>
      <c r="I752" s="359">
        <f t="shared" si="11"/>
        <v>75</v>
      </c>
    </row>
    <row r="753" spans="1:9" ht="15" x14ac:dyDescent="0.25">
      <c r="A753" s="379"/>
      <c r="B753" s="379" t="s">
        <v>51</v>
      </c>
      <c r="C753" s="379" t="s">
        <v>997</v>
      </c>
      <c r="D753" s="379" t="s">
        <v>61</v>
      </c>
      <c r="E753" s="379" t="s">
        <v>1469</v>
      </c>
      <c r="F753" s="379">
        <v>0</v>
      </c>
      <c r="G753" s="379">
        <v>0</v>
      </c>
      <c r="I753" s="359">
        <f t="shared" si="11"/>
        <v>346</v>
      </c>
    </row>
    <row r="754" spans="1:9" ht="15" x14ac:dyDescent="0.25">
      <c r="A754" s="379"/>
      <c r="B754" s="379" t="s">
        <v>51</v>
      </c>
      <c r="C754" s="379" t="s">
        <v>594</v>
      </c>
      <c r="D754" s="379" t="s">
        <v>61</v>
      </c>
      <c r="E754" s="379" t="s">
        <v>1469</v>
      </c>
      <c r="F754" s="379">
        <v>0</v>
      </c>
      <c r="G754" s="379">
        <v>0</v>
      </c>
      <c r="I754" s="359">
        <f t="shared" si="11"/>
        <v>765</v>
      </c>
    </row>
    <row r="755" spans="1:9" ht="15" x14ac:dyDescent="0.25">
      <c r="A755" s="379"/>
      <c r="B755" s="379" t="s">
        <v>51</v>
      </c>
      <c r="C755" s="379" t="s">
        <v>998</v>
      </c>
      <c r="D755" s="379" t="s">
        <v>58</v>
      </c>
      <c r="E755" s="379" t="s">
        <v>1469</v>
      </c>
      <c r="F755" s="379">
        <v>0</v>
      </c>
      <c r="G755" s="379">
        <v>0</v>
      </c>
      <c r="I755" s="359">
        <f t="shared" si="11"/>
        <v>50</v>
      </c>
    </row>
    <row r="756" spans="1:9" ht="15" x14ac:dyDescent="0.25">
      <c r="A756" s="379"/>
      <c r="B756" s="379" t="s">
        <v>51</v>
      </c>
      <c r="C756" s="379" t="s">
        <v>500</v>
      </c>
      <c r="D756" s="379" t="s">
        <v>61</v>
      </c>
      <c r="E756" s="379" t="s">
        <v>1469</v>
      </c>
      <c r="F756" s="379">
        <v>0</v>
      </c>
      <c r="G756" s="379">
        <v>0</v>
      </c>
      <c r="I756" s="359">
        <f t="shared" si="11"/>
        <v>766</v>
      </c>
    </row>
    <row r="757" spans="1:9" ht="15" x14ac:dyDescent="0.25">
      <c r="A757" s="379"/>
      <c r="B757" s="379" t="s">
        <v>51</v>
      </c>
      <c r="C757" s="379" t="s">
        <v>999</v>
      </c>
      <c r="D757" s="379" t="s">
        <v>58</v>
      </c>
      <c r="E757" s="379" t="s">
        <v>1469</v>
      </c>
      <c r="F757" s="379">
        <v>0</v>
      </c>
      <c r="G757" s="379">
        <v>0</v>
      </c>
      <c r="I757" s="359">
        <f t="shared" si="11"/>
        <v>140</v>
      </c>
    </row>
    <row r="758" spans="1:9" ht="15" x14ac:dyDescent="0.25">
      <c r="A758" s="379"/>
      <c r="B758" s="379" t="s">
        <v>51</v>
      </c>
      <c r="C758" s="379" t="s">
        <v>1000</v>
      </c>
      <c r="D758" s="379" t="s">
        <v>71</v>
      </c>
      <c r="E758" s="379" t="s">
        <v>1469</v>
      </c>
      <c r="F758" s="379">
        <v>0</v>
      </c>
      <c r="G758" s="379">
        <v>0</v>
      </c>
      <c r="I758" s="359">
        <f t="shared" si="11"/>
        <v>130</v>
      </c>
    </row>
    <row r="759" spans="1:9" ht="15" x14ac:dyDescent="0.25">
      <c r="A759" s="379"/>
      <c r="B759" s="379" t="s">
        <v>51</v>
      </c>
      <c r="C759" s="379" t="s">
        <v>1001</v>
      </c>
      <c r="D759" s="379" t="s">
        <v>58</v>
      </c>
      <c r="E759" s="379" t="s">
        <v>1469</v>
      </c>
      <c r="F759" s="379">
        <v>0</v>
      </c>
      <c r="G759" s="379">
        <v>0</v>
      </c>
      <c r="I759" s="359">
        <f t="shared" si="11"/>
        <v>792</v>
      </c>
    </row>
    <row r="760" spans="1:9" ht="15" x14ac:dyDescent="0.25">
      <c r="A760" s="379"/>
      <c r="B760" s="379" t="s">
        <v>51</v>
      </c>
      <c r="C760" s="379" t="s">
        <v>641</v>
      </c>
      <c r="D760" s="379" t="s">
        <v>69</v>
      </c>
      <c r="E760" s="379" t="s">
        <v>1469</v>
      </c>
      <c r="F760" s="379">
        <v>0</v>
      </c>
      <c r="G760" s="379">
        <v>0</v>
      </c>
      <c r="I760" s="359">
        <f t="shared" si="11"/>
        <v>705</v>
      </c>
    </row>
    <row r="761" spans="1:9" ht="15" x14ac:dyDescent="0.25">
      <c r="A761" s="379"/>
      <c r="B761" s="379" t="s">
        <v>51</v>
      </c>
      <c r="C761" s="379" t="s">
        <v>1002</v>
      </c>
      <c r="D761" s="379" t="s">
        <v>59</v>
      </c>
      <c r="E761" s="379" t="s">
        <v>1469</v>
      </c>
      <c r="F761" s="379">
        <v>0</v>
      </c>
      <c r="G761" s="379">
        <v>0</v>
      </c>
      <c r="I761" s="359">
        <f t="shared" si="11"/>
        <v>197</v>
      </c>
    </row>
    <row r="762" spans="1:9" ht="15" x14ac:dyDescent="0.25">
      <c r="A762" s="379"/>
      <c r="B762" s="379" t="s">
        <v>51</v>
      </c>
      <c r="C762" s="379" t="s">
        <v>1004</v>
      </c>
      <c r="D762" s="379" t="s">
        <v>60</v>
      </c>
      <c r="E762" s="379" t="s">
        <v>1470</v>
      </c>
      <c r="F762" s="379">
        <v>0</v>
      </c>
      <c r="G762" s="379">
        <v>0</v>
      </c>
      <c r="I762" s="359">
        <f t="shared" si="11"/>
        <v>567</v>
      </c>
    </row>
    <row r="763" spans="1:9" ht="15" x14ac:dyDescent="0.25">
      <c r="A763" s="379"/>
      <c r="B763" s="379" t="s">
        <v>51</v>
      </c>
      <c r="C763" s="379" t="s">
        <v>1005</v>
      </c>
      <c r="D763" s="379" t="s">
        <v>64</v>
      </c>
      <c r="E763" s="379" t="s">
        <v>1470</v>
      </c>
      <c r="F763" s="379">
        <v>0</v>
      </c>
      <c r="G763" s="379">
        <v>0</v>
      </c>
      <c r="I763" s="359">
        <f t="shared" si="11"/>
        <v>998</v>
      </c>
    </row>
    <row r="764" spans="1:9" ht="15" x14ac:dyDescent="0.25">
      <c r="A764" s="379"/>
      <c r="B764" s="379" t="s">
        <v>51</v>
      </c>
      <c r="C764" s="379" t="s">
        <v>1006</v>
      </c>
      <c r="D764" s="379" t="s">
        <v>58</v>
      </c>
      <c r="E764" s="379" t="s">
        <v>1469</v>
      </c>
      <c r="F764" s="379">
        <v>0</v>
      </c>
      <c r="G764" s="379">
        <v>0</v>
      </c>
      <c r="I764" s="359">
        <f t="shared" si="11"/>
        <v>212</v>
      </c>
    </row>
    <row r="765" spans="1:9" ht="15" x14ac:dyDescent="0.25">
      <c r="A765" s="379"/>
      <c r="B765" s="379" t="s">
        <v>51</v>
      </c>
      <c r="C765" s="379" t="s">
        <v>768</v>
      </c>
      <c r="D765" s="379" t="s">
        <v>58</v>
      </c>
      <c r="E765" s="379" t="s">
        <v>1469</v>
      </c>
      <c r="F765" s="379">
        <v>0</v>
      </c>
      <c r="G765" s="379">
        <v>0</v>
      </c>
      <c r="I765" s="359">
        <f t="shared" si="11"/>
        <v>285</v>
      </c>
    </row>
    <row r="766" spans="1:9" ht="15" x14ac:dyDescent="0.25">
      <c r="A766" s="379"/>
      <c r="B766" s="379" t="s">
        <v>51</v>
      </c>
      <c r="C766" s="379" t="s">
        <v>1008</v>
      </c>
      <c r="D766" s="379" t="s">
        <v>58</v>
      </c>
      <c r="E766" s="379" t="s">
        <v>1469</v>
      </c>
      <c r="F766" s="379">
        <v>0</v>
      </c>
      <c r="G766" s="379">
        <v>0</v>
      </c>
      <c r="I766" s="359">
        <f t="shared" si="11"/>
        <v>172</v>
      </c>
    </row>
    <row r="767" spans="1:9" ht="15" x14ac:dyDescent="0.25">
      <c r="A767" s="379"/>
      <c r="B767" s="379" t="s">
        <v>51</v>
      </c>
      <c r="C767" s="379" t="s">
        <v>1009</v>
      </c>
      <c r="D767" s="379" t="s">
        <v>58</v>
      </c>
      <c r="E767" s="379" t="s">
        <v>1469</v>
      </c>
      <c r="F767" s="379">
        <v>0</v>
      </c>
      <c r="G767" s="379">
        <v>0</v>
      </c>
      <c r="I767" s="359">
        <f t="shared" si="11"/>
        <v>881</v>
      </c>
    </row>
    <row r="768" spans="1:9" ht="15" x14ac:dyDescent="0.25">
      <c r="A768" s="379"/>
      <c r="B768" s="379" t="s">
        <v>51</v>
      </c>
      <c r="C768" s="379" t="s">
        <v>1010</v>
      </c>
      <c r="D768" s="379" t="s">
        <v>67</v>
      </c>
      <c r="E768" s="379" t="s">
        <v>1469</v>
      </c>
      <c r="F768" s="379">
        <v>0</v>
      </c>
      <c r="G768" s="379">
        <v>0</v>
      </c>
      <c r="I768" s="359">
        <f t="shared" si="11"/>
        <v>11</v>
      </c>
    </row>
    <row r="769" spans="1:9" ht="15" x14ac:dyDescent="0.25">
      <c r="A769" s="379"/>
      <c r="B769" s="379" t="s">
        <v>51</v>
      </c>
      <c r="C769" s="379" t="s">
        <v>1011</v>
      </c>
      <c r="D769" s="379" t="s">
        <v>64</v>
      </c>
      <c r="E769" s="379" t="s">
        <v>1469</v>
      </c>
      <c r="F769" s="379">
        <v>0</v>
      </c>
      <c r="G769" s="379">
        <v>0</v>
      </c>
      <c r="I769" s="359">
        <f t="shared" si="11"/>
        <v>885</v>
      </c>
    </row>
    <row r="770" spans="1:9" ht="15" x14ac:dyDescent="0.25">
      <c r="A770" s="379"/>
      <c r="B770" s="379" t="s">
        <v>51</v>
      </c>
      <c r="C770" s="379" t="s">
        <v>642</v>
      </c>
      <c r="D770" s="379" t="s">
        <v>69</v>
      </c>
      <c r="E770" s="379" t="s">
        <v>1469</v>
      </c>
      <c r="F770" s="379">
        <v>0</v>
      </c>
      <c r="G770" s="379">
        <v>0</v>
      </c>
      <c r="I770" s="359">
        <f t="shared" si="11"/>
        <v>952</v>
      </c>
    </row>
    <row r="771" spans="1:9" ht="15" x14ac:dyDescent="0.25">
      <c r="A771" s="379"/>
      <c r="B771" s="379" t="s">
        <v>51</v>
      </c>
      <c r="C771" s="379" t="s">
        <v>1013</v>
      </c>
      <c r="D771" s="379" t="s">
        <v>69</v>
      </c>
      <c r="E771" s="379" t="s">
        <v>1470</v>
      </c>
      <c r="F771" s="379">
        <v>0</v>
      </c>
      <c r="G771" s="379">
        <v>0</v>
      </c>
      <c r="I771" s="359">
        <f t="shared" ref="I771:I834" si="12">SUMPRODUCT((C$2:C$1000 &lt; C771)+(C771="")*1000)</f>
        <v>985</v>
      </c>
    </row>
    <row r="772" spans="1:9" ht="15" x14ac:dyDescent="0.25">
      <c r="A772" s="379"/>
      <c r="B772" s="379" t="s">
        <v>51</v>
      </c>
      <c r="C772" s="379" t="s">
        <v>508</v>
      </c>
      <c r="D772" s="379" t="s">
        <v>61</v>
      </c>
      <c r="E772" s="379" t="s">
        <v>1469</v>
      </c>
      <c r="F772" s="379">
        <v>0</v>
      </c>
      <c r="G772" s="379">
        <v>0</v>
      </c>
      <c r="I772" s="359">
        <f t="shared" si="12"/>
        <v>767</v>
      </c>
    </row>
    <row r="773" spans="1:9" ht="15" x14ac:dyDescent="0.25">
      <c r="A773" s="379"/>
      <c r="B773" s="379" t="s">
        <v>51</v>
      </c>
      <c r="C773" s="379" t="s">
        <v>1014</v>
      </c>
      <c r="D773" s="379" t="s">
        <v>61</v>
      </c>
      <c r="E773" s="379" t="s">
        <v>1469</v>
      </c>
      <c r="F773" s="379">
        <v>0</v>
      </c>
      <c r="G773" s="379">
        <v>0</v>
      </c>
      <c r="I773" s="359">
        <f t="shared" si="12"/>
        <v>613</v>
      </c>
    </row>
    <row r="774" spans="1:9" ht="15" x14ac:dyDescent="0.25">
      <c r="A774" s="379"/>
      <c r="B774" s="379" t="s">
        <v>51</v>
      </c>
      <c r="C774" s="379" t="s">
        <v>530</v>
      </c>
      <c r="D774" s="379" t="s">
        <v>58</v>
      </c>
      <c r="E774" s="379" t="s">
        <v>1469</v>
      </c>
      <c r="F774" s="379">
        <v>0</v>
      </c>
      <c r="G774" s="379">
        <v>0</v>
      </c>
      <c r="I774" s="359">
        <f t="shared" si="12"/>
        <v>582</v>
      </c>
    </row>
    <row r="775" spans="1:9" ht="15" x14ac:dyDescent="0.25">
      <c r="A775" s="379"/>
      <c r="B775" s="379" t="s">
        <v>51</v>
      </c>
      <c r="C775" s="379" t="s">
        <v>1015</v>
      </c>
      <c r="D775" s="379" t="s">
        <v>66</v>
      </c>
      <c r="E775" s="379" t="s">
        <v>1469</v>
      </c>
      <c r="F775" s="379">
        <v>0</v>
      </c>
      <c r="G775" s="379">
        <v>0</v>
      </c>
      <c r="I775" s="359">
        <f t="shared" si="12"/>
        <v>473</v>
      </c>
    </row>
    <row r="776" spans="1:9" ht="15" x14ac:dyDescent="0.25">
      <c r="A776" s="379"/>
      <c r="B776" s="379" t="s">
        <v>51</v>
      </c>
      <c r="C776" s="379" t="s">
        <v>1016</v>
      </c>
      <c r="D776" s="379" t="s">
        <v>59</v>
      </c>
      <c r="E776" s="379" t="s">
        <v>1469</v>
      </c>
      <c r="F776" s="379">
        <v>0</v>
      </c>
      <c r="G776" s="379">
        <v>0</v>
      </c>
      <c r="I776" s="359">
        <f t="shared" si="12"/>
        <v>188</v>
      </c>
    </row>
    <row r="777" spans="1:9" ht="15" x14ac:dyDescent="0.25">
      <c r="A777" s="379"/>
      <c r="B777" s="379" t="s">
        <v>51</v>
      </c>
      <c r="C777" s="379" t="s">
        <v>1017</v>
      </c>
      <c r="D777" s="379" t="s">
        <v>58</v>
      </c>
      <c r="E777" s="379" t="s">
        <v>1469</v>
      </c>
      <c r="F777" s="379">
        <v>0</v>
      </c>
      <c r="G777" s="379">
        <v>0</v>
      </c>
      <c r="I777" s="359">
        <f t="shared" si="12"/>
        <v>583</v>
      </c>
    </row>
    <row r="778" spans="1:9" ht="15" x14ac:dyDescent="0.25">
      <c r="A778" s="379"/>
      <c r="B778" s="379" t="s">
        <v>51</v>
      </c>
      <c r="C778" s="379" t="s">
        <v>1018</v>
      </c>
      <c r="D778" s="379" t="s">
        <v>58</v>
      </c>
      <c r="E778" s="379" t="s">
        <v>1469</v>
      </c>
      <c r="F778" s="379">
        <v>0</v>
      </c>
      <c r="G778" s="379">
        <v>0</v>
      </c>
      <c r="I778" s="359">
        <f t="shared" si="12"/>
        <v>661</v>
      </c>
    </row>
    <row r="779" spans="1:9" ht="15" x14ac:dyDescent="0.25">
      <c r="A779" s="379"/>
      <c r="B779" s="379" t="s">
        <v>51</v>
      </c>
      <c r="C779" s="379" t="s">
        <v>1020</v>
      </c>
      <c r="D779" s="379" t="s">
        <v>61</v>
      </c>
      <c r="E779" s="379" t="s">
        <v>1469</v>
      </c>
      <c r="F779" s="379">
        <v>0</v>
      </c>
      <c r="G779" s="379">
        <v>0</v>
      </c>
      <c r="I779" s="359">
        <f t="shared" si="12"/>
        <v>426</v>
      </c>
    </row>
    <row r="780" spans="1:9" ht="15" x14ac:dyDescent="0.25">
      <c r="A780" s="379"/>
      <c r="B780" s="379" t="s">
        <v>51</v>
      </c>
      <c r="C780" s="379" t="s">
        <v>584</v>
      </c>
      <c r="D780" s="379" t="s">
        <v>73</v>
      </c>
      <c r="E780" s="379" t="s">
        <v>1469</v>
      </c>
      <c r="F780" s="379">
        <v>0</v>
      </c>
      <c r="G780" s="379">
        <v>0</v>
      </c>
      <c r="I780" s="359">
        <f t="shared" si="12"/>
        <v>658</v>
      </c>
    </row>
    <row r="781" spans="1:9" ht="15" x14ac:dyDescent="0.25">
      <c r="A781" s="379"/>
      <c r="B781" s="379" t="s">
        <v>51</v>
      </c>
      <c r="C781" s="379" t="s">
        <v>1021</v>
      </c>
      <c r="D781" s="379" t="s">
        <v>61</v>
      </c>
      <c r="E781" s="379" t="s">
        <v>1469</v>
      </c>
      <c r="F781" s="379">
        <v>0</v>
      </c>
      <c r="G781" s="379">
        <v>0</v>
      </c>
      <c r="I781" s="359">
        <f t="shared" si="12"/>
        <v>562</v>
      </c>
    </row>
    <row r="782" spans="1:9" ht="15" x14ac:dyDescent="0.25">
      <c r="A782" s="379"/>
      <c r="B782" s="379" t="s">
        <v>51</v>
      </c>
      <c r="C782" s="379" t="s">
        <v>1022</v>
      </c>
      <c r="D782" s="379" t="s">
        <v>58</v>
      </c>
      <c r="E782" s="379" t="s">
        <v>1469</v>
      </c>
      <c r="F782" s="379">
        <v>0</v>
      </c>
      <c r="G782" s="379">
        <v>0</v>
      </c>
      <c r="I782" s="359">
        <f t="shared" si="12"/>
        <v>335</v>
      </c>
    </row>
    <row r="783" spans="1:9" ht="15" x14ac:dyDescent="0.25">
      <c r="A783" s="379"/>
      <c r="B783" s="379" t="s">
        <v>51</v>
      </c>
      <c r="C783" s="379" t="s">
        <v>1023</v>
      </c>
      <c r="D783" s="379" t="s">
        <v>59</v>
      </c>
      <c r="E783" s="379" t="s">
        <v>1469</v>
      </c>
      <c r="F783" s="379">
        <v>0</v>
      </c>
      <c r="G783" s="379">
        <v>0</v>
      </c>
      <c r="I783" s="359">
        <f t="shared" si="12"/>
        <v>184</v>
      </c>
    </row>
    <row r="784" spans="1:9" ht="15" x14ac:dyDescent="0.25">
      <c r="A784" s="379"/>
      <c r="B784" s="379" t="s">
        <v>51</v>
      </c>
      <c r="C784" s="379" t="s">
        <v>1024</v>
      </c>
      <c r="D784" s="379" t="s">
        <v>65</v>
      </c>
      <c r="E784" s="379" t="s">
        <v>1469</v>
      </c>
      <c r="F784" s="379">
        <v>0</v>
      </c>
      <c r="G784" s="379">
        <v>0</v>
      </c>
      <c r="I784" s="359">
        <f t="shared" si="12"/>
        <v>28</v>
      </c>
    </row>
    <row r="785" spans="1:9" ht="15" x14ac:dyDescent="0.25">
      <c r="A785" s="379"/>
      <c r="B785" s="379" t="s">
        <v>51</v>
      </c>
      <c r="C785" s="379" t="s">
        <v>1263</v>
      </c>
      <c r="D785" s="379" t="s">
        <v>59</v>
      </c>
      <c r="E785" s="379" t="s">
        <v>1469</v>
      </c>
      <c r="F785" s="379">
        <v>0</v>
      </c>
      <c r="G785" s="379">
        <v>0</v>
      </c>
      <c r="I785" s="359">
        <f t="shared" si="12"/>
        <v>216</v>
      </c>
    </row>
    <row r="786" spans="1:9" ht="15" x14ac:dyDescent="0.25">
      <c r="A786" s="379"/>
      <c r="B786" s="379" t="s">
        <v>51</v>
      </c>
      <c r="C786" s="379" t="s">
        <v>1025</v>
      </c>
      <c r="D786" s="379" t="s">
        <v>59</v>
      </c>
      <c r="E786" s="379" t="s">
        <v>1469</v>
      </c>
      <c r="F786" s="379">
        <v>0</v>
      </c>
      <c r="G786" s="379">
        <v>0</v>
      </c>
      <c r="I786" s="359">
        <f t="shared" si="12"/>
        <v>915</v>
      </c>
    </row>
    <row r="787" spans="1:9" ht="15" x14ac:dyDescent="0.25">
      <c r="A787" s="379"/>
      <c r="B787" s="379">
        <v>420</v>
      </c>
      <c r="C787" s="379" t="s">
        <v>1439</v>
      </c>
      <c r="D787" s="379" t="s">
        <v>62</v>
      </c>
      <c r="E787" s="379" t="s">
        <v>1469</v>
      </c>
      <c r="F787" s="379">
        <v>0</v>
      </c>
      <c r="G787" s="379">
        <v>0</v>
      </c>
      <c r="I787" s="359">
        <f t="shared" si="12"/>
        <v>714</v>
      </c>
    </row>
    <row r="788" spans="1:9" ht="15" x14ac:dyDescent="0.25">
      <c r="A788" s="379"/>
      <c r="B788" s="379" t="s">
        <v>51</v>
      </c>
      <c r="C788" s="379" t="s">
        <v>759</v>
      </c>
      <c r="D788" s="379" t="s">
        <v>59</v>
      </c>
      <c r="E788" s="379" t="s">
        <v>1469</v>
      </c>
      <c r="F788" s="379">
        <v>0</v>
      </c>
      <c r="G788" s="379">
        <v>0</v>
      </c>
      <c r="I788" s="359">
        <f t="shared" si="12"/>
        <v>779</v>
      </c>
    </row>
    <row r="789" spans="1:9" ht="15" x14ac:dyDescent="0.25">
      <c r="A789" s="379"/>
      <c r="B789" s="379" t="s">
        <v>51</v>
      </c>
      <c r="C789" s="379" t="s">
        <v>438</v>
      </c>
      <c r="D789" s="379" t="s">
        <v>59</v>
      </c>
      <c r="E789" s="379" t="s">
        <v>1469</v>
      </c>
      <c r="F789" s="379">
        <v>0</v>
      </c>
      <c r="G789" s="379">
        <v>0</v>
      </c>
      <c r="I789" s="359">
        <f t="shared" si="12"/>
        <v>444</v>
      </c>
    </row>
    <row r="790" spans="1:9" ht="15" x14ac:dyDescent="0.25">
      <c r="A790" s="379"/>
      <c r="B790" s="379" t="s">
        <v>51</v>
      </c>
      <c r="C790" s="379" t="s">
        <v>744</v>
      </c>
      <c r="D790" s="379" t="s">
        <v>59</v>
      </c>
      <c r="E790" s="379" t="s">
        <v>1469</v>
      </c>
      <c r="F790" s="379">
        <v>0</v>
      </c>
      <c r="G790" s="379">
        <v>0</v>
      </c>
      <c r="I790" s="359">
        <f t="shared" si="12"/>
        <v>743</v>
      </c>
    </row>
    <row r="791" spans="1:9" ht="15" x14ac:dyDescent="0.25">
      <c r="A791" s="379"/>
      <c r="B791" s="379" t="s">
        <v>51</v>
      </c>
      <c r="C791" s="379" t="s">
        <v>1026</v>
      </c>
      <c r="D791" s="379" t="s">
        <v>62</v>
      </c>
      <c r="E791" s="379" t="s">
        <v>1469</v>
      </c>
      <c r="F791" s="379">
        <v>0</v>
      </c>
      <c r="G791" s="379">
        <v>0</v>
      </c>
      <c r="I791" s="359">
        <f t="shared" si="12"/>
        <v>380</v>
      </c>
    </row>
    <row r="792" spans="1:9" ht="15" x14ac:dyDescent="0.25">
      <c r="A792" s="379"/>
      <c r="B792" s="379" t="s">
        <v>51</v>
      </c>
      <c r="C792" s="379" t="s">
        <v>612</v>
      </c>
      <c r="D792" s="379" t="s">
        <v>59</v>
      </c>
      <c r="E792" s="379" t="s">
        <v>1469</v>
      </c>
      <c r="F792" s="379">
        <v>0</v>
      </c>
      <c r="G792" s="379">
        <v>0</v>
      </c>
      <c r="I792" s="359">
        <f t="shared" si="12"/>
        <v>798</v>
      </c>
    </row>
    <row r="793" spans="1:9" ht="15" x14ac:dyDescent="0.25">
      <c r="A793" s="379"/>
      <c r="B793" s="379" t="s">
        <v>51</v>
      </c>
      <c r="C793" s="379" t="s">
        <v>1027</v>
      </c>
      <c r="D793" s="379" t="s">
        <v>59</v>
      </c>
      <c r="E793" s="379" t="s">
        <v>1469</v>
      </c>
      <c r="F793" s="379">
        <v>0</v>
      </c>
      <c r="G793" s="379">
        <v>0</v>
      </c>
      <c r="I793" s="359">
        <f t="shared" si="12"/>
        <v>826</v>
      </c>
    </row>
    <row r="794" spans="1:9" ht="15" x14ac:dyDescent="0.25">
      <c r="A794" s="379"/>
      <c r="B794" s="379" t="s">
        <v>51</v>
      </c>
      <c r="C794" s="379" t="s">
        <v>1028</v>
      </c>
      <c r="D794" s="379" t="s">
        <v>58</v>
      </c>
      <c r="E794" s="379" t="s">
        <v>1469</v>
      </c>
      <c r="F794" s="379">
        <v>0</v>
      </c>
      <c r="G794" s="379">
        <v>0</v>
      </c>
      <c r="I794" s="359">
        <f t="shared" si="12"/>
        <v>795</v>
      </c>
    </row>
    <row r="795" spans="1:9" ht="15" x14ac:dyDescent="0.25">
      <c r="A795" s="379"/>
      <c r="B795" s="379" t="s">
        <v>51</v>
      </c>
      <c r="C795" s="379" t="s">
        <v>1029</v>
      </c>
      <c r="D795" s="379" t="s">
        <v>58</v>
      </c>
      <c r="E795" s="379" t="s">
        <v>1469</v>
      </c>
      <c r="F795" s="379">
        <v>0</v>
      </c>
      <c r="G795" s="379">
        <v>0</v>
      </c>
      <c r="I795" s="359">
        <f t="shared" si="12"/>
        <v>959</v>
      </c>
    </row>
    <row r="796" spans="1:9" ht="15" x14ac:dyDescent="0.25">
      <c r="A796" s="379"/>
      <c r="B796" s="379" t="s">
        <v>51</v>
      </c>
      <c r="C796" s="379" t="s">
        <v>1260</v>
      </c>
      <c r="D796" s="379" t="s">
        <v>61</v>
      </c>
      <c r="E796" s="379" t="s">
        <v>1469</v>
      </c>
      <c r="F796" s="379">
        <v>0</v>
      </c>
      <c r="G796" s="379">
        <v>0</v>
      </c>
      <c r="I796" s="359">
        <f t="shared" si="12"/>
        <v>584</v>
      </c>
    </row>
    <row r="797" spans="1:9" ht="15" x14ac:dyDescent="0.25">
      <c r="A797" s="379"/>
      <c r="B797" s="379" t="s">
        <v>51</v>
      </c>
      <c r="C797" s="379" t="s">
        <v>1030</v>
      </c>
      <c r="D797" s="379" t="s">
        <v>59</v>
      </c>
      <c r="E797" s="379" t="s">
        <v>1470</v>
      </c>
      <c r="F797" s="379">
        <v>0</v>
      </c>
      <c r="G797" s="379">
        <v>0</v>
      </c>
      <c r="I797" s="359">
        <f t="shared" si="12"/>
        <v>612</v>
      </c>
    </row>
    <row r="798" spans="1:9" ht="15" x14ac:dyDescent="0.25">
      <c r="A798" s="379"/>
      <c r="B798" s="379" t="s">
        <v>51</v>
      </c>
      <c r="C798" s="379" t="s">
        <v>1031</v>
      </c>
      <c r="D798" s="379" t="s">
        <v>59</v>
      </c>
      <c r="E798" s="379" t="s">
        <v>1469</v>
      </c>
      <c r="F798" s="379">
        <v>0</v>
      </c>
      <c r="G798" s="379">
        <v>0</v>
      </c>
      <c r="I798" s="359">
        <f t="shared" si="12"/>
        <v>993</v>
      </c>
    </row>
    <row r="799" spans="1:9" ht="15" x14ac:dyDescent="0.25">
      <c r="A799" s="379"/>
      <c r="B799" s="379" t="s">
        <v>51</v>
      </c>
      <c r="C799" s="379" t="s">
        <v>1292</v>
      </c>
      <c r="D799" s="379" t="s">
        <v>61</v>
      </c>
      <c r="E799" s="379" t="s">
        <v>1469</v>
      </c>
      <c r="F799" s="379">
        <v>0</v>
      </c>
      <c r="G799" s="379">
        <v>0</v>
      </c>
      <c r="I799" s="359">
        <f t="shared" si="12"/>
        <v>103</v>
      </c>
    </row>
    <row r="800" spans="1:9" ht="15" x14ac:dyDescent="0.25">
      <c r="A800" s="379"/>
      <c r="B800" s="379" t="s">
        <v>51</v>
      </c>
      <c r="C800" s="379" t="s">
        <v>1032</v>
      </c>
      <c r="D800" s="379" t="s">
        <v>59</v>
      </c>
      <c r="E800" s="379" t="s">
        <v>1469</v>
      </c>
      <c r="F800" s="379">
        <v>0</v>
      </c>
      <c r="G800" s="379">
        <v>0</v>
      </c>
      <c r="I800" s="359">
        <f t="shared" si="12"/>
        <v>835</v>
      </c>
    </row>
    <row r="801" spans="1:9" ht="15" x14ac:dyDescent="0.25">
      <c r="A801" s="379"/>
      <c r="B801" s="379" t="s">
        <v>51</v>
      </c>
      <c r="C801" s="379" t="s">
        <v>699</v>
      </c>
      <c r="D801" s="379" t="s">
        <v>60</v>
      </c>
      <c r="E801" s="379" t="s">
        <v>1469</v>
      </c>
      <c r="F801" s="379">
        <v>0</v>
      </c>
      <c r="G801" s="379">
        <v>0</v>
      </c>
      <c r="I801" s="359">
        <f t="shared" si="12"/>
        <v>341</v>
      </c>
    </row>
    <row r="802" spans="1:9" ht="15" x14ac:dyDescent="0.25">
      <c r="A802" s="379"/>
      <c r="B802" s="379" t="s">
        <v>51</v>
      </c>
      <c r="C802" s="379" t="s">
        <v>1033</v>
      </c>
      <c r="D802" s="379" t="s">
        <v>58</v>
      </c>
      <c r="E802" s="379" t="s">
        <v>1470</v>
      </c>
      <c r="F802" s="379">
        <v>0</v>
      </c>
      <c r="G802" s="379">
        <v>0</v>
      </c>
      <c r="I802" s="359">
        <f t="shared" si="12"/>
        <v>187</v>
      </c>
    </row>
    <row r="803" spans="1:9" ht="15" x14ac:dyDescent="0.25">
      <c r="A803" s="379"/>
      <c r="B803" s="379" t="s">
        <v>51</v>
      </c>
      <c r="C803" s="379" t="s">
        <v>605</v>
      </c>
      <c r="D803" s="379" t="s">
        <v>62</v>
      </c>
      <c r="E803" s="379" t="s">
        <v>1469</v>
      </c>
      <c r="F803" s="379">
        <v>0</v>
      </c>
      <c r="G803" s="379">
        <v>0</v>
      </c>
      <c r="I803" s="359">
        <f t="shared" si="12"/>
        <v>654</v>
      </c>
    </row>
    <row r="804" spans="1:9" ht="15" x14ac:dyDescent="0.25">
      <c r="A804" s="379"/>
      <c r="B804" s="379" t="s">
        <v>51</v>
      </c>
      <c r="C804" s="379" t="s">
        <v>1034</v>
      </c>
      <c r="D804" s="379" t="s">
        <v>69</v>
      </c>
      <c r="E804" s="379" t="s">
        <v>1469</v>
      </c>
      <c r="F804" s="379">
        <v>0</v>
      </c>
      <c r="G804" s="379">
        <v>0</v>
      </c>
      <c r="I804" s="359">
        <f t="shared" si="12"/>
        <v>907</v>
      </c>
    </row>
    <row r="805" spans="1:9" ht="15" x14ac:dyDescent="0.25">
      <c r="A805" s="379"/>
      <c r="B805" s="379" t="s">
        <v>51</v>
      </c>
      <c r="C805" s="379" t="s">
        <v>698</v>
      </c>
      <c r="D805" s="379" t="s">
        <v>58</v>
      </c>
      <c r="E805" s="379" t="s">
        <v>1469</v>
      </c>
      <c r="F805" s="379">
        <v>0</v>
      </c>
      <c r="G805" s="379">
        <v>0</v>
      </c>
      <c r="I805" s="359">
        <f t="shared" si="12"/>
        <v>868</v>
      </c>
    </row>
    <row r="806" spans="1:9" ht="15" x14ac:dyDescent="0.25">
      <c r="A806" s="379"/>
      <c r="B806" s="379" t="s">
        <v>51</v>
      </c>
      <c r="C806" s="379" t="s">
        <v>1035</v>
      </c>
      <c r="D806" s="379" t="s">
        <v>59</v>
      </c>
      <c r="E806" s="379" t="s">
        <v>1469</v>
      </c>
      <c r="F806" s="379">
        <v>0</v>
      </c>
      <c r="G806" s="379">
        <v>0</v>
      </c>
      <c r="I806" s="359">
        <f t="shared" si="12"/>
        <v>913</v>
      </c>
    </row>
    <row r="807" spans="1:9" ht="15" x14ac:dyDescent="0.25">
      <c r="A807" s="379"/>
      <c r="B807" s="379" t="s">
        <v>51</v>
      </c>
      <c r="C807" s="379" t="s">
        <v>1036</v>
      </c>
      <c r="D807" s="379" t="s">
        <v>61</v>
      </c>
      <c r="E807" s="379" t="s">
        <v>1469</v>
      </c>
      <c r="F807" s="379">
        <v>0</v>
      </c>
      <c r="G807" s="379">
        <v>0</v>
      </c>
      <c r="I807" s="359">
        <f t="shared" si="12"/>
        <v>726</v>
      </c>
    </row>
    <row r="808" spans="1:9" ht="15" x14ac:dyDescent="0.25">
      <c r="A808" s="379"/>
      <c r="B808" s="379" t="s">
        <v>51</v>
      </c>
      <c r="C808" s="379" t="s">
        <v>629</v>
      </c>
      <c r="D808" s="379" t="s">
        <v>69</v>
      </c>
      <c r="E808" s="379" t="s">
        <v>1469</v>
      </c>
      <c r="F808" s="379">
        <v>0</v>
      </c>
      <c r="G808" s="379">
        <v>0</v>
      </c>
      <c r="I808" s="359">
        <f t="shared" si="12"/>
        <v>381</v>
      </c>
    </row>
    <row r="809" spans="1:9" ht="15" x14ac:dyDescent="0.25">
      <c r="A809" s="379"/>
      <c r="B809" s="379" t="s">
        <v>51</v>
      </c>
      <c r="C809" s="379" t="s">
        <v>1037</v>
      </c>
      <c r="D809" s="379" t="s">
        <v>69</v>
      </c>
      <c r="E809" s="379" t="s">
        <v>1469</v>
      </c>
      <c r="F809" s="379">
        <v>0</v>
      </c>
      <c r="G809" s="379">
        <v>0</v>
      </c>
      <c r="I809" s="359">
        <f t="shared" si="12"/>
        <v>382</v>
      </c>
    </row>
    <row r="810" spans="1:9" ht="15" x14ac:dyDescent="0.25">
      <c r="A810" s="379"/>
      <c r="B810" s="379" t="s">
        <v>51</v>
      </c>
      <c r="C810" s="379" t="s">
        <v>1038</v>
      </c>
      <c r="D810" s="379" t="s">
        <v>62</v>
      </c>
      <c r="E810" s="379" t="s">
        <v>1470</v>
      </c>
      <c r="F810" s="379">
        <v>0</v>
      </c>
      <c r="G810" s="379">
        <v>0</v>
      </c>
      <c r="I810" s="359">
        <f t="shared" si="12"/>
        <v>788</v>
      </c>
    </row>
    <row r="811" spans="1:9" ht="15" x14ac:dyDescent="0.25">
      <c r="A811" s="379"/>
      <c r="B811" s="379">
        <v>403</v>
      </c>
      <c r="C811" s="379" t="s">
        <v>1039</v>
      </c>
      <c r="D811" s="379" t="s">
        <v>59</v>
      </c>
      <c r="E811" s="379" t="s">
        <v>1469</v>
      </c>
      <c r="F811" s="379">
        <v>0</v>
      </c>
      <c r="G811" s="379">
        <v>0</v>
      </c>
      <c r="I811" s="359">
        <f t="shared" si="12"/>
        <v>490</v>
      </c>
    </row>
    <row r="812" spans="1:9" ht="15" x14ac:dyDescent="0.25">
      <c r="A812" s="379"/>
      <c r="B812" s="379" t="s">
        <v>51</v>
      </c>
      <c r="C812" s="379" t="s">
        <v>1040</v>
      </c>
      <c r="D812" s="379" t="s">
        <v>60</v>
      </c>
      <c r="E812" s="379" t="s">
        <v>1469</v>
      </c>
      <c r="F812" s="379">
        <v>0</v>
      </c>
      <c r="G812" s="379">
        <v>0</v>
      </c>
      <c r="I812" s="359">
        <f t="shared" si="12"/>
        <v>315</v>
      </c>
    </row>
    <row r="813" spans="1:9" ht="15" x14ac:dyDescent="0.25">
      <c r="A813" s="379"/>
      <c r="B813" s="379" t="s">
        <v>51</v>
      </c>
      <c r="C813" s="379" t="s">
        <v>676</v>
      </c>
      <c r="D813" s="379" t="s">
        <v>59</v>
      </c>
      <c r="E813" s="379" t="s">
        <v>1469</v>
      </c>
      <c r="F813" s="379">
        <v>0</v>
      </c>
      <c r="G813" s="379">
        <v>0</v>
      </c>
      <c r="I813" s="359">
        <f t="shared" si="12"/>
        <v>282</v>
      </c>
    </row>
    <row r="814" spans="1:9" ht="15" x14ac:dyDescent="0.25">
      <c r="A814" s="379"/>
      <c r="B814" s="379" t="s">
        <v>51</v>
      </c>
      <c r="C814" s="379" t="s">
        <v>1203</v>
      </c>
      <c r="D814" s="379" t="s">
        <v>67</v>
      </c>
      <c r="E814" s="379" t="s">
        <v>1470</v>
      </c>
      <c r="F814" s="379">
        <v>0</v>
      </c>
      <c r="G814" s="379">
        <v>0</v>
      </c>
      <c r="I814" s="359">
        <f t="shared" si="12"/>
        <v>446</v>
      </c>
    </row>
    <row r="815" spans="1:9" ht="15" x14ac:dyDescent="0.25">
      <c r="A815" s="379"/>
      <c r="B815" s="379" t="s">
        <v>51</v>
      </c>
      <c r="C815" s="379" t="s">
        <v>1041</v>
      </c>
      <c r="D815" s="379" t="s">
        <v>71</v>
      </c>
      <c r="E815" s="379" t="s">
        <v>1469</v>
      </c>
      <c r="F815" s="379">
        <v>0</v>
      </c>
      <c r="G815" s="379">
        <v>0</v>
      </c>
      <c r="I815" s="359">
        <f t="shared" si="12"/>
        <v>679</v>
      </c>
    </row>
    <row r="816" spans="1:9" ht="15" x14ac:dyDescent="0.25">
      <c r="A816" s="379"/>
      <c r="B816" s="379" t="s">
        <v>51</v>
      </c>
      <c r="C816" s="379" t="s">
        <v>1042</v>
      </c>
      <c r="D816" s="379" t="s">
        <v>59</v>
      </c>
      <c r="E816" s="379" t="s">
        <v>1469</v>
      </c>
      <c r="F816" s="379">
        <v>0</v>
      </c>
      <c r="G816" s="379">
        <v>0</v>
      </c>
      <c r="I816" s="359">
        <f t="shared" si="12"/>
        <v>965</v>
      </c>
    </row>
    <row r="817" spans="1:9" ht="15" x14ac:dyDescent="0.25">
      <c r="A817" s="379"/>
      <c r="B817" s="379" t="s">
        <v>51</v>
      </c>
      <c r="C817" s="379" t="s">
        <v>1043</v>
      </c>
      <c r="D817" s="379" t="s">
        <v>59</v>
      </c>
      <c r="E817" s="379" t="s">
        <v>1469</v>
      </c>
      <c r="F817" s="379">
        <v>0</v>
      </c>
      <c r="G817" s="379">
        <v>0</v>
      </c>
      <c r="I817" s="359">
        <f t="shared" si="12"/>
        <v>134</v>
      </c>
    </row>
    <row r="818" spans="1:9" ht="15" x14ac:dyDescent="0.25">
      <c r="A818" s="379"/>
      <c r="B818" s="379" t="s">
        <v>51</v>
      </c>
      <c r="C818" s="379" t="s">
        <v>1044</v>
      </c>
      <c r="D818" s="379" t="s">
        <v>59</v>
      </c>
      <c r="E818" s="379" t="s">
        <v>1469</v>
      </c>
      <c r="F818" s="379">
        <v>0</v>
      </c>
      <c r="G818" s="379">
        <v>0</v>
      </c>
      <c r="I818" s="359">
        <f t="shared" si="12"/>
        <v>451</v>
      </c>
    </row>
    <row r="819" spans="1:9" ht="15" x14ac:dyDescent="0.25">
      <c r="A819" s="379"/>
      <c r="B819" s="379" t="s">
        <v>51</v>
      </c>
      <c r="C819" s="379" t="s">
        <v>1045</v>
      </c>
      <c r="D819" s="379" t="s">
        <v>59</v>
      </c>
      <c r="E819" s="379" t="s">
        <v>1469</v>
      </c>
      <c r="F819" s="379">
        <v>0</v>
      </c>
      <c r="G819" s="379">
        <v>0</v>
      </c>
      <c r="I819" s="359">
        <f t="shared" si="12"/>
        <v>463</v>
      </c>
    </row>
    <row r="820" spans="1:9" ht="15" x14ac:dyDescent="0.25">
      <c r="A820" s="379"/>
      <c r="B820" s="379" t="s">
        <v>51</v>
      </c>
      <c r="C820" s="379" t="s">
        <v>1046</v>
      </c>
      <c r="D820" s="379" t="s">
        <v>59</v>
      </c>
      <c r="E820" s="379" t="s">
        <v>1469</v>
      </c>
      <c r="F820" s="379">
        <v>0</v>
      </c>
      <c r="G820" s="379">
        <v>0</v>
      </c>
      <c r="I820" s="359">
        <f t="shared" si="12"/>
        <v>536</v>
      </c>
    </row>
    <row r="821" spans="1:9" ht="15" x14ac:dyDescent="0.25">
      <c r="A821" s="379"/>
      <c r="B821" s="379" t="s">
        <v>51</v>
      </c>
      <c r="C821" s="379" t="s">
        <v>1047</v>
      </c>
      <c r="D821" s="379" t="s">
        <v>58</v>
      </c>
      <c r="E821" s="379" t="s">
        <v>1469</v>
      </c>
      <c r="F821" s="379">
        <v>0</v>
      </c>
      <c r="G821" s="379">
        <v>0</v>
      </c>
      <c r="I821" s="359">
        <f t="shared" si="12"/>
        <v>183</v>
      </c>
    </row>
    <row r="822" spans="1:9" ht="15" x14ac:dyDescent="0.25">
      <c r="A822" s="379"/>
      <c r="B822" s="379" t="s">
        <v>51</v>
      </c>
      <c r="C822" s="379" t="s">
        <v>601</v>
      </c>
      <c r="D822" s="379" t="s">
        <v>58</v>
      </c>
      <c r="E822" s="379" t="s">
        <v>1469</v>
      </c>
      <c r="F822" s="379">
        <v>0</v>
      </c>
      <c r="G822" s="379">
        <v>0</v>
      </c>
      <c r="I822" s="359">
        <f t="shared" si="12"/>
        <v>327</v>
      </c>
    </row>
    <row r="823" spans="1:9" ht="15" x14ac:dyDescent="0.25">
      <c r="A823" s="379"/>
      <c r="B823" s="379" t="s">
        <v>51</v>
      </c>
      <c r="C823" s="379" t="s">
        <v>1048</v>
      </c>
      <c r="D823" s="379" t="s">
        <v>58</v>
      </c>
      <c r="E823" s="379" t="s">
        <v>1469</v>
      </c>
      <c r="F823" s="379">
        <v>0</v>
      </c>
      <c r="G823" s="379">
        <v>0</v>
      </c>
      <c r="I823" s="359">
        <f t="shared" si="12"/>
        <v>735</v>
      </c>
    </row>
    <row r="824" spans="1:9" ht="15" x14ac:dyDescent="0.25">
      <c r="A824" s="379"/>
      <c r="B824" s="379" t="s">
        <v>51</v>
      </c>
      <c r="C824" s="379" t="s">
        <v>1049</v>
      </c>
      <c r="D824" s="379" t="s">
        <v>59</v>
      </c>
      <c r="E824" s="379" t="s">
        <v>1470</v>
      </c>
      <c r="F824" s="379">
        <v>0</v>
      </c>
      <c r="G824" s="379">
        <v>0</v>
      </c>
      <c r="I824" s="359">
        <f t="shared" si="12"/>
        <v>790</v>
      </c>
    </row>
    <row r="825" spans="1:9" ht="15" x14ac:dyDescent="0.25">
      <c r="A825" s="379"/>
      <c r="B825" s="379" t="s">
        <v>51</v>
      </c>
      <c r="C825" s="379" t="s">
        <v>1050</v>
      </c>
      <c r="D825" s="379" t="s">
        <v>61</v>
      </c>
      <c r="E825" s="379" t="s">
        <v>1469</v>
      </c>
      <c r="F825" s="379">
        <v>0</v>
      </c>
      <c r="G825" s="379">
        <v>0</v>
      </c>
      <c r="I825" s="359">
        <f t="shared" si="12"/>
        <v>546</v>
      </c>
    </row>
    <row r="826" spans="1:9" ht="15" x14ac:dyDescent="0.25">
      <c r="A826" s="379"/>
      <c r="B826" s="379" t="s">
        <v>51</v>
      </c>
      <c r="C826" s="379" t="s">
        <v>1228</v>
      </c>
      <c r="D826" s="379" t="s">
        <v>59</v>
      </c>
      <c r="E826" s="379" t="s">
        <v>1469</v>
      </c>
      <c r="F826" s="379">
        <v>0</v>
      </c>
      <c r="G826" s="379">
        <v>0</v>
      </c>
      <c r="I826" s="359">
        <f t="shared" si="12"/>
        <v>409</v>
      </c>
    </row>
    <row r="827" spans="1:9" ht="15" x14ac:dyDescent="0.25">
      <c r="A827" s="379"/>
      <c r="B827" s="379" t="s">
        <v>51</v>
      </c>
      <c r="C827" s="379" t="s">
        <v>1051</v>
      </c>
      <c r="D827" s="379" t="s">
        <v>191</v>
      </c>
      <c r="E827" s="379" t="s">
        <v>1469</v>
      </c>
      <c r="F827" s="379">
        <v>0</v>
      </c>
      <c r="G827" s="379">
        <v>0</v>
      </c>
      <c r="I827" s="359">
        <f t="shared" si="12"/>
        <v>369</v>
      </c>
    </row>
    <row r="828" spans="1:9" ht="15" x14ac:dyDescent="0.25">
      <c r="A828" s="379"/>
      <c r="B828" s="379" t="s">
        <v>51</v>
      </c>
      <c r="C828" s="379" t="s">
        <v>1052</v>
      </c>
      <c r="D828" s="379" t="s">
        <v>58</v>
      </c>
      <c r="E828" s="379" t="s">
        <v>1469</v>
      </c>
      <c r="F828" s="379">
        <v>0</v>
      </c>
      <c r="G828" s="379">
        <v>0</v>
      </c>
      <c r="I828" s="359">
        <f t="shared" si="12"/>
        <v>297</v>
      </c>
    </row>
    <row r="829" spans="1:9" ht="15" x14ac:dyDescent="0.25">
      <c r="A829" s="379"/>
      <c r="B829" s="379" t="s">
        <v>51</v>
      </c>
      <c r="C829" s="379" t="s">
        <v>1225</v>
      </c>
      <c r="D829" s="379" t="s">
        <v>59</v>
      </c>
      <c r="E829" s="379" t="s">
        <v>1469</v>
      </c>
      <c r="F829" s="379">
        <v>0</v>
      </c>
      <c r="G829" s="379">
        <v>0</v>
      </c>
      <c r="I829" s="359">
        <f t="shared" si="12"/>
        <v>3</v>
      </c>
    </row>
    <row r="830" spans="1:9" ht="15" x14ac:dyDescent="0.25">
      <c r="A830" s="379"/>
      <c r="B830" s="379" t="s">
        <v>51</v>
      </c>
      <c r="C830" s="379" t="s">
        <v>564</v>
      </c>
      <c r="D830" s="379" t="s">
        <v>62</v>
      </c>
      <c r="E830" s="379" t="s">
        <v>1469</v>
      </c>
      <c r="F830" s="379">
        <v>0</v>
      </c>
      <c r="G830" s="379">
        <v>0</v>
      </c>
      <c r="I830" s="359">
        <f t="shared" si="12"/>
        <v>752</v>
      </c>
    </row>
    <row r="831" spans="1:9" ht="15" x14ac:dyDescent="0.25">
      <c r="A831" s="379"/>
      <c r="B831" s="379" t="s">
        <v>51</v>
      </c>
      <c r="C831" s="379" t="s">
        <v>1054</v>
      </c>
      <c r="D831" s="379" t="s">
        <v>62</v>
      </c>
      <c r="E831" s="379" t="s">
        <v>1470</v>
      </c>
      <c r="F831" s="379">
        <v>0</v>
      </c>
      <c r="G831" s="379">
        <v>0</v>
      </c>
      <c r="I831" s="359">
        <f t="shared" si="12"/>
        <v>898</v>
      </c>
    </row>
    <row r="832" spans="1:9" ht="15" x14ac:dyDescent="0.25">
      <c r="A832" s="379"/>
      <c r="B832" s="379" t="s">
        <v>51</v>
      </c>
      <c r="C832" s="379" t="s">
        <v>1055</v>
      </c>
      <c r="D832" s="379" t="s">
        <v>59</v>
      </c>
      <c r="E832" s="379" t="s">
        <v>1469</v>
      </c>
      <c r="F832" s="379">
        <v>0</v>
      </c>
      <c r="G832" s="379">
        <v>0</v>
      </c>
      <c r="I832" s="359">
        <f t="shared" si="12"/>
        <v>828</v>
      </c>
    </row>
    <row r="833" spans="1:9" ht="15" x14ac:dyDescent="0.25">
      <c r="A833" s="379"/>
      <c r="B833" s="379" t="s">
        <v>51</v>
      </c>
      <c r="C833" s="379" t="s">
        <v>1056</v>
      </c>
      <c r="D833" s="379" t="s">
        <v>63</v>
      </c>
      <c r="E833" s="379" t="s">
        <v>1469</v>
      </c>
      <c r="F833" s="379">
        <v>0</v>
      </c>
      <c r="G833" s="379">
        <v>0</v>
      </c>
      <c r="I833" s="359">
        <f t="shared" si="12"/>
        <v>174</v>
      </c>
    </row>
    <row r="834" spans="1:9" ht="15" x14ac:dyDescent="0.25">
      <c r="A834" s="379"/>
      <c r="B834" s="379" t="s">
        <v>51</v>
      </c>
      <c r="C834" s="379" t="s">
        <v>573</v>
      </c>
      <c r="D834" s="379" t="s">
        <v>73</v>
      </c>
      <c r="E834" s="379" t="s">
        <v>1469</v>
      </c>
      <c r="F834" s="379">
        <v>0</v>
      </c>
      <c r="G834" s="379">
        <v>0</v>
      </c>
      <c r="I834" s="359">
        <f t="shared" si="12"/>
        <v>508</v>
      </c>
    </row>
    <row r="835" spans="1:9" ht="15" x14ac:dyDescent="0.25">
      <c r="A835" s="379"/>
      <c r="B835" s="379" t="s">
        <v>51</v>
      </c>
      <c r="C835" s="379" t="s">
        <v>1057</v>
      </c>
      <c r="D835" s="379" t="s">
        <v>61</v>
      </c>
      <c r="E835" s="379" t="s">
        <v>1469</v>
      </c>
      <c r="F835" s="379">
        <v>0</v>
      </c>
      <c r="G835" s="379">
        <v>0</v>
      </c>
      <c r="I835" s="359">
        <f t="shared" ref="I835:I898" si="13">SUMPRODUCT((C$2:C$1000 &lt; C835)+(C835="")*1000)</f>
        <v>882</v>
      </c>
    </row>
    <row r="836" spans="1:9" ht="15" x14ac:dyDescent="0.25">
      <c r="A836" s="379"/>
      <c r="B836" s="379" t="s">
        <v>51</v>
      </c>
      <c r="C836" s="379" t="s">
        <v>1058</v>
      </c>
      <c r="D836" s="379" t="s">
        <v>58</v>
      </c>
      <c r="E836" s="379" t="s">
        <v>1469</v>
      </c>
      <c r="F836" s="379">
        <v>0</v>
      </c>
      <c r="G836" s="379">
        <v>0</v>
      </c>
      <c r="I836" s="359">
        <f t="shared" si="13"/>
        <v>175</v>
      </c>
    </row>
    <row r="837" spans="1:9" ht="15" x14ac:dyDescent="0.25">
      <c r="A837" s="379"/>
      <c r="B837" s="379" t="s">
        <v>51</v>
      </c>
      <c r="C837" s="379" t="s">
        <v>1059</v>
      </c>
      <c r="D837" s="379" t="s">
        <v>58</v>
      </c>
      <c r="E837" s="379" t="s">
        <v>1469</v>
      </c>
      <c r="F837" s="379">
        <v>0</v>
      </c>
      <c r="G837" s="379">
        <v>0</v>
      </c>
      <c r="I837" s="359">
        <f t="shared" si="13"/>
        <v>812</v>
      </c>
    </row>
    <row r="838" spans="1:9" ht="15" x14ac:dyDescent="0.25">
      <c r="A838" s="379"/>
      <c r="B838" s="379" t="s">
        <v>51</v>
      </c>
      <c r="C838" s="379" t="s">
        <v>721</v>
      </c>
      <c r="D838" s="379" t="s">
        <v>64</v>
      </c>
      <c r="E838" s="379" t="s">
        <v>1470</v>
      </c>
      <c r="F838" s="379">
        <v>0</v>
      </c>
      <c r="G838" s="379">
        <v>0</v>
      </c>
      <c r="I838" s="359">
        <f t="shared" si="13"/>
        <v>523</v>
      </c>
    </row>
    <row r="839" spans="1:9" ht="15" x14ac:dyDescent="0.25">
      <c r="A839" s="379"/>
      <c r="B839" s="379" t="s">
        <v>51</v>
      </c>
      <c r="C839" s="379" t="s">
        <v>1060</v>
      </c>
      <c r="D839" s="379" t="s">
        <v>64</v>
      </c>
      <c r="E839" s="379" t="s">
        <v>1470</v>
      </c>
      <c r="F839" s="379">
        <v>0</v>
      </c>
      <c r="G839" s="379">
        <v>0</v>
      </c>
      <c r="I839" s="359">
        <f t="shared" si="13"/>
        <v>589</v>
      </c>
    </row>
    <row r="840" spans="1:9" ht="15" x14ac:dyDescent="0.25">
      <c r="A840" s="379"/>
      <c r="B840" s="379" t="s">
        <v>1716</v>
      </c>
      <c r="C840" s="379" t="s">
        <v>1061</v>
      </c>
      <c r="D840" s="379" t="s">
        <v>59</v>
      </c>
      <c r="E840" s="379" t="s">
        <v>1469</v>
      </c>
      <c r="F840" s="379">
        <v>0</v>
      </c>
      <c r="G840" s="379">
        <v>0</v>
      </c>
      <c r="I840" s="359">
        <f t="shared" si="13"/>
        <v>244</v>
      </c>
    </row>
    <row r="841" spans="1:9" ht="15" x14ac:dyDescent="0.25">
      <c r="A841" s="379"/>
      <c r="B841" s="379" t="s">
        <v>51</v>
      </c>
      <c r="C841" s="379" t="s">
        <v>1062</v>
      </c>
      <c r="D841" s="379" t="s">
        <v>58</v>
      </c>
      <c r="E841" s="379" t="s">
        <v>1469</v>
      </c>
      <c r="F841" s="379">
        <v>0</v>
      </c>
      <c r="G841" s="379">
        <v>0</v>
      </c>
      <c r="I841" s="359">
        <f t="shared" si="13"/>
        <v>638</v>
      </c>
    </row>
    <row r="842" spans="1:9" ht="15" x14ac:dyDescent="0.25">
      <c r="A842" s="379"/>
      <c r="B842" s="379" t="s">
        <v>51</v>
      </c>
      <c r="C842" s="379" t="s">
        <v>722</v>
      </c>
      <c r="D842" s="379" t="s">
        <v>59</v>
      </c>
      <c r="E842" s="379" t="s">
        <v>1469</v>
      </c>
      <c r="F842" s="379">
        <v>0</v>
      </c>
      <c r="G842" s="379">
        <v>0</v>
      </c>
      <c r="I842" s="359">
        <f t="shared" si="13"/>
        <v>258</v>
      </c>
    </row>
    <row r="843" spans="1:9" ht="15" x14ac:dyDescent="0.25">
      <c r="A843" s="379"/>
      <c r="B843" s="379" t="s">
        <v>51</v>
      </c>
      <c r="C843" s="379" t="s">
        <v>745</v>
      </c>
      <c r="D843" s="379" t="s">
        <v>64</v>
      </c>
      <c r="E843" s="379" t="s">
        <v>1469</v>
      </c>
      <c r="F843" s="379">
        <v>0</v>
      </c>
      <c r="G843" s="379">
        <v>0</v>
      </c>
      <c r="I843" s="359">
        <f t="shared" si="13"/>
        <v>592</v>
      </c>
    </row>
    <row r="844" spans="1:9" ht="15" x14ac:dyDescent="0.25">
      <c r="A844" s="379"/>
      <c r="B844" s="379" t="s">
        <v>51</v>
      </c>
      <c r="C844" s="379" t="s">
        <v>1063</v>
      </c>
      <c r="D844" s="379" t="s">
        <v>58</v>
      </c>
      <c r="E844" s="379" t="s">
        <v>1469</v>
      </c>
      <c r="F844" s="379">
        <v>0</v>
      </c>
      <c r="G844" s="379">
        <v>0</v>
      </c>
      <c r="I844" s="359">
        <f t="shared" si="13"/>
        <v>275</v>
      </c>
    </row>
    <row r="845" spans="1:9" ht="15" x14ac:dyDescent="0.25">
      <c r="A845" s="379"/>
      <c r="B845" s="379" t="s">
        <v>51</v>
      </c>
      <c r="C845" s="379" t="s">
        <v>1064</v>
      </c>
      <c r="D845" s="379" t="s">
        <v>58</v>
      </c>
      <c r="E845" s="379" t="s">
        <v>1469</v>
      </c>
      <c r="F845" s="379">
        <v>0</v>
      </c>
      <c r="G845" s="379">
        <v>0</v>
      </c>
      <c r="I845" s="359">
        <f t="shared" si="13"/>
        <v>20</v>
      </c>
    </row>
    <row r="846" spans="1:9" ht="15" x14ac:dyDescent="0.25">
      <c r="A846" s="379"/>
      <c r="B846" s="379" t="s">
        <v>51</v>
      </c>
      <c r="C846" s="379" t="s">
        <v>1065</v>
      </c>
      <c r="D846" s="379" t="s">
        <v>61</v>
      </c>
      <c r="E846" s="379" t="s">
        <v>1469</v>
      </c>
      <c r="F846" s="379">
        <v>0</v>
      </c>
      <c r="G846" s="379">
        <v>0</v>
      </c>
      <c r="I846" s="359">
        <f t="shared" si="13"/>
        <v>66</v>
      </c>
    </row>
    <row r="847" spans="1:9" ht="15" x14ac:dyDescent="0.25">
      <c r="A847" s="379"/>
      <c r="B847" s="379" t="s">
        <v>51</v>
      </c>
      <c r="C847" s="379" t="s">
        <v>1066</v>
      </c>
      <c r="D847" s="379" t="s">
        <v>59</v>
      </c>
      <c r="E847" s="379" t="s">
        <v>1469</v>
      </c>
      <c r="F847" s="379">
        <v>0</v>
      </c>
      <c r="G847" s="379">
        <v>0</v>
      </c>
      <c r="I847" s="359">
        <f t="shared" si="13"/>
        <v>737</v>
      </c>
    </row>
    <row r="848" spans="1:9" ht="15" x14ac:dyDescent="0.25">
      <c r="A848" s="379"/>
      <c r="B848" s="379" t="s">
        <v>51</v>
      </c>
      <c r="C848" s="379" t="s">
        <v>626</v>
      </c>
      <c r="D848" s="379" t="s">
        <v>73</v>
      </c>
      <c r="E848" s="379" t="s">
        <v>1469</v>
      </c>
      <c r="F848" s="379">
        <v>0</v>
      </c>
      <c r="G848" s="379">
        <v>0</v>
      </c>
      <c r="I848" s="359">
        <f t="shared" si="13"/>
        <v>507</v>
      </c>
    </row>
    <row r="849" spans="1:9" ht="15" x14ac:dyDescent="0.25">
      <c r="A849" s="379"/>
      <c r="B849" s="379" t="s">
        <v>51</v>
      </c>
      <c r="C849" s="379" t="s">
        <v>682</v>
      </c>
      <c r="D849" s="379" t="s">
        <v>75</v>
      </c>
      <c r="E849" s="379" t="s">
        <v>1469</v>
      </c>
      <c r="F849" s="379">
        <v>0</v>
      </c>
      <c r="G849" s="379">
        <v>0</v>
      </c>
      <c r="I849" s="359">
        <f t="shared" si="13"/>
        <v>772</v>
      </c>
    </row>
    <row r="850" spans="1:9" ht="15" x14ac:dyDescent="0.25">
      <c r="A850" s="379"/>
      <c r="B850" s="379" t="s">
        <v>51</v>
      </c>
      <c r="C850" s="379" t="s">
        <v>1067</v>
      </c>
      <c r="D850" s="379" t="s">
        <v>61</v>
      </c>
      <c r="E850" s="379" t="s">
        <v>1469</v>
      </c>
      <c r="F850" s="379">
        <v>0</v>
      </c>
      <c r="G850" s="379">
        <v>0</v>
      </c>
      <c r="I850" s="359">
        <f t="shared" si="13"/>
        <v>713</v>
      </c>
    </row>
    <row r="851" spans="1:9" ht="15" x14ac:dyDescent="0.25">
      <c r="A851" s="379"/>
      <c r="B851" s="379" t="s">
        <v>51</v>
      </c>
      <c r="C851" s="379" t="s">
        <v>1068</v>
      </c>
      <c r="D851" s="379" t="s">
        <v>71</v>
      </c>
      <c r="E851" s="379" t="s">
        <v>1469</v>
      </c>
      <c r="F851" s="379">
        <v>0</v>
      </c>
      <c r="G851" s="379">
        <v>0</v>
      </c>
      <c r="I851" s="359">
        <f t="shared" si="13"/>
        <v>207</v>
      </c>
    </row>
    <row r="852" spans="1:9" ht="15" x14ac:dyDescent="0.25">
      <c r="A852" s="379"/>
      <c r="B852" s="379" t="s">
        <v>1715</v>
      </c>
      <c r="C852" s="379" t="s">
        <v>1287</v>
      </c>
      <c r="D852" s="379" t="s">
        <v>59</v>
      </c>
      <c r="E852" s="379" t="s">
        <v>1469</v>
      </c>
      <c r="F852" s="379">
        <v>0</v>
      </c>
      <c r="G852" s="379">
        <v>0</v>
      </c>
      <c r="I852" s="359">
        <f t="shared" si="13"/>
        <v>893</v>
      </c>
    </row>
    <row r="853" spans="1:9" ht="15" x14ac:dyDescent="0.25">
      <c r="A853" s="379"/>
      <c r="B853" s="379" t="s">
        <v>51</v>
      </c>
      <c r="C853" s="379" t="s">
        <v>497</v>
      </c>
      <c r="D853" s="379" t="s">
        <v>59</v>
      </c>
      <c r="E853" s="379" t="s">
        <v>1469</v>
      </c>
      <c r="F853" s="379">
        <v>0</v>
      </c>
      <c r="G853" s="379">
        <v>0</v>
      </c>
      <c r="I853" s="359">
        <f t="shared" si="13"/>
        <v>692</v>
      </c>
    </row>
    <row r="854" spans="1:9" ht="15" x14ac:dyDescent="0.25">
      <c r="A854" s="379"/>
      <c r="B854" s="379" t="s">
        <v>51</v>
      </c>
      <c r="C854" s="379" t="s">
        <v>1069</v>
      </c>
      <c r="D854" s="379" t="s">
        <v>59</v>
      </c>
      <c r="E854" s="379" t="s">
        <v>1469</v>
      </c>
      <c r="F854" s="379">
        <v>0</v>
      </c>
      <c r="G854" s="379">
        <v>0</v>
      </c>
      <c r="I854" s="359">
        <f t="shared" si="13"/>
        <v>160</v>
      </c>
    </row>
    <row r="855" spans="1:9" ht="15" x14ac:dyDescent="0.25">
      <c r="A855" s="379"/>
      <c r="B855" s="379" t="s">
        <v>51</v>
      </c>
      <c r="C855" s="379" t="s">
        <v>723</v>
      </c>
      <c r="D855" s="379" t="s">
        <v>59</v>
      </c>
      <c r="E855" s="379" t="s">
        <v>1469</v>
      </c>
      <c r="F855" s="379">
        <v>0</v>
      </c>
      <c r="G855" s="379">
        <v>0</v>
      </c>
      <c r="I855" s="359">
        <f t="shared" si="13"/>
        <v>532</v>
      </c>
    </row>
    <row r="856" spans="1:9" ht="15" x14ac:dyDescent="0.25">
      <c r="A856" s="379"/>
      <c r="B856" s="379" t="s">
        <v>51</v>
      </c>
      <c r="C856" s="379" t="s">
        <v>1070</v>
      </c>
      <c r="D856" s="379" t="s">
        <v>59</v>
      </c>
      <c r="E856" s="379" t="s">
        <v>1469</v>
      </c>
      <c r="F856" s="379">
        <v>0</v>
      </c>
      <c r="G856" s="379">
        <v>0</v>
      </c>
      <c r="I856" s="359">
        <f t="shared" si="13"/>
        <v>968</v>
      </c>
    </row>
    <row r="857" spans="1:9" ht="15" x14ac:dyDescent="0.25">
      <c r="A857" s="379"/>
      <c r="B857" s="379" t="s">
        <v>51</v>
      </c>
      <c r="C857" s="379" t="s">
        <v>1293</v>
      </c>
      <c r="D857" s="379" t="s">
        <v>59</v>
      </c>
      <c r="E857" s="379" t="s">
        <v>1469</v>
      </c>
      <c r="F857" s="379">
        <v>0</v>
      </c>
      <c r="G857" s="379">
        <v>0</v>
      </c>
      <c r="I857" s="359">
        <f t="shared" si="13"/>
        <v>148</v>
      </c>
    </row>
    <row r="858" spans="1:9" ht="15" x14ac:dyDescent="0.25">
      <c r="A858" s="379"/>
      <c r="B858" s="379" t="s">
        <v>51</v>
      </c>
      <c r="C858" s="379" t="s">
        <v>1071</v>
      </c>
      <c r="D858" s="379" t="s">
        <v>59</v>
      </c>
      <c r="E858" s="379" t="s">
        <v>1469</v>
      </c>
      <c r="F858" s="379">
        <v>0</v>
      </c>
      <c r="G858" s="379">
        <v>0</v>
      </c>
      <c r="I858" s="359">
        <f t="shared" si="13"/>
        <v>358</v>
      </c>
    </row>
    <row r="859" spans="1:9" ht="15" x14ac:dyDescent="0.25">
      <c r="A859" s="379"/>
      <c r="B859" s="379" t="s">
        <v>51</v>
      </c>
      <c r="C859" s="379" t="s">
        <v>1072</v>
      </c>
      <c r="D859" s="379" t="s">
        <v>59</v>
      </c>
      <c r="E859" s="379" t="s">
        <v>1469</v>
      </c>
      <c r="F859" s="379">
        <v>0</v>
      </c>
      <c r="G859" s="379">
        <v>0</v>
      </c>
      <c r="I859" s="359">
        <f t="shared" si="13"/>
        <v>846</v>
      </c>
    </row>
    <row r="860" spans="1:9" ht="15" x14ac:dyDescent="0.25">
      <c r="A860" s="379"/>
      <c r="B860" s="379" t="s">
        <v>51</v>
      </c>
      <c r="C860" s="379" t="s">
        <v>1230</v>
      </c>
      <c r="D860" s="379" t="s">
        <v>61</v>
      </c>
      <c r="E860" s="379" t="s">
        <v>1470</v>
      </c>
      <c r="F860" s="379">
        <v>0</v>
      </c>
      <c r="G860" s="379">
        <v>0</v>
      </c>
      <c r="I860" s="359">
        <f t="shared" si="13"/>
        <v>911</v>
      </c>
    </row>
    <row r="861" spans="1:9" ht="15" x14ac:dyDescent="0.25">
      <c r="A861" s="379"/>
      <c r="B861" s="379" t="s">
        <v>51</v>
      </c>
      <c r="C861" s="379" t="s">
        <v>529</v>
      </c>
      <c r="D861" s="379" t="s">
        <v>73</v>
      </c>
      <c r="E861" s="379" t="s">
        <v>1469</v>
      </c>
      <c r="F861" s="379">
        <v>0</v>
      </c>
      <c r="G861" s="379">
        <v>0</v>
      </c>
      <c r="I861" s="359">
        <f t="shared" si="13"/>
        <v>63</v>
      </c>
    </row>
    <row r="862" spans="1:9" ht="15" x14ac:dyDescent="0.25">
      <c r="A862" s="379"/>
      <c r="B862" s="379" t="s">
        <v>51</v>
      </c>
      <c r="C862" s="379" t="s">
        <v>1073</v>
      </c>
      <c r="D862" s="379" t="s">
        <v>58</v>
      </c>
      <c r="E862" s="379" t="s">
        <v>1469</v>
      </c>
      <c r="F862" s="379">
        <v>0</v>
      </c>
      <c r="G862" s="379">
        <v>0</v>
      </c>
      <c r="I862" s="359">
        <f t="shared" si="13"/>
        <v>351</v>
      </c>
    </row>
    <row r="863" spans="1:9" ht="15" x14ac:dyDescent="0.25">
      <c r="A863" s="379"/>
      <c r="B863" s="379" t="s">
        <v>51</v>
      </c>
      <c r="C863" s="379" t="s">
        <v>1074</v>
      </c>
      <c r="D863" s="379" t="s">
        <v>59</v>
      </c>
      <c r="E863" s="379" t="s">
        <v>1470</v>
      </c>
      <c r="F863" s="379">
        <v>0</v>
      </c>
      <c r="G863" s="379">
        <v>0</v>
      </c>
      <c r="I863" s="359">
        <f t="shared" si="13"/>
        <v>511</v>
      </c>
    </row>
    <row r="864" spans="1:9" ht="15" x14ac:dyDescent="0.25">
      <c r="A864" s="379"/>
      <c r="B864" s="379" t="s">
        <v>51</v>
      </c>
      <c r="C864" s="379" t="s">
        <v>1075</v>
      </c>
      <c r="D864" s="379" t="s">
        <v>59</v>
      </c>
      <c r="E864" s="379" t="s">
        <v>1469</v>
      </c>
      <c r="F864" s="379">
        <v>0</v>
      </c>
      <c r="G864" s="379">
        <v>0</v>
      </c>
      <c r="I864" s="359">
        <f t="shared" si="13"/>
        <v>943</v>
      </c>
    </row>
    <row r="865" spans="1:9" ht="15" x14ac:dyDescent="0.25">
      <c r="A865" s="379"/>
      <c r="B865" s="379" t="s">
        <v>51</v>
      </c>
      <c r="C865" s="379" t="s">
        <v>1076</v>
      </c>
      <c r="D865" s="379" t="s">
        <v>59</v>
      </c>
      <c r="E865" s="379" t="s">
        <v>1469</v>
      </c>
      <c r="F865" s="379">
        <v>0</v>
      </c>
      <c r="G865" s="379">
        <v>0</v>
      </c>
      <c r="I865" s="359">
        <f t="shared" si="13"/>
        <v>198</v>
      </c>
    </row>
    <row r="866" spans="1:9" ht="15" x14ac:dyDescent="0.25">
      <c r="A866" s="379"/>
      <c r="B866" s="379" t="s">
        <v>51</v>
      </c>
      <c r="C866" s="379" t="s">
        <v>705</v>
      </c>
      <c r="D866" s="379" t="s">
        <v>75</v>
      </c>
      <c r="E866" s="379" t="s">
        <v>1469</v>
      </c>
      <c r="F866" s="379">
        <v>0</v>
      </c>
      <c r="G866" s="379">
        <v>0</v>
      </c>
      <c r="I866" s="359">
        <f t="shared" si="13"/>
        <v>678</v>
      </c>
    </row>
    <row r="867" spans="1:9" ht="15" x14ac:dyDescent="0.25">
      <c r="A867" s="379"/>
      <c r="B867" s="379" t="s">
        <v>51</v>
      </c>
      <c r="C867" s="379" t="s">
        <v>617</v>
      </c>
      <c r="D867" s="379" t="s">
        <v>74</v>
      </c>
      <c r="E867" s="379" t="s">
        <v>1470</v>
      </c>
      <c r="F867" s="379">
        <v>0</v>
      </c>
      <c r="G867" s="379">
        <v>0</v>
      </c>
      <c r="I867" s="359">
        <f t="shared" si="13"/>
        <v>361</v>
      </c>
    </row>
    <row r="868" spans="1:9" ht="15" x14ac:dyDescent="0.25">
      <c r="A868" s="379"/>
      <c r="B868" s="379" t="s">
        <v>51</v>
      </c>
      <c r="C868" s="379" t="s">
        <v>1078</v>
      </c>
      <c r="D868" s="379" t="s">
        <v>61</v>
      </c>
      <c r="E868" s="379" t="s">
        <v>1469</v>
      </c>
      <c r="F868" s="379">
        <v>0</v>
      </c>
      <c r="G868" s="379">
        <v>0</v>
      </c>
      <c r="I868" s="359">
        <f t="shared" si="13"/>
        <v>758</v>
      </c>
    </row>
    <row r="869" spans="1:9" ht="15" x14ac:dyDescent="0.25">
      <c r="A869" s="379"/>
      <c r="B869" s="379" t="s">
        <v>51</v>
      </c>
      <c r="C869" s="379" t="s">
        <v>1079</v>
      </c>
      <c r="D869" s="379" t="s">
        <v>59</v>
      </c>
      <c r="E869" s="379" t="s">
        <v>1469</v>
      </c>
      <c r="F869" s="379">
        <v>0</v>
      </c>
      <c r="G869" s="379">
        <v>0</v>
      </c>
      <c r="I869" s="359">
        <f t="shared" si="13"/>
        <v>688</v>
      </c>
    </row>
    <row r="870" spans="1:9" ht="15" x14ac:dyDescent="0.25">
      <c r="A870" s="379"/>
      <c r="B870" s="379" t="s">
        <v>51</v>
      </c>
      <c r="C870" s="379" t="s">
        <v>1080</v>
      </c>
      <c r="D870" s="379" t="s">
        <v>59</v>
      </c>
      <c r="E870" s="379" t="s">
        <v>1469</v>
      </c>
      <c r="F870" s="379">
        <v>0</v>
      </c>
      <c r="G870" s="379">
        <v>0</v>
      </c>
      <c r="I870" s="359">
        <f t="shared" si="13"/>
        <v>161</v>
      </c>
    </row>
    <row r="871" spans="1:9" ht="15" x14ac:dyDescent="0.25">
      <c r="A871" s="379"/>
      <c r="B871" s="379" t="s">
        <v>51</v>
      </c>
      <c r="C871" s="379" t="s">
        <v>1081</v>
      </c>
      <c r="D871" s="379" t="s">
        <v>1585</v>
      </c>
      <c r="E871" s="379" t="s">
        <v>1469</v>
      </c>
      <c r="F871" s="379">
        <v>0</v>
      </c>
      <c r="G871" s="379">
        <v>0</v>
      </c>
      <c r="I871" s="359">
        <f t="shared" si="13"/>
        <v>759</v>
      </c>
    </row>
    <row r="872" spans="1:9" ht="15" x14ac:dyDescent="0.25">
      <c r="A872" s="379"/>
      <c r="B872" s="379" t="s">
        <v>51</v>
      </c>
      <c r="C872" s="379" t="s">
        <v>1082</v>
      </c>
      <c r="D872" s="379" t="s">
        <v>59</v>
      </c>
      <c r="E872" s="379" t="s">
        <v>1469</v>
      </c>
      <c r="F872" s="379">
        <v>0</v>
      </c>
      <c r="G872" s="379">
        <v>0</v>
      </c>
      <c r="I872" s="359">
        <f t="shared" si="13"/>
        <v>799</v>
      </c>
    </row>
    <row r="873" spans="1:9" ht="15" x14ac:dyDescent="0.25">
      <c r="A873" s="379"/>
      <c r="B873" s="379" t="s">
        <v>51</v>
      </c>
      <c r="C873" s="379" t="s">
        <v>1083</v>
      </c>
      <c r="D873" s="379" t="s">
        <v>64</v>
      </c>
      <c r="E873" s="379" t="s">
        <v>1469</v>
      </c>
      <c r="F873" s="379">
        <v>0</v>
      </c>
      <c r="G873" s="379">
        <v>0</v>
      </c>
      <c r="I873" s="359">
        <f t="shared" si="13"/>
        <v>750</v>
      </c>
    </row>
    <row r="874" spans="1:9" ht="15" x14ac:dyDescent="0.25">
      <c r="A874" s="379"/>
      <c r="B874" s="379" t="s">
        <v>51</v>
      </c>
      <c r="C874" s="379" t="s">
        <v>761</v>
      </c>
      <c r="D874" s="379" t="s">
        <v>59</v>
      </c>
      <c r="E874" s="379" t="s">
        <v>1469</v>
      </c>
      <c r="F874" s="379">
        <v>0</v>
      </c>
      <c r="G874" s="379">
        <v>0</v>
      </c>
      <c r="I874" s="359">
        <f t="shared" si="13"/>
        <v>924</v>
      </c>
    </row>
    <row r="875" spans="1:9" ht="15" x14ac:dyDescent="0.25">
      <c r="A875" s="379"/>
      <c r="B875" s="379" t="s">
        <v>51</v>
      </c>
      <c r="C875" s="379" t="s">
        <v>762</v>
      </c>
      <c r="D875" s="379" t="s">
        <v>59</v>
      </c>
      <c r="E875" s="379" t="s">
        <v>1469</v>
      </c>
      <c r="F875" s="379">
        <v>0</v>
      </c>
      <c r="G875" s="379">
        <v>0</v>
      </c>
      <c r="I875" s="359">
        <f t="shared" si="13"/>
        <v>944</v>
      </c>
    </row>
    <row r="876" spans="1:9" ht="15" x14ac:dyDescent="0.25">
      <c r="A876" s="379"/>
      <c r="B876" s="379" t="s">
        <v>51</v>
      </c>
      <c r="C876" s="379" t="s">
        <v>1084</v>
      </c>
      <c r="D876" s="379" t="s">
        <v>59</v>
      </c>
      <c r="E876" s="379" t="s">
        <v>1469</v>
      </c>
      <c r="F876" s="379">
        <v>0</v>
      </c>
      <c r="G876" s="379">
        <v>0</v>
      </c>
      <c r="I876" s="359">
        <f t="shared" si="13"/>
        <v>331</v>
      </c>
    </row>
    <row r="877" spans="1:9" ht="15" x14ac:dyDescent="0.25">
      <c r="A877" s="379"/>
      <c r="B877" s="379" t="s">
        <v>51</v>
      </c>
      <c r="C877" s="379" t="s">
        <v>1085</v>
      </c>
      <c r="D877" s="379" t="s">
        <v>59</v>
      </c>
      <c r="E877" s="379" t="s">
        <v>1469</v>
      </c>
      <c r="F877" s="379">
        <v>0</v>
      </c>
      <c r="G877" s="379">
        <v>0</v>
      </c>
      <c r="I877" s="359">
        <f t="shared" si="13"/>
        <v>495</v>
      </c>
    </row>
    <row r="878" spans="1:9" ht="15" x14ac:dyDescent="0.25">
      <c r="A878" s="379"/>
      <c r="B878" s="379" t="s">
        <v>51</v>
      </c>
      <c r="C878" s="379" t="s">
        <v>1086</v>
      </c>
      <c r="D878" s="379" t="s">
        <v>58</v>
      </c>
      <c r="E878" s="379" t="s">
        <v>1469</v>
      </c>
      <c r="F878" s="379">
        <v>0</v>
      </c>
      <c r="G878" s="379">
        <v>0</v>
      </c>
      <c r="I878" s="359">
        <f t="shared" si="13"/>
        <v>213</v>
      </c>
    </row>
    <row r="879" spans="1:9" ht="15" x14ac:dyDescent="0.25">
      <c r="A879" s="379"/>
      <c r="B879" s="379" t="s">
        <v>51</v>
      </c>
      <c r="C879" s="379" t="s">
        <v>1087</v>
      </c>
      <c r="D879" s="379" t="s">
        <v>62</v>
      </c>
      <c r="E879" s="379" t="s">
        <v>1469</v>
      </c>
      <c r="F879" s="379">
        <v>0</v>
      </c>
      <c r="G879" s="379">
        <v>0</v>
      </c>
      <c r="I879" s="359">
        <f t="shared" si="13"/>
        <v>478</v>
      </c>
    </row>
    <row r="880" spans="1:9" ht="15" x14ac:dyDescent="0.25">
      <c r="A880" s="379"/>
      <c r="B880" s="379" t="s">
        <v>51</v>
      </c>
      <c r="C880" s="379" t="s">
        <v>1088</v>
      </c>
      <c r="D880" s="379" t="s">
        <v>62</v>
      </c>
      <c r="E880" s="379" t="s">
        <v>1469</v>
      </c>
      <c r="F880" s="379">
        <v>0</v>
      </c>
      <c r="G880" s="379">
        <v>0</v>
      </c>
      <c r="I880" s="359">
        <f t="shared" si="13"/>
        <v>655</v>
      </c>
    </row>
    <row r="881" spans="1:9" ht="15" x14ac:dyDescent="0.25">
      <c r="A881" s="379"/>
      <c r="B881" s="379" t="s">
        <v>51</v>
      </c>
      <c r="C881" s="379" t="s">
        <v>1089</v>
      </c>
      <c r="D881" s="379" t="s">
        <v>65</v>
      </c>
      <c r="E881" s="379" t="s">
        <v>1469</v>
      </c>
      <c r="F881" s="379">
        <v>0</v>
      </c>
      <c r="G881" s="379">
        <v>0</v>
      </c>
      <c r="I881" s="359">
        <f t="shared" si="13"/>
        <v>259</v>
      </c>
    </row>
    <row r="882" spans="1:9" ht="15" x14ac:dyDescent="0.25">
      <c r="A882" s="379"/>
      <c r="B882" s="379" t="s">
        <v>51</v>
      </c>
      <c r="C882" s="379" t="s">
        <v>1090</v>
      </c>
      <c r="D882" s="379" t="s">
        <v>58</v>
      </c>
      <c r="E882" s="379" t="s">
        <v>1469</v>
      </c>
      <c r="F882" s="379">
        <v>0</v>
      </c>
      <c r="G882" s="379">
        <v>0</v>
      </c>
      <c r="I882" s="359">
        <f t="shared" si="13"/>
        <v>241</v>
      </c>
    </row>
    <row r="883" spans="1:9" ht="15" x14ac:dyDescent="0.25">
      <c r="A883" s="379"/>
      <c r="B883" s="379" t="s">
        <v>51</v>
      </c>
      <c r="C883" s="379" t="s">
        <v>1091</v>
      </c>
      <c r="D883" s="379" t="s">
        <v>58</v>
      </c>
      <c r="E883" s="379" t="s">
        <v>1469</v>
      </c>
      <c r="F883" s="379">
        <v>0</v>
      </c>
      <c r="G883" s="379">
        <v>0</v>
      </c>
      <c r="I883" s="359">
        <f t="shared" si="13"/>
        <v>609</v>
      </c>
    </row>
    <row r="884" spans="1:9" ht="15" x14ac:dyDescent="0.25">
      <c r="A884" s="379"/>
      <c r="B884" s="379" t="s">
        <v>51</v>
      </c>
      <c r="C884" s="379" t="s">
        <v>1093</v>
      </c>
      <c r="D884" s="379" t="s">
        <v>59</v>
      </c>
      <c r="E884" s="379" t="s">
        <v>1469</v>
      </c>
      <c r="F884" s="379">
        <v>0</v>
      </c>
      <c r="G884" s="379">
        <v>0</v>
      </c>
      <c r="I884" s="359">
        <f t="shared" si="13"/>
        <v>774</v>
      </c>
    </row>
    <row r="885" spans="1:9" ht="15" x14ac:dyDescent="0.25">
      <c r="A885" s="379"/>
      <c r="B885" s="379" t="s">
        <v>51</v>
      </c>
      <c r="C885" s="379" t="s">
        <v>1094</v>
      </c>
      <c r="D885" s="379" t="s">
        <v>58</v>
      </c>
      <c r="E885" s="379" t="s">
        <v>1469</v>
      </c>
      <c r="F885" s="379">
        <v>0</v>
      </c>
      <c r="G885" s="379">
        <v>0</v>
      </c>
      <c r="I885" s="359">
        <f t="shared" si="13"/>
        <v>220</v>
      </c>
    </row>
    <row r="886" spans="1:9" ht="15" x14ac:dyDescent="0.25">
      <c r="A886" s="379"/>
      <c r="B886" s="379" t="s">
        <v>51</v>
      </c>
      <c r="C886" s="379" t="s">
        <v>1095</v>
      </c>
      <c r="D886" s="379" t="s">
        <v>61</v>
      </c>
      <c r="E886" s="379" t="s">
        <v>1469</v>
      </c>
      <c r="F886" s="379">
        <v>0</v>
      </c>
      <c r="G886" s="379">
        <v>0</v>
      </c>
      <c r="I886" s="359">
        <f t="shared" si="13"/>
        <v>498</v>
      </c>
    </row>
    <row r="887" spans="1:9" ht="15" x14ac:dyDescent="0.25">
      <c r="A887" s="379"/>
      <c r="B887" s="379" t="s">
        <v>51</v>
      </c>
      <c r="C887" s="379" t="s">
        <v>1096</v>
      </c>
      <c r="D887" s="379" t="s">
        <v>61</v>
      </c>
      <c r="E887" s="379" t="s">
        <v>1470</v>
      </c>
      <c r="F887" s="379">
        <v>0</v>
      </c>
      <c r="G887" s="379">
        <v>0</v>
      </c>
      <c r="I887" s="359">
        <f t="shared" si="13"/>
        <v>966</v>
      </c>
    </row>
    <row r="888" spans="1:9" ht="15" x14ac:dyDescent="0.25">
      <c r="A888" s="379"/>
      <c r="B888" s="379" t="s">
        <v>51</v>
      </c>
      <c r="C888" s="379" t="s">
        <v>1097</v>
      </c>
      <c r="D888" s="379" t="s">
        <v>59</v>
      </c>
      <c r="E888" s="379" t="s">
        <v>1469</v>
      </c>
      <c r="F888" s="379">
        <v>0</v>
      </c>
      <c r="G888" s="379">
        <v>0</v>
      </c>
      <c r="I888" s="359">
        <f t="shared" si="13"/>
        <v>491</v>
      </c>
    </row>
    <row r="889" spans="1:9" ht="15" x14ac:dyDescent="0.25">
      <c r="A889" s="379"/>
      <c r="B889" s="379" t="s">
        <v>51</v>
      </c>
      <c r="C889" s="379" t="s">
        <v>635</v>
      </c>
      <c r="D889" s="379" t="s">
        <v>61</v>
      </c>
      <c r="E889" s="379" t="s">
        <v>1469</v>
      </c>
      <c r="F889" s="379">
        <v>0</v>
      </c>
      <c r="G889" s="379">
        <v>0</v>
      </c>
      <c r="I889" s="359">
        <f t="shared" si="13"/>
        <v>470</v>
      </c>
    </row>
    <row r="890" spans="1:9" ht="15" x14ac:dyDescent="0.25">
      <c r="A890" s="379"/>
      <c r="B890" s="379" t="s">
        <v>51</v>
      </c>
      <c r="C890" s="379" t="s">
        <v>1098</v>
      </c>
      <c r="D890" s="379" t="s">
        <v>61</v>
      </c>
      <c r="E890" s="379" t="s">
        <v>1469</v>
      </c>
      <c r="F890" s="379">
        <v>0</v>
      </c>
      <c r="G890" s="379">
        <v>0</v>
      </c>
      <c r="I890" s="359">
        <f t="shared" si="13"/>
        <v>662</v>
      </c>
    </row>
    <row r="891" spans="1:9" ht="15" x14ac:dyDescent="0.25">
      <c r="A891" s="379"/>
      <c r="B891" s="379" t="s">
        <v>51</v>
      </c>
      <c r="C891" s="379" t="s">
        <v>619</v>
      </c>
      <c r="D891" s="379" t="s">
        <v>59</v>
      </c>
      <c r="E891" s="379" t="s">
        <v>1469</v>
      </c>
      <c r="F891" s="379">
        <v>0</v>
      </c>
      <c r="G891" s="379">
        <v>0</v>
      </c>
      <c r="I891" s="359">
        <f t="shared" si="13"/>
        <v>801</v>
      </c>
    </row>
    <row r="892" spans="1:9" ht="15" x14ac:dyDescent="0.25">
      <c r="A892" s="379"/>
      <c r="B892" s="379" t="s">
        <v>51</v>
      </c>
      <c r="C892" s="379" t="s">
        <v>1099</v>
      </c>
      <c r="D892" s="379" t="s">
        <v>61</v>
      </c>
      <c r="E892" s="379" t="s">
        <v>1469</v>
      </c>
      <c r="F892" s="379">
        <v>0</v>
      </c>
      <c r="G892" s="379">
        <v>0</v>
      </c>
      <c r="I892" s="359">
        <f t="shared" si="13"/>
        <v>972</v>
      </c>
    </row>
    <row r="893" spans="1:9" ht="15" x14ac:dyDescent="0.25">
      <c r="A893" s="379"/>
      <c r="B893" s="379" t="s">
        <v>51</v>
      </c>
      <c r="C893" s="379" t="s">
        <v>1100</v>
      </c>
      <c r="D893" s="379" t="s">
        <v>61</v>
      </c>
      <c r="E893" s="379" t="s">
        <v>1470</v>
      </c>
      <c r="F893" s="379">
        <v>0</v>
      </c>
      <c r="G893" s="379">
        <v>0</v>
      </c>
      <c r="I893" s="359">
        <f t="shared" si="13"/>
        <v>181</v>
      </c>
    </row>
    <row r="894" spans="1:9" ht="15" x14ac:dyDescent="0.25">
      <c r="A894" s="379"/>
      <c r="B894" s="379" t="s">
        <v>51</v>
      </c>
      <c r="C894" s="379" t="s">
        <v>593</v>
      </c>
      <c r="D894" s="379" t="s">
        <v>61</v>
      </c>
      <c r="E894" s="379" t="s">
        <v>1470</v>
      </c>
      <c r="F894" s="379">
        <v>0</v>
      </c>
      <c r="G894" s="379">
        <v>0</v>
      </c>
      <c r="I894" s="359">
        <f t="shared" si="13"/>
        <v>512</v>
      </c>
    </row>
    <row r="895" spans="1:9" ht="15" x14ac:dyDescent="0.25">
      <c r="A895" s="379"/>
      <c r="B895" s="379" t="s">
        <v>51</v>
      </c>
      <c r="C895" s="379" t="s">
        <v>1231</v>
      </c>
      <c r="D895" s="379" t="s">
        <v>61</v>
      </c>
      <c r="E895" s="379" t="s">
        <v>1469</v>
      </c>
      <c r="F895" s="379">
        <v>0</v>
      </c>
      <c r="G895" s="379">
        <v>0</v>
      </c>
      <c r="I895" s="359">
        <f t="shared" si="13"/>
        <v>937</v>
      </c>
    </row>
    <row r="896" spans="1:9" ht="15" x14ac:dyDescent="0.25">
      <c r="A896" s="379"/>
      <c r="B896" s="379" t="s">
        <v>51</v>
      </c>
      <c r="C896" s="379" t="s">
        <v>552</v>
      </c>
      <c r="D896" s="379" t="s">
        <v>61</v>
      </c>
      <c r="E896" s="379" t="s">
        <v>1469</v>
      </c>
      <c r="F896" s="379">
        <v>0</v>
      </c>
      <c r="G896" s="379">
        <v>0</v>
      </c>
      <c r="I896" s="359">
        <f t="shared" si="13"/>
        <v>390</v>
      </c>
    </row>
    <row r="897" spans="1:9" ht="15" x14ac:dyDescent="0.25">
      <c r="A897" s="379"/>
      <c r="B897" s="379" t="s">
        <v>51</v>
      </c>
      <c r="C897" s="379" t="s">
        <v>1251</v>
      </c>
      <c r="D897" s="379" t="s">
        <v>61</v>
      </c>
      <c r="E897" s="379" t="s">
        <v>1469</v>
      </c>
      <c r="F897" s="379">
        <v>0</v>
      </c>
      <c r="G897" s="379">
        <v>0</v>
      </c>
      <c r="I897" s="359">
        <f t="shared" si="13"/>
        <v>314</v>
      </c>
    </row>
    <row r="898" spans="1:9" ht="15" x14ac:dyDescent="0.25">
      <c r="A898" s="379"/>
      <c r="B898" s="379" t="s">
        <v>51</v>
      </c>
      <c r="C898" s="379" t="s">
        <v>658</v>
      </c>
      <c r="D898" s="379" t="s">
        <v>61</v>
      </c>
      <c r="E898" s="379" t="s">
        <v>1469</v>
      </c>
      <c r="F898" s="379">
        <v>0</v>
      </c>
      <c r="G898" s="379">
        <v>0</v>
      </c>
      <c r="I898" s="359">
        <f t="shared" si="13"/>
        <v>560</v>
      </c>
    </row>
    <row r="899" spans="1:9" ht="15" x14ac:dyDescent="0.25">
      <c r="A899" s="379"/>
      <c r="B899" s="379" t="s">
        <v>51</v>
      </c>
      <c r="C899" s="379" t="s">
        <v>1101</v>
      </c>
      <c r="D899" s="379" t="s">
        <v>58</v>
      </c>
      <c r="E899" s="379" t="s">
        <v>1469</v>
      </c>
      <c r="F899" s="379">
        <v>0</v>
      </c>
      <c r="G899" s="379">
        <v>0</v>
      </c>
      <c r="I899" s="359">
        <f t="shared" ref="I899:I962" si="14">SUMPRODUCT((C$2:C$1000 &lt; C899)+(C899="")*1000)</f>
        <v>279</v>
      </c>
    </row>
    <row r="900" spans="1:9" ht="15" x14ac:dyDescent="0.25">
      <c r="A900" s="379"/>
      <c r="B900" s="379" t="s">
        <v>51</v>
      </c>
      <c r="C900" s="379" t="s">
        <v>1102</v>
      </c>
      <c r="D900" s="379" t="s">
        <v>58</v>
      </c>
      <c r="E900" s="379" t="s">
        <v>1469</v>
      </c>
      <c r="F900" s="379">
        <v>0</v>
      </c>
      <c r="G900" s="379">
        <v>0</v>
      </c>
      <c r="I900" s="359">
        <f t="shared" si="14"/>
        <v>639</v>
      </c>
    </row>
    <row r="901" spans="1:9" ht="15" x14ac:dyDescent="0.25">
      <c r="A901" s="379"/>
      <c r="B901" s="379" t="s">
        <v>51</v>
      </c>
      <c r="C901" s="379" t="s">
        <v>1103</v>
      </c>
      <c r="D901" s="379" t="s">
        <v>887</v>
      </c>
      <c r="E901" s="379" t="s">
        <v>1470</v>
      </c>
      <c r="F901" s="379">
        <v>0</v>
      </c>
      <c r="G901" s="379">
        <v>0</v>
      </c>
      <c r="I901" s="359">
        <f t="shared" si="14"/>
        <v>698</v>
      </c>
    </row>
    <row r="902" spans="1:9" ht="15" x14ac:dyDescent="0.25">
      <c r="A902" s="379"/>
      <c r="B902" s="379" t="s">
        <v>51</v>
      </c>
      <c r="C902" s="379" t="s">
        <v>550</v>
      </c>
      <c r="D902" s="379" t="s">
        <v>73</v>
      </c>
      <c r="E902" s="379" t="s">
        <v>1469</v>
      </c>
      <c r="F902" s="379">
        <v>0</v>
      </c>
      <c r="G902" s="379">
        <v>0</v>
      </c>
      <c r="I902" s="359">
        <f t="shared" si="14"/>
        <v>837</v>
      </c>
    </row>
    <row r="903" spans="1:9" ht="15" x14ac:dyDescent="0.25">
      <c r="A903" s="379"/>
      <c r="B903" s="379" t="s">
        <v>51</v>
      </c>
      <c r="C903" s="379" t="s">
        <v>1104</v>
      </c>
      <c r="D903" s="379" t="s">
        <v>58</v>
      </c>
      <c r="E903" s="379" t="s">
        <v>1469</v>
      </c>
      <c r="F903" s="379">
        <v>0</v>
      </c>
      <c r="G903" s="379">
        <v>0</v>
      </c>
      <c r="I903" s="359">
        <f t="shared" si="14"/>
        <v>242</v>
      </c>
    </row>
    <row r="904" spans="1:9" ht="15" x14ac:dyDescent="0.25">
      <c r="A904" s="379"/>
      <c r="B904" s="379" t="s">
        <v>51</v>
      </c>
      <c r="C904" s="379" t="s">
        <v>717</v>
      </c>
      <c r="D904" s="379" t="s">
        <v>73</v>
      </c>
      <c r="E904" s="379" t="s">
        <v>1469</v>
      </c>
      <c r="F904" s="379">
        <v>0</v>
      </c>
      <c r="G904" s="379">
        <v>0</v>
      </c>
      <c r="I904" s="359">
        <f t="shared" si="14"/>
        <v>64</v>
      </c>
    </row>
    <row r="905" spans="1:9" ht="15" x14ac:dyDescent="0.25">
      <c r="A905" s="379"/>
      <c r="B905" s="379" t="s">
        <v>51</v>
      </c>
      <c r="C905" s="379" t="s">
        <v>1105</v>
      </c>
      <c r="D905" s="379" t="s">
        <v>58</v>
      </c>
      <c r="E905" s="379" t="s">
        <v>1469</v>
      </c>
      <c r="F905" s="379">
        <v>0</v>
      </c>
      <c r="G905" s="379">
        <v>0</v>
      </c>
      <c r="I905" s="359">
        <f t="shared" si="14"/>
        <v>575</v>
      </c>
    </row>
    <row r="906" spans="1:9" ht="15" x14ac:dyDescent="0.25">
      <c r="A906" s="379"/>
      <c r="B906" s="379" t="s">
        <v>51</v>
      </c>
      <c r="C906" s="379" t="s">
        <v>1106</v>
      </c>
      <c r="D906" s="379" t="s">
        <v>59</v>
      </c>
      <c r="E906" s="379" t="s">
        <v>1470</v>
      </c>
      <c r="F906" s="379">
        <v>0</v>
      </c>
      <c r="G906" s="379">
        <v>0</v>
      </c>
      <c r="I906" s="359">
        <f t="shared" si="14"/>
        <v>656</v>
      </c>
    </row>
    <row r="907" spans="1:9" ht="15" x14ac:dyDescent="0.25">
      <c r="A907" s="379"/>
      <c r="B907" s="379" t="s">
        <v>51</v>
      </c>
      <c r="C907" s="379" t="s">
        <v>677</v>
      </c>
      <c r="D907" s="379" t="s">
        <v>69</v>
      </c>
      <c r="E907" s="379" t="s">
        <v>1469</v>
      </c>
      <c r="F907" s="379">
        <v>0</v>
      </c>
      <c r="G907" s="379">
        <v>0</v>
      </c>
      <c r="I907" s="359">
        <f t="shared" si="14"/>
        <v>190</v>
      </c>
    </row>
    <row r="908" spans="1:9" ht="15" x14ac:dyDescent="0.25">
      <c r="A908" s="379"/>
      <c r="B908" s="379" t="s">
        <v>51</v>
      </c>
      <c r="C908" s="379" t="s">
        <v>1107</v>
      </c>
      <c r="D908" s="379" t="s">
        <v>59</v>
      </c>
      <c r="E908" s="379" t="s">
        <v>1469</v>
      </c>
      <c r="F908" s="379">
        <v>0</v>
      </c>
      <c r="G908" s="379">
        <v>0</v>
      </c>
      <c r="I908" s="359">
        <f t="shared" si="14"/>
        <v>162</v>
      </c>
    </row>
    <row r="909" spans="1:9" ht="15" x14ac:dyDescent="0.25">
      <c r="A909" s="379"/>
      <c r="B909" s="379" t="s">
        <v>51</v>
      </c>
      <c r="C909" s="379" t="s">
        <v>1108</v>
      </c>
      <c r="D909" s="379" t="s">
        <v>61</v>
      </c>
      <c r="E909" s="379" t="s">
        <v>1469</v>
      </c>
      <c r="F909" s="379">
        <v>0</v>
      </c>
      <c r="G909" s="379">
        <v>0</v>
      </c>
      <c r="I909" s="359">
        <f t="shared" si="14"/>
        <v>744</v>
      </c>
    </row>
    <row r="910" spans="1:9" ht="15" x14ac:dyDescent="0.25">
      <c r="A910" s="379"/>
      <c r="B910" s="379" t="s">
        <v>51</v>
      </c>
      <c r="C910" s="379" t="s">
        <v>1109</v>
      </c>
      <c r="D910" s="379" t="s">
        <v>61</v>
      </c>
      <c r="E910" s="379" t="s">
        <v>1469</v>
      </c>
      <c r="F910" s="379">
        <v>0</v>
      </c>
      <c r="G910" s="379">
        <v>0</v>
      </c>
      <c r="I910" s="359">
        <f t="shared" si="14"/>
        <v>877</v>
      </c>
    </row>
    <row r="911" spans="1:9" ht="15" x14ac:dyDescent="0.25">
      <c r="A911" s="379"/>
      <c r="B911" s="379" t="s">
        <v>51</v>
      </c>
      <c r="C911" s="379" t="s">
        <v>1110</v>
      </c>
      <c r="D911" s="379" t="s">
        <v>58</v>
      </c>
      <c r="E911" s="379" t="s">
        <v>1469</v>
      </c>
      <c r="F911" s="379">
        <v>0</v>
      </c>
      <c r="G911" s="379">
        <v>0</v>
      </c>
      <c r="I911" s="359">
        <f t="shared" si="14"/>
        <v>964</v>
      </c>
    </row>
    <row r="912" spans="1:9" ht="15" x14ac:dyDescent="0.25">
      <c r="A912" s="379"/>
      <c r="B912" s="379" t="s">
        <v>51</v>
      </c>
      <c r="C912" s="379" t="s">
        <v>1112</v>
      </c>
      <c r="D912" s="379" t="s">
        <v>61</v>
      </c>
      <c r="E912" s="379" t="s">
        <v>1469</v>
      </c>
      <c r="F912" s="379">
        <v>0</v>
      </c>
      <c r="G912" s="379">
        <v>0</v>
      </c>
      <c r="I912" s="359">
        <f t="shared" si="14"/>
        <v>108</v>
      </c>
    </row>
    <row r="913" spans="1:9" ht="15" x14ac:dyDescent="0.25">
      <c r="A913" s="379"/>
      <c r="B913" s="379" t="s">
        <v>51</v>
      </c>
      <c r="C913" s="379" t="s">
        <v>1113</v>
      </c>
      <c r="D913" s="379" t="s">
        <v>59</v>
      </c>
      <c r="E913" s="379" t="s">
        <v>1469</v>
      </c>
      <c r="F913" s="379">
        <v>0</v>
      </c>
      <c r="G913" s="379">
        <v>0</v>
      </c>
      <c r="I913" s="359">
        <f t="shared" si="14"/>
        <v>104</v>
      </c>
    </row>
    <row r="914" spans="1:9" ht="15" x14ac:dyDescent="0.25">
      <c r="A914" s="379"/>
      <c r="B914" s="379" t="s">
        <v>51</v>
      </c>
      <c r="C914" s="379" t="s">
        <v>752</v>
      </c>
      <c r="D914" s="379" t="s">
        <v>59</v>
      </c>
      <c r="E914" s="379" t="s">
        <v>1469</v>
      </c>
      <c r="F914" s="379">
        <v>0</v>
      </c>
      <c r="G914" s="379">
        <v>0</v>
      </c>
      <c r="I914" s="359">
        <f t="shared" si="14"/>
        <v>594</v>
      </c>
    </row>
    <row r="915" spans="1:9" ht="15" x14ac:dyDescent="0.25">
      <c r="A915" s="379"/>
      <c r="B915" s="379" t="s">
        <v>51</v>
      </c>
      <c r="C915" s="379" t="s">
        <v>765</v>
      </c>
      <c r="D915" s="379" t="s">
        <v>59</v>
      </c>
      <c r="E915" s="379" t="s">
        <v>1470</v>
      </c>
      <c r="F915" s="379">
        <v>0</v>
      </c>
      <c r="G915" s="379">
        <v>0</v>
      </c>
      <c r="I915" s="359">
        <f t="shared" si="14"/>
        <v>524</v>
      </c>
    </row>
    <row r="916" spans="1:9" ht="15" x14ac:dyDescent="0.25">
      <c r="A916" s="379"/>
      <c r="B916" s="379" t="s">
        <v>51</v>
      </c>
      <c r="C916" s="379" t="s">
        <v>1114</v>
      </c>
      <c r="D916" s="379" t="s">
        <v>59</v>
      </c>
      <c r="E916" s="379" t="s">
        <v>1469</v>
      </c>
      <c r="F916" s="379">
        <v>0</v>
      </c>
      <c r="G916" s="379">
        <v>0</v>
      </c>
      <c r="I916" s="359">
        <f t="shared" si="14"/>
        <v>745</v>
      </c>
    </row>
    <row r="917" spans="1:9" ht="15" x14ac:dyDescent="0.25">
      <c r="A917" s="379"/>
      <c r="B917" s="379" t="s">
        <v>51</v>
      </c>
      <c r="C917" s="379" t="s">
        <v>1115</v>
      </c>
      <c r="D917" s="379" t="s">
        <v>69</v>
      </c>
      <c r="E917" s="379" t="s">
        <v>1470</v>
      </c>
      <c r="F917" s="379">
        <v>0</v>
      </c>
      <c r="G917" s="379">
        <v>0</v>
      </c>
      <c r="I917" s="359">
        <f t="shared" si="14"/>
        <v>988</v>
      </c>
    </row>
    <row r="918" spans="1:9" ht="15" x14ac:dyDescent="0.25">
      <c r="A918" s="379"/>
      <c r="B918" s="379" t="s">
        <v>51</v>
      </c>
      <c r="C918" s="379" t="s">
        <v>771</v>
      </c>
      <c r="D918" s="379" t="s">
        <v>64</v>
      </c>
      <c r="E918" s="379" t="s">
        <v>1470</v>
      </c>
      <c r="F918" s="379">
        <v>0</v>
      </c>
      <c r="G918" s="379">
        <v>0</v>
      </c>
      <c r="I918" s="359">
        <f t="shared" si="14"/>
        <v>627</v>
      </c>
    </row>
    <row r="919" spans="1:9" ht="15" x14ac:dyDescent="0.25">
      <c r="A919" s="379"/>
      <c r="B919" s="379" t="s">
        <v>51</v>
      </c>
      <c r="C919" s="379" t="s">
        <v>1116</v>
      </c>
      <c r="D919" s="379" t="s">
        <v>59</v>
      </c>
      <c r="E919" s="379" t="s">
        <v>1469</v>
      </c>
      <c r="F919" s="379">
        <v>0</v>
      </c>
      <c r="G919" s="379">
        <v>0</v>
      </c>
      <c r="I919" s="359">
        <f t="shared" si="14"/>
        <v>753</v>
      </c>
    </row>
    <row r="920" spans="1:9" ht="15" x14ac:dyDescent="0.25">
      <c r="A920" s="379"/>
      <c r="B920" s="379" t="s">
        <v>51</v>
      </c>
      <c r="C920" s="379" t="s">
        <v>1286</v>
      </c>
      <c r="D920" s="379" t="s">
        <v>61</v>
      </c>
      <c r="E920" s="379" t="s">
        <v>1469</v>
      </c>
      <c r="F920" s="379">
        <v>0</v>
      </c>
      <c r="G920" s="379">
        <v>0</v>
      </c>
      <c r="I920" s="359">
        <f t="shared" si="14"/>
        <v>217</v>
      </c>
    </row>
    <row r="921" spans="1:9" ht="15" x14ac:dyDescent="0.25">
      <c r="A921" s="379"/>
      <c r="B921" s="379" t="s">
        <v>51</v>
      </c>
      <c r="C921" s="379" t="s">
        <v>1117</v>
      </c>
      <c r="D921" s="379" t="s">
        <v>61</v>
      </c>
      <c r="E921" s="379" t="s">
        <v>1469</v>
      </c>
      <c r="F921" s="379">
        <v>0</v>
      </c>
      <c r="G921" s="379">
        <v>0</v>
      </c>
      <c r="I921" s="359">
        <f t="shared" si="14"/>
        <v>387</v>
      </c>
    </row>
    <row r="922" spans="1:9" ht="15" x14ac:dyDescent="0.25">
      <c r="A922" s="379"/>
      <c r="B922" s="379" t="s">
        <v>51</v>
      </c>
      <c r="C922" s="379" t="s">
        <v>1118</v>
      </c>
      <c r="D922" s="379" t="s">
        <v>59</v>
      </c>
      <c r="E922" s="379" t="s">
        <v>1470</v>
      </c>
      <c r="F922" s="379">
        <v>0</v>
      </c>
      <c r="G922" s="379">
        <v>0</v>
      </c>
      <c r="I922" s="359">
        <f t="shared" si="14"/>
        <v>631</v>
      </c>
    </row>
    <row r="923" spans="1:9" ht="15" x14ac:dyDescent="0.25">
      <c r="A923" s="379"/>
      <c r="B923" s="379" t="s">
        <v>51</v>
      </c>
      <c r="C923" s="379" t="s">
        <v>764</v>
      </c>
      <c r="D923" s="379" t="s">
        <v>59</v>
      </c>
      <c r="E923" s="379" t="s">
        <v>1469</v>
      </c>
      <c r="F923" s="379">
        <v>0</v>
      </c>
      <c r="G923" s="379">
        <v>0</v>
      </c>
      <c r="I923" s="359">
        <f t="shared" si="14"/>
        <v>970</v>
      </c>
    </row>
    <row r="924" spans="1:9" ht="15" x14ac:dyDescent="0.25">
      <c r="A924" s="379"/>
      <c r="B924" s="379" t="s">
        <v>51</v>
      </c>
      <c r="C924" s="379" t="s">
        <v>1119</v>
      </c>
      <c r="D924" s="379" t="s">
        <v>59</v>
      </c>
      <c r="E924" s="379" t="s">
        <v>1469</v>
      </c>
      <c r="F924" s="379">
        <v>0</v>
      </c>
      <c r="G924" s="379">
        <v>0</v>
      </c>
      <c r="I924" s="359">
        <f t="shared" si="14"/>
        <v>464</v>
      </c>
    </row>
    <row r="925" spans="1:9" ht="15" x14ac:dyDescent="0.25">
      <c r="A925" s="379"/>
      <c r="B925" s="379" t="s">
        <v>51</v>
      </c>
      <c r="C925" s="379" t="s">
        <v>1120</v>
      </c>
      <c r="D925" s="379" t="s">
        <v>61</v>
      </c>
      <c r="E925" s="379" t="s">
        <v>1469</v>
      </c>
      <c r="F925" s="379">
        <v>0</v>
      </c>
      <c r="G925" s="379">
        <v>0</v>
      </c>
      <c r="I925" s="359">
        <f t="shared" si="14"/>
        <v>624</v>
      </c>
    </row>
    <row r="926" spans="1:9" ht="15" x14ac:dyDescent="0.25">
      <c r="A926" s="379"/>
      <c r="B926" s="379" t="s">
        <v>51</v>
      </c>
      <c r="C926" s="379" t="s">
        <v>737</v>
      </c>
      <c r="D926" s="379" t="s">
        <v>61</v>
      </c>
      <c r="E926" s="379" t="s">
        <v>1469</v>
      </c>
      <c r="F926" s="379">
        <v>0</v>
      </c>
      <c r="G926" s="379">
        <v>0</v>
      </c>
      <c r="I926" s="359">
        <f t="shared" si="14"/>
        <v>769</v>
      </c>
    </row>
    <row r="927" spans="1:9" ht="15" x14ac:dyDescent="0.25">
      <c r="A927" s="379"/>
      <c r="B927" s="379" t="s">
        <v>51</v>
      </c>
      <c r="C927" s="379" t="s">
        <v>733</v>
      </c>
      <c r="D927" s="379" t="s">
        <v>59</v>
      </c>
      <c r="E927" s="379" t="s">
        <v>1469</v>
      </c>
      <c r="F927" s="379">
        <v>0</v>
      </c>
      <c r="G927" s="379">
        <v>0</v>
      </c>
      <c r="I927" s="359">
        <f t="shared" si="14"/>
        <v>405</v>
      </c>
    </row>
    <row r="928" spans="1:9" ht="15" x14ac:dyDescent="0.25">
      <c r="A928" s="379"/>
      <c r="B928" s="379" t="s">
        <v>51</v>
      </c>
      <c r="C928" s="379" t="s">
        <v>1121</v>
      </c>
      <c r="D928" s="379" t="s">
        <v>59</v>
      </c>
      <c r="E928" s="379" t="s">
        <v>1469</v>
      </c>
      <c r="F928" s="379">
        <v>0</v>
      </c>
      <c r="G928" s="379">
        <v>0</v>
      </c>
      <c r="I928" s="359">
        <f t="shared" si="14"/>
        <v>847</v>
      </c>
    </row>
    <row r="929" spans="1:9" ht="15" x14ac:dyDescent="0.25">
      <c r="A929" s="379"/>
      <c r="B929" s="379" t="s">
        <v>51</v>
      </c>
      <c r="C929" s="379" t="s">
        <v>1122</v>
      </c>
      <c r="D929" s="379" t="s">
        <v>59</v>
      </c>
      <c r="E929" s="379" t="s">
        <v>1470</v>
      </c>
      <c r="F929" s="379">
        <v>0</v>
      </c>
      <c r="G929" s="379">
        <v>0</v>
      </c>
      <c r="I929" s="359">
        <f t="shared" si="14"/>
        <v>525</v>
      </c>
    </row>
    <row r="930" spans="1:9" ht="15" x14ac:dyDescent="0.25">
      <c r="A930" s="379"/>
      <c r="B930" s="379" t="s">
        <v>51</v>
      </c>
      <c r="C930" s="379" t="s">
        <v>1123</v>
      </c>
      <c r="D930" s="379" t="s">
        <v>58</v>
      </c>
      <c r="E930" s="379" t="s">
        <v>1469</v>
      </c>
      <c r="F930" s="379">
        <v>0</v>
      </c>
      <c r="G930" s="379">
        <v>0</v>
      </c>
      <c r="I930" s="359">
        <f t="shared" si="14"/>
        <v>304</v>
      </c>
    </row>
    <row r="931" spans="1:9" ht="15" x14ac:dyDescent="0.25">
      <c r="A931" s="379"/>
      <c r="B931" s="379" t="s">
        <v>51</v>
      </c>
      <c r="C931" s="379" t="s">
        <v>734</v>
      </c>
      <c r="D931" s="379" t="s">
        <v>59</v>
      </c>
      <c r="E931" s="379" t="s">
        <v>1469</v>
      </c>
      <c r="F931" s="379">
        <v>0</v>
      </c>
      <c r="G931" s="379">
        <v>0</v>
      </c>
      <c r="I931" s="359">
        <f t="shared" si="14"/>
        <v>135</v>
      </c>
    </row>
    <row r="932" spans="1:9" ht="15" x14ac:dyDescent="0.25">
      <c r="A932" s="379"/>
      <c r="B932" s="379" t="s">
        <v>51</v>
      </c>
      <c r="C932" s="379" t="s">
        <v>647</v>
      </c>
      <c r="D932" s="379" t="s">
        <v>59</v>
      </c>
      <c r="E932" s="379" t="s">
        <v>1469</v>
      </c>
      <c r="F932" s="379">
        <v>0</v>
      </c>
      <c r="G932" s="379">
        <v>0</v>
      </c>
      <c r="I932" s="359">
        <f t="shared" si="14"/>
        <v>232</v>
      </c>
    </row>
    <row r="933" spans="1:9" ht="15" x14ac:dyDescent="0.25">
      <c r="A933" s="379"/>
      <c r="B933" s="379" t="s">
        <v>51</v>
      </c>
      <c r="C933" s="379" t="s">
        <v>1241</v>
      </c>
      <c r="D933" s="379" t="s">
        <v>62</v>
      </c>
      <c r="E933" s="379" t="s">
        <v>1469</v>
      </c>
      <c r="F933" s="379">
        <v>0</v>
      </c>
      <c r="G933" s="379">
        <v>0</v>
      </c>
      <c r="I933" s="359">
        <f t="shared" si="14"/>
        <v>479</v>
      </c>
    </row>
    <row r="934" spans="1:9" ht="15" x14ac:dyDescent="0.25">
      <c r="A934" s="379"/>
      <c r="B934" s="379" t="s">
        <v>51</v>
      </c>
      <c r="C934" s="379" t="s">
        <v>1305</v>
      </c>
      <c r="D934" s="379" t="s">
        <v>59</v>
      </c>
      <c r="E934" s="379" t="s">
        <v>1469</v>
      </c>
      <c r="F934" s="379">
        <v>0</v>
      </c>
      <c r="G934" s="379">
        <v>0</v>
      </c>
      <c r="I934" s="359">
        <f t="shared" si="14"/>
        <v>848</v>
      </c>
    </row>
    <row r="935" spans="1:9" ht="15" x14ac:dyDescent="0.25">
      <c r="A935" s="379"/>
      <c r="B935" s="379" t="s">
        <v>51</v>
      </c>
      <c r="C935" s="379" t="s">
        <v>743</v>
      </c>
      <c r="D935" s="379" t="s">
        <v>59</v>
      </c>
      <c r="E935" s="379" t="s">
        <v>1469</v>
      </c>
      <c r="F935" s="379">
        <v>0</v>
      </c>
      <c r="G935" s="379">
        <v>0</v>
      </c>
      <c r="I935" s="359">
        <f t="shared" si="14"/>
        <v>896</v>
      </c>
    </row>
    <row r="936" spans="1:9" ht="15" x14ac:dyDescent="0.25">
      <c r="A936" s="379"/>
      <c r="B936" s="379" t="s">
        <v>51</v>
      </c>
      <c r="C936" s="379" t="s">
        <v>1125</v>
      </c>
      <c r="D936" s="379" t="s">
        <v>59</v>
      </c>
      <c r="E936" s="379" t="s">
        <v>1470</v>
      </c>
      <c r="F936" s="379">
        <v>0</v>
      </c>
      <c r="G936" s="379">
        <v>0</v>
      </c>
      <c r="I936" s="359">
        <f t="shared" si="14"/>
        <v>77</v>
      </c>
    </row>
    <row r="937" spans="1:9" ht="15" x14ac:dyDescent="0.25">
      <c r="A937" s="379"/>
      <c r="B937" s="379" t="s">
        <v>51</v>
      </c>
      <c r="C937" s="379" t="s">
        <v>603</v>
      </c>
      <c r="D937" s="379" t="s">
        <v>59</v>
      </c>
      <c r="E937" s="379" t="s">
        <v>1470</v>
      </c>
      <c r="F937" s="379">
        <v>0</v>
      </c>
      <c r="G937" s="379">
        <v>0</v>
      </c>
      <c r="I937" s="359">
        <f t="shared" si="14"/>
        <v>900</v>
      </c>
    </row>
    <row r="938" spans="1:9" ht="15" x14ac:dyDescent="0.25">
      <c r="A938" s="379"/>
      <c r="B938" s="379" t="s">
        <v>51</v>
      </c>
      <c r="C938" s="379" t="s">
        <v>1304</v>
      </c>
      <c r="D938" s="379" t="s">
        <v>64</v>
      </c>
      <c r="E938" s="379" t="s">
        <v>1469</v>
      </c>
      <c r="F938" s="379">
        <v>0</v>
      </c>
      <c r="G938" s="379">
        <v>0</v>
      </c>
      <c r="I938" s="359">
        <f t="shared" si="14"/>
        <v>421</v>
      </c>
    </row>
    <row r="939" spans="1:9" ht="15" x14ac:dyDescent="0.25">
      <c r="A939" s="379"/>
      <c r="B939" s="379" t="s">
        <v>51</v>
      </c>
      <c r="C939" s="379" t="s">
        <v>740</v>
      </c>
      <c r="D939" s="379" t="s">
        <v>1585</v>
      </c>
      <c r="E939" s="379" t="s">
        <v>1469</v>
      </c>
      <c r="F939" s="379">
        <v>0</v>
      </c>
      <c r="G939" s="379">
        <v>0</v>
      </c>
      <c r="I939" s="359">
        <f t="shared" si="14"/>
        <v>266</v>
      </c>
    </row>
    <row r="940" spans="1:9" ht="15" x14ac:dyDescent="0.25">
      <c r="A940" s="379"/>
      <c r="B940" s="379" t="s">
        <v>51</v>
      </c>
      <c r="C940" s="379" t="s">
        <v>1127</v>
      </c>
      <c r="D940" s="379" t="s">
        <v>58</v>
      </c>
      <c r="E940" s="379" t="s">
        <v>1469</v>
      </c>
      <c r="F940" s="379">
        <v>0</v>
      </c>
      <c r="G940" s="379">
        <v>0</v>
      </c>
      <c r="I940" s="359">
        <f t="shared" si="14"/>
        <v>813</v>
      </c>
    </row>
    <row r="941" spans="1:9" ht="15" x14ac:dyDescent="0.25">
      <c r="A941" s="379"/>
      <c r="B941" s="379" t="s">
        <v>51</v>
      </c>
      <c r="C941" s="379" t="s">
        <v>538</v>
      </c>
      <c r="D941" s="379" t="s">
        <v>69</v>
      </c>
      <c r="E941" s="379" t="s">
        <v>1470</v>
      </c>
      <c r="F941" s="379">
        <v>0</v>
      </c>
      <c r="G941" s="379">
        <v>0</v>
      </c>
      <c r="I941" s="359">
        <f t="shared" si="14"/>
        <v>663</v>
      </c>
    </row>
    <row r="942" spans="1:9" ht="15" x14ac:dyDescent="0.25">
      <c r="A942" s="379"/>
      <c r="B942" s="379" t="s">
        <v>51</v>
      </c>
      <c r="C942" s="379" t="s">
        <v>469</v>
      </c>
      <c r="D942" s="379" t="s">
        <v>69</v>
      </c>
      <c r="E942" s="379" t="s">
        <v>1469</v>
      </c>
      <c r="F942" s="379">
        <v>0</v>
      </c>
      <c r="G942" s="379">
        <v>0</v>
      </c>
      <c r="I942" s="359">
        <f t="shared" si="14"/>
        <v>832</v>
      </c>
    </row>
    <row r="943" spans="1:9" ht="15" x14ac:dyDescent="0.25">
      <c r="A943" s="379"/>
      <c r="B943" s="379" t="s">
        <v>51</v>
      </c>
      <c r="C943" s="379" t="s">
        <v>661</v>
      </c>
      <c r="D943" s="379" t="s">
        <v>69</v>
      </c>
      <c r="E943" s="379" t="s">
        <v>1469</v>
      </c>
      <c r="F943" s="379">
        <v>0</v>
      </c>
      <c r="G943" s="379">
        <v>0</v>
      </c>
      <c r="I943" s="359">
        <f t="shared" si="14"/>
        <v>853</v>
      </c>
    </row>
    <row r="944" spans="1:9" ht="15" x14ac:dyDescent="0.25">
      <c r="A944" s="379"/>
      <c r="B944" s="379" t="s">
        <v>51</v>
      </c>
      <c r="C944" s="379" t="s">
        <v>1128</v>
      </c>
      <c r="D944" s="379" t="s">
        <v>64</v>
      </c>
      <c r="E944" s="379" t="s">
        <v>1470</v>
      </c>
      <c r="F944" s="379">
        <v>0</v>
      </c>
      <c r="G944" s="379">
        <v>0</v>
      </c>
      <c r="I944" s="359">
        <f t="shared" si="14"/>
        <v>399</v>
      </c>
    </row>
    <row r="945" spans="1:9" ht="15" x14ac:dyDescent="0.25">
      <c r="A945" s="379"/>
      <c r="B945" s="379" t="s">
        <v>51</v>
      </c>
      <c r="C945" s="379" t="s">
        <v>1237</v>
      </c>
      <c r="D945" s="379" t="s">
        <v>59</v>
      </c>
      <c r="E945" s="379" t="s">
        <v>1470</v>
      </c>
      <c r="F945" s="379">
        <v>0</v>
      </c>
      <c r="G945" s="379">
        <v>0</v>
      </c>
      <c r="I945" s="359">
        <f t="shared" si="14"/>
        <v>570</v>
      </c>
    </row>
    <row r="946" spans="1:9" ht="15" x14ac:dyDescent="0.25">
      <c r="A946" s="379"/>
      <c r="B946" s="379" t="s">
        <v>51</v>
      </c>
      <c r="C946" s="379" t="s">
        <v>678</v>
      </c>
      <c r="D946" s="379" t="s">
        <v>69</v>
      </c>
      <c r="E946" s="379" t="s">
        <v>1469</v>
      </c>
      <c r="F946" s="379">
        <v>0</v>
      </c>
      <c r="G946" s="379">
        <v>0</v>
      </c>
      <c r="I946" s="359">
        <f t="shared" si="14"/>
        <v>634</v>
      </c>
    </row>
    <row r="947" spans="1:9" ht="15" x14ac:dyDescent="0.25">
      <c r="A947" s="379"/>
      <c r="B947" s="379" t="s">
        <v>51</v>
      </c>
      <c r="C947" s="379" t="s">
        <v>1320</v>
      </c>
      <c r="D947" s="379" t="s">
        <v>58</v>
      </c>
      <c r="E947" s="379" t="s">
        <v>1470</v>
      </c>
      <c r="F947" s="379">
        <v>0</v>
      </c>
      <c r="G947" s="379">
        <v>0</v>
      </c>
      <c r="I947" s="359">
        <f t="shared" si="14"/>
        <v>590</v>
      </c>
    </row>
    <row r="948" spans="1:9" ht="15" x14ac:dyDescent="0.25">
      <c r="A948" s="379"/>
      <c r="B948" s="379" t="s">
        <v>51</v>
      </c>
      <c r="C948" s="379" t="s">
        <v>1129</v>
      </c>
      <c r="D948" s="379" t="s">
        <v>69</v>
      </c>
      <c r="E948" s="379" t="s">
        <v>1470</v>
      </c>
      <c r="F948" s="379">
        <v>0</v>
      </c>
      <c r="G948" s="379">
        <v>0</v>
      </c>
      <c r="I948" s="359">
        <f t="shared" si="14"/>
        <v>986</v>
      </c>
    </row>
    <row r="949" spans="1:9" ht="15" x14ac:dyDescent="0.25">
      <c r="A949" s="379"/>
      <c r="B949" s="379" t="s">
        <v>51</v>
      </c>
      <c r="C949" s="379" t="s">
        <v>1130</v>
      </c>
      <c r="D949" s="379" t="s">
        <v>59</v>
      </c>
      <c r="E949" s="379" t="s">
        <v>1469</v>
      </c>
      <c r="F949" s="379">
        <v>0</v>
      </c>
      <c r="G949" s="379">
        <v>0</v>
      </c>
      <c r="I949" s="359">
        <f t="shared" si="14"/>
        <v>829</v>
      </c>
    </row>
    <row r="950" spans="1:9" ht="15" x14ac:dyDescent="0.25">
      <c r="A950" s="379"/>
      <c r="B950" s="379" t="s">
        <v>51</v>
      </c>
      <c r="C950" s="379" t="s">
        <v>643</v>
      </c>
      <c r="D950" s="379" t="s">
        <v>59</v>
      </c>
      <c r="E950" s="379" t="s">
        <v>1469</v>
      </c>
      <c r="F950" s="379">
        <v>0</v>
      </c>
      <c r="G950" s="379">
        <v>0</v>
      </c>
      <c r="I950" s="359">
        <f t="shared" si="14"/>
        <v>234</v>
      </c>
    </row>
    <row r="951" spans="1:9" ht="15" x14ac:dyDescent="0.25">
      <c r="A951" s="379"/>
      <c r="B951" s="379" t="s">
        <v>51</v>
      </c>
      <c r="C951" s="379" t="s">
        <v>1131</v>
      </c>
      <c r="D951" s="379" t="s">
        <v>59</v>
      </c>
      <c r="E951" s="379" t="s">
        <v>1469</v>
      </c>
      <c r="F951" s="379">
        <v>0</v>
      </c>
      <c r="G951" s="379">
        <v>0</v>
      </c>
      <c r="I951" s="359">
        <f t="shared" si="14"/>
        <v>474</v>
      </c>
    </row>
    <row r="952" spans="1:9" ht="15" x14ac:dyDescent="0.25">
      <c r="A952" s="379"/>
      <c r="B952" s="379" t="s">
        <v>1703</v>
      </c>
      <c r="C952" s="379" t="s">
        <v>735</v>
      </c>
      <c r="D952" s="379" t="s">
        <v>59</v>
      </c>
      <c r="E952" s="379" t="s">
        <v>1469</v>
      </c>
      <c r="F952" s="379">
        <v>0</v>
      </c>
      <c r="G952" s="379">
        <v>0</v>
      </c>
      <c r="I952" s="359">
        <f t="shared" si="14"/>
        <v>746</v>
      </c>
    </row>
    <row r="953" spans="1:9" ht="15" x14ac:dyDescent="0.25">
      <c r="A953" s="379"/>
      <c r="B953" s="379" t="s">
        <v>51</v>
      </c>
      <c r="C953" s="379" t="s">
        <v>1132</v>
      </c>
      <c r="D953" s="379" t="s">
        <v>59</v>
      </c>
      <c r="E953" s="379" t="s">
        <v>1469</v>
      </c>
      <c r="F953" s="379">
        <v>0</v>
      </c>
      <c r="G953" s="379">
        <v>0</v>
      </c>
      <c r="I953" s="359">
        <f t="shared" si="14"/>
        <v>971</v>
      </c>
    </row>
    <row r="954" spans="1:9" ht="15" x14ac:dyDescent="0.25">
      <c r="A954" s="379"/>
      <c r="B954" s="379" t="s">
        <v>51</v>
      </c>
      <c r="C954" s="379" t="s">
        <v>1133</v>
      </c>
      <c r="D954" s="379" t="s">
        <v>61</v>
      </c>
      <c r="E954" s="379" t="s">
        <v>1469</v>
      </c>
      <c r="F954" s="379">
        <v>0</v>
      </c>
      <c r="G954" s="379">
        <v>0</v>
      </c>
      <c r="I954" s="359">
        <f t="shared" si="14"/>
        <v>120</v>
      </c>
    </row>
    <row r="955" spans="1:9" ht="15" x14ac:dyDescent="0.25">
      <c r="A955" s="379"/>
      <c r="B955" s="379" t="s">
        <v>51</v>
      </c>
      <c r="C955" s="379" t="s">
        <v>1134</v>
      </c>
      <c r="D955" s="379" t="s">
        <v>59</v>
      </c>
      <c r="E955" s="379" t="s">
        <v>1470</v>
      </c>
      <c r="F955" s="379">
        <v>0</v>
      </c>
      <c r="G955" s="379">
        <v>0</v>
      </c>
      <c r="I955" s="359">
        <f t="shared" si="14"/>
        <v>817</v>
      </c>
    </row>
    <row r="956" spans="1:9" ht="15" x14ac:dyDescent="0.25">
      <c r="A956" s="379"/>
      <c r="B956" s="379" t="s">
        <v>51</v>
      </c>
      <c r="C956" s="379" t="s">
        <v>1135</v>
      </c>
      <c r="D956" s="379" t="s">
        <v>59</v>
      </c>
      <c r="E956" s="379" t="s">
        <v>1469</v>
      </c>
      <c r="F956" s="379">
        <v>0</v>
      </c>
      <c r="G956" s="379">
        <v>0</v>
      </c>
      <c r="I956" s="359">
        <f t="shared" si="14"/>
        <v>962</v>
      </c>
    </row>
    <row r="957" spans="1:9" ht="15" x14ac:dyDescent="0.25">
      <c r="A957" s="379"/>
      <c r="B957" s="379" t="s">
        <v>51</v>
      </c>
      <c r="C957" s="379" t="s">
        <v>1136</v>
      </c>
      <c r="D957" s="379" t="s">
        <v>59</v>
      </c>
      <c r="E957" s="379" t="s">
        <v>1469</v>
      </c>
      <c r="F957" s="379">
        <v>0</v>
      </c>
      <c r="G957" s="379">
        <v>0</v>
      </c>
      <c r="I957" s="359">
        <f t="shared" si="14"/>
        <v>974</v>
      </c>
    </row>
    <row r="958" spans="1:9" ht="15" x14ac:dyDescent="0.25">
      <c r="A958" s="379"/>
      <c r="B958" s="379" t="s">
        <v>51</v>
      </c>
      <c r="C958" s="379" t="s">
        <v>1137</v>
      </c>
      <c r="D958" s="379" t="s">
        <v>59</v>
      </c>
      <c r="E958" s="379" t="s">
        <v>1469</v>
      </c>
      <c r="F958" s="379">
        <v>0</v>
      </c>
      <c r="G958" s="379">
        <v>0</v>
      </c>
      <c r="I958" s="359">
        <f t="shared" si="14"/>
        <v>994</v>
      </c>
    </row>
    <row r="959" spans="1:9" ht="15" x14ac:dyDescent="0.25">
      <c r="A959" s="379"/>
      <c r="B959" s="379" t="s">
        <v>51</v>
      </c>
      <c r="C959" s="379" t="s">
        <v>724</v>
      </c>
      <c r="D959" s="379" t="s">
        <v>59</v>
      </c>
      <c r="E959" s="379" t="s">
        <v>1469</v>
      </c>
      <c r="F959" s="379">
        <v>0</v>
      </c>
      <c r="G959" s="379">
        <v>0</v>
      </c>
      <c r="I959" s="359">
        <f t="shared" si="14"/>
        <v>707</v>
      </c>
    </row>
    <row r="960" spans="1:9" ht="15" x14ac:dyDescent="0.25">
      <c r="A960" s="379"/>
      <c r="B960" s="379" t="s">
        <v>51</v>
      </c>
      <c r="C960" s="379" t="s">
        <v>770</v>
      </c>
      <c r="D960" s="379" t="s">
        <v>58</v>
      </c>
      <c r="E960" s="379" t="s">
        <v>1470</v>
      </c>
      <c r="F960" s="379">
        <v>0</v>
      </c>
      <c r="G960" s="379">
        <v>0</v>
      </c>
      <c r="I960" s="359">
        <f t="shared" si="14"/>
        <v>32</v>
      </c>
    </row>
    <row r="961" spans="1:9" ht="15" x14ac:dyDescent="0.25">
      <c r="A961" s="379"/>
      <c r="B961" s="379" t="s">
        <v>51</v>
      </c>
      <c r="C961" s="379" t="s">
        <v>1138</v>
      </c>
      <c r="D961" s="379" t="s">
        <v>58</v>
      </c>
      <c r="E961" s="379" t="s">
        <v>1469</v>
      </c>
      <c r="F961" s="379">
        <v>0</v>
      </c>
      <c r="G961" s="379">
        <v>0</v>
      </c>
      <c r="I961" s="359">
        <f t="shared" si="14"/>
        <v>949</v>
      </c>
    </row>
    <row r="962" spans="1:9" ht="15" x14ac:dyDescent="0.25">
      <c r="A962" s="379"/>
      <c r="B962" s="379" t="s">
        <v>51</v>
      </c>
      <c r="C962" s="379" t="s">
        <v>1139</v>
      </c>
      <c r="D962" s="379" t="s">
        <v>62</v>
      </c>
      <c r="E962" s="379" t="s">
        <v>1470</v>
      </c>
      <c r="F962" s="379">
        <v>0</v>
      </c>
      <c r="G962" s="379">
        <v>0</v>
      </c>
      <c r="I962" s="359">
        <f t="shared" si="14"/>
        <v>569</v>
      </c>
    </row>
    <row r="963" spans="1:9" ht="15" x14ac:dyDescent="0.25">
      <c r="A963" s="379"/>
      <c r="B963" s="379" t="s">
        <v>51</v>
      </c>
      <c r="C963" s="379" t="s">
        <v>1321</v>
      </c>
      <c r="D963" s="379" t="s">
        <v>67</v>
      </c>
      <c r="E963" s="379" t="s">
        <v>1469</v>
      </c>
      <c r="F963" s="379">
        <v>0</v>
      </c>
      <c r="G963" s="379">
        <v>0</v>
      </c>
      <c r="I963" s="359">
        <f t="shared" ref="I963:I1000" si="15">SUMPRODUCT((C$2:C$1000 &lt; C963)+(C963="")*1000)</f>
        <v>311</v>
      </c>
    </row>
    <row r="964" spans="1:9" ht="15" x14ac:dyDescent="0.25">
      <c r="A964" s="379"/>
      <c r="B964" s="379" t="s">
        <v>51</v>
      </c>
      <c r="C964" s="379" t="s">
        <v>664</v>
      </c>
      <c r="D964" s="379" t="s">
        <v>58</v>
      </c>
      <c r="E964" s="379" t="s">
        <v>1469</v>
      </c>
      <c r="F964" s="379">
        <v>0</v>
      </c>
      <c r="G964" s="379">
        <v>0</v>
      </c>
      <c r="I964" s="359">
        <f t="shared" si="15"/>
        <v>214</v>
      </c>
    </row>
    <row r="965" spans="1:9" ht="15" x14ac:dyDescent="0.25">
      <c r="A965" s="379"/>
      <c r="B965" s="379" t="s">
        <v>51</v>
      </c>
      <c r="C965" s="379" t="s">
        <v>1140</v>
      </c>
      <c r="D965" s="379" t="s">
        <v>59</v>
      </c>
      <c r="E965" s="379" t="s">
        <v>1470</v>
      </c>
      <c r="F965" s="379">
        <v>0</v>
      </c>
      <c r="G965" s="379">
        <v>0</v>
      </c>
      <c r="I965" s="359">
        <f t="shared" si="15"/>
        <v>667</v>
      </c>
    </row>
    <row r="966" spans="1:9" ht="15" x14ac:dyDescent="0.25">
      <c r="A966" s="379"/>
      <c r="B966" s="379" t="s">
        <v>51</v>
      </c>
      <c r="C966" s="379" t="s">
        <v>1141</v>
      </c>
      <c r="D966" s="379" t="s">
        <v>59</v>
      </c>
      <c r="E966" s="379" t="s">
        <v>1469</v>
      </c>
      <c r="F966" s="379">
        <v>0</v>
      </c>
      <c r="G966" s="379">
        <v>0</v>
      </c>
      <c r="I966" s="359">
        <f t="shared" si="15"/>
        <v>538</v>
      </c>
    </row>
    <row r="967" spans="1:9" ht="15" x14ac:dyDescent="0.25">
      <c r="A967" s="379"/>
      <c r="B967" s="379" t="s">
        <v>51</v>
      </c>
      <c r="C967" s="379" t="s">
        <v>1142</v>
      </c>
      <c r="D967" s="379" t="s">
        <v>868</v>
      </c>
      <c r="E967" s="379" t="s">
        <v>1469</v>
      </c>
      <c r="F967" s="379">
        <v>0</v>
      </c>
      <c r="G967" s="379">
        <v>0</v>
      </c>
      <c r="I967" s="359">
        <f t="shared" si="15"/>
        <v>29</v>
      </c>
    </row>
    <row r="968" spans="1:9" ht="15" x14ac:dyDescent="0.25">
      <c r="A968" s="379"/>
      <c r="B968" s="379" t="s">
        <v>51</v>
      </c>
      <c r="C968" s="379" t="s">
        <v>1143</v>
      </c>
      <c r="D968" s="379" t="s">
        <v>58</v>
      </c>
      <c r="E968" s="379" t="s">
        <v>1469</v>
      </c>
      <c r="F968" s="379">
        <v>0</v>
      </c>
      <c r="G968" s="379">
        <v>0</v>
      </c>
      <c r="I968" s="359">
        <f t="shared" si="15"/>
        <v>588</v>
      </c>
    </row>
    <row r="969" spans="1:9" ht="15" x14ac:dyDescent="0.25">
      <c r="A969" s="379"/>
      <c r="B969" s="379" t="s">
        <v>51</v>
      </c>
      <c r="C969" s="379" t="s">
        <v>1145</v>
      </c>
      <c r="D969" s="379" t="s">
        <v>1146</v>
      </c>
      <c r="E969" s="379" t="s">
        <v>1469</v>
      </c>
      <c r="F969" s="379">
        <v>0</v>
      </c>
      <c r="G969" s="379">
        <v>0</v>
      </c>
      <c r="I969" s="359">
        <f t="shared" si="15"/>
        <v>516</v>
      </c>
    </row>
    <row r="970" spans="1:9" ht="15" x14ac:dyDescent="0.25">
      <c r="A970" s="379"/>
      <c r="B970" s="379" t="s">
        <v>51</v>
      </c>
      <c r="C970" s="379" t="s">
        <v>736</v>
      </c>
      <c r="D970" s="379" t="s">
        <v>59</v>
      </c>
      <c r="E970" s="379" t="s">
        <v>1469</v>
      </c>
      <c r="F970" s="379">
        <v>0</v>
      </c>
      <c r="G970" s="379">
        <v>0</v>
      </c>
      <c r="I970" s="359">
        <f t="shared" si="15"/>
        <v>823</v>
      </c>
    </row>
    <row r="971" spans="1:9" ht="15" x14ac:dyDescent="0.25">
      <c r="A971" s="379"/>
      <c r="B971" s="379" t="s">
        <v>51</v>
      </c>
      <c r="C971" s="379" t="s">
        <v>623</v>
      </c>
      <c r="D971" s="379" t="s">
        <v>69</v>
      </c>
      <c r="E971" s="379" t="s">
        <v>1469</v>
      </c>
      <c r="F971" s="379">
        <v>0</v>
      </c>
      <c r="G971" s="379">
        <v>0</v>
      </c>
      <c r="I971" s="359">
        <f t="shared" si="15"/>
        <v>697</v>
      </c>
    </row>
    <row r="972" spans="1:9" ht="15" x14ac:dyDescent="0.25">
      <c r="A972" s="379"/>
      <c r="B972" s="379" t="s">
        <v>51</v>
      </c>
      <c r="C972" s="379" t="s">
        <v>566</v>
      </c>
      <c r="D972" s="379" t="s">
        <v>69</v>
      </c>
      <c r="E972" s="379" t="s">
        <v>1469</v>
      </c>
      <c r="F972" s="379">
        <v>0</v>
      </c>
      <c r="G972" s="379">
        <v>0</v>
      </c>
      <c r="I972" s="359">
        <f t="shared" si="15"/>
        <v>8</v>
      </c>
    </row>
    <row r="973" spans="1:9" ht="15" x14ac:dyDescent="0.25">
      <c r="A973" s="379"/>
      <c r="B973" s="379" t="s">
        <v>1716</v>
      </c>
      <c r="C973" s="379" t="s">
        <v>725</v>
      </c>
      <c r="D973" s="379" t="s">
        <v>59</v>
      </c>
      <c r="E973" s="379" t="s">
        <v>1470</v>
      </c>
      <c r="F973" s="379">
        <v>0</v>
      </c>
      <c r="G973" s="379">
        <v>0</v>
      </c>
      <c r="I973" s="359">
        <f t="shared" si="15"/>
        <v>925</v>
      </c>
    </row>
    <row r="974" spans="1:9" ht="15" x14ac:dyDescent="0.25">
      <c r="A974" s="379"/>
      <c r="B974" s="379" t="s">
        <v>51</v>
      </c>
      <c r="C974" s="379" t="s">
        <v>1147</v>
      </c>
      <c r="D974" s="379" t="s">
        <v>61</v>
      </c>
      <c r="E974" s="379" t="s">
        <v>1469</v>
      </c>
      <c r="F974" s="379">
        <v>0</v>
      </c>
      <c r="G974" s="379">
        <v>0</v>
      </c>
      <c r="I974" s="359">
        <f t="shared" si="15"/>
        <v>603</v>
      </c>
    </row>
    <row r="975" spans="1:9" ht="15" x14ac:dyDescent="0.25">
      <c r="A975" s="379"/>
      <c r="B975" s="379" t="s">
        <v>51</v>
      </c>
      <c r="C975" s="379" t="s">
        <v>1148</v>
      </c>
      <c r="D975" s="379" t="s">
        <v>61</v>
      </c>
      <c r="E975" s="379" t="s">
        <v>1470</v>
      </c>
      <c r="F975" s="379">
        <v>0</v>
      </c>
      <c r="G975" s="379">
        <v>0</v>
      </c>
      <c r="I975" s="359">
        <f t="shared" si="15"/>
        <v>534</v>
      </c>
    </row>
    <row r="976" spans="1:9" ht="15" x14ac:dyDescent="0.25">
      <c r="A976" s="379"/>
      <c r="B976" s="379" t="s">
        <v>51</v>
      </c>
      <c r="C976" s="379" t="s">
        <v>665</v>
      </c>
      <c r="D976" s="379" t="s">
        <v>59</v>
      </c>
      <c r="E976" s="379" t="s">
        <v>1469</v>
      </c>
      <c r="F976" s="379">
        <v>0</v>
      </c>
      <c r="G976" s="379">
        <v>0</v>
      </c>
      <c r="I976" s="359">
        <f t="shared" si="15"/>
        <v>439</v>
      </c>
    </row>
    <row r="977" spans="1:9" ht="15" x14ac:dyDescent="0.25">
      <c r="A977" s="379"/>
      <c r="B977" s="379" t="s">
        <v>51</v>
      </c>
      <c r="C977" s="379" t="s">
        <v>1149</v>
      </c>
      <c r="D977" s="379" t="s">
        <v>58</v>
      </c>
      <c r="E977" s="379" t="s">
        <v>1469</v>
      </c>
      <c r="F977" s="379">
        <v>0</v>
      </c>
      <c r="G977" s="379">
        <v>0</v>
      </c>
      <c r="I977" s="359">
        <f t="shared" si="15"/>
        <v>305</v>
      </c>
    </row>
    <row r="978" spans="1:9" ht="15" x14ac:dyDescent="0.25">
      <c r="A978" s="379"/>
      <c r="B978" s="379" t="s">
        <v>51</v>
      </c>
      <c r="C978" s="379" t="s">
        <v>637</v>
      </c>
      <c r="D978" s="379" t="s">
        <v>71</v>
      </c>
      <c r="E978" s="379" t="s">
        <v>1469</v>
      </c>
      <c r="F978" s="379">
        <v>0</v>
      </c>
      <c r="G978" s="379">
        <v>0</v>
      </c>
      <c r="I978" s="359">
        <f t="shared" si="15"/>
        <v>760</v>
      </c>
    </row>
    <row r="979" spans="1:9" ht="15" x14ac:dyDescent="0.25">
      <c r="A979" s="379"/>
      <c r="B979" s="379" t="s">
        <v>51</v>
      </c>
      <c r="C979" s="379" t="s">
        <v>1150</v>
      </c>
      <c r="D979" s="379" t="s">
        <v>59</v>
      </c>
      <c r="E979" s="379" t="s">
        <v>1469</v>
      </c>
      <c r="F979" s="379">
        <v>0</v>
      </c>
      <c r="G979" s="379">
        <v>0</v>
      </c>
      <c r="I979" s="359">
        <f t="shared" si="15"/>
        <v>67</v>
      </c>
    </row>
    <row r="980" spans="1:9" ht="15" x14ac:dyDescent="0.25">
      <c r="A980" s="379"/>
      <c r="B980" s="379" t="s">
        <v>51</v>
      </c>
      <c r="C980" s="379" t="s">
        <v>1151</v>
      </c>
      <c r="D980" s="379" t="s">
        <v>59</v>
      </c>
      <c r="E980" s="379" t="s">
        <v>1469</v>
      </c>
      <c r="F980" s="379">
        <v>0</v>
      </c>
      <c r="G980" s="379">
        <v>0</v>
      </c>
      <c r="I980" s="359">
        <f t="shared" si="15"/>
        <v>465</v>
      </c>
    </row>
    <row r="981" spans="1:9" ht="15" x14ac:dyDescent="0.25">
      <c r="A981" s="379"/>
      <c r="B981" s="379" t="s">
        <v>51</v>
      </c>
      <c r="C981" s="379" t="s">
        <v>1152</v>
      </c>
      <c r="D981" s="379" t="s">
        <v>59</v>
      </c>
      <c r="E981" s="379" t="s">
        <v>1469</v>
      </c>
      <c r="F981" s="379">
        <v>0</v>
      </c>
      <c r="G981" s="379">
        <v>0</v>
      </c>
      <c r="I981" s="359">
        <f t="shared" si="15"/>
        <v>933</v>
      </c>
    </row>
    <row r="982" spans="1:9" ht="15" x14ac:dyDescent="0.25">
      <c r="A982" s="379"/>
      <c r="B982" s="379" t="s">
        <v>51</v>
      </c>
      <c r="C982" s="379" t="s">
        <v>1153</v>
      </c>
      <c r="D982" s="379" t="s">
        <v>1585</v>
      </c>
      <c r="E982" s="379" t="s">
        <v>1469</v>
      </c>
      <c r="F982" s="379">
        <v>0</v>
      </c>
      <c r="G982" s="379">
        <v>0</v>
      </c>
      <c r="I982" s="359">
        <f t="shared" si="15"/>
        <v>506</v>
      </c>
    </row>
    <row r="983" spans="1:9" ht="15" x14ac:dyDescent="0.25">
      <c r="A983" s="379"/>
      <c r="B983" s="379" t="s">
        <v>51</v>
      </c>
      <c r="C983" s="379" t="s">
        <v>655</v>
      </c>
      <c r="D983" s="379" t="s">
        <v>73</v>
      </c>
      <c r="E983" s="379" t="s">
        <v>1469</v>
      </c>
      <c r="F983" s="379">
        <v>0</v>
      </c>
      <c r="G983" s="379">
        <v>0</v>
      </c>
      <c r="I983" s="359">
        <f t="shared" si="15"/>
        <v>459</v>
      </c>
    </row>
    <row r="984" spans="1:9" ht="15" x14ac:dyDescent="0.25">
      <c r="A984" s="379"/>
      <c r="B984" s="379" t="s">
        <v>51</v>
      </c>
      <c r="C984" s="379" t="s">
        <v>1154</v>
      </c>
      <c r="D984" s="379" t="s">
        <v>59</v>
      </c>
      <c r="E984" s="379" t="s">
        <v>1469</v>
      </c>
      <c r="F984" s="379">
        <v>0</v>
      </c>
      <c r="G984" s="379">
        <v>0</v>
      </c>
      <c r="I984" s="359">
        <f t="shared" si="15"/>
        <v>440</v>
      </c>
    </row>
    <row r="985" spans="1:9" ht="15" x14ac:dyDescent="0.25">
      <c r="A985" s="379"/>
      <c r="B985" s="379" t="s">
        <v>51</v>
      </c>
      <c r="C985" s="379" t="s">
        <v>1219</v>
      </c>
      <c r="D985" s="379" t="s">
        <v>1220</v>
      </c>
      <c r="E985" s="379" t="s">
        <v>1469</v>
      </c>
      <c r="F985" s="379">
        <v>0</v>
      </c>
      <c r="G985" s="379">
        <v>0</v>
      </c>
      <c r="I985" s="359">
        <f t="shared" si="15"/>
        <v>469</v>
      </c>
    </row>
    <row r="986" spans="1:9" ht="15" x14ac:dyDescent="0.25">
      <c r="A986" s="379"/>
      <c r="B986" s="379" t="s">
        <v>1716</v>
      </c>
      <c r="C986" s="379" t="s">
        <v>1206</v>
      </c>
      <c r="D986" s="379" t="s">
        <v>59</v>
      </c>
      <c r="E986" s="379" t="s">
        <v>1470</v>
      </c>
      <c r="F986" s="379">
        <v>0</v>
      </c>
      <c r="G986" s="379">
        <v>0</v>
      </c>
      <c r="I986" s="359">
        <f t="shared" si="15"/>
        <v>110</v>
      </c>
    </row>
    <row r="987" spans="1:9" ht="15" x14ac:dyDescent="0.25">
      <c r="A987" s="379"/>
      <c r="B987" s="379" t="s">
        <v>51</v>
      </c>
      <c r="C987" s="379" t="s">
        <v>1266</v>
      </c>
      <c r="D987" s="379" t="s">
        <v>58</v>
      </c>
      <c r="E987" s="379" t="s">
        <v>1469</v>
      </c>
      <c r="F987" s="379">
        <v>0</v>
      </c>
      <c r="G987" s="379">
        <v>0</v>
      </c>
      <c r="I987" s="359">
        <f t="shared" si="15"/>
        <v>277</v>
      </c>
    </row>
    <row r="988" spans="1:9" ht="15" x14ac:dyDescent="0.25">
      <c r="A988" s="379"/>
      <c r="B988" s="379" t="s">
        <v>51</v>
      </c>
      <c r="C988" s="379" t="s">
        <v>1204</v>
      </c>
      <c r="D988" s="379" t="s">
        <v>59</v>
      </c>
      <c r="E988" s="379" t="s">
        <v>1469</v>
      </c>
      <c r="F988" s="379">
        <v>0</v>
      </c>
      <c r="G988" s="379">
        <v>0</v>
      </c>
      <c r="I988" s="359">
        <f t="shared" si="15"/>
        <v>91</v>
      </c>
    </row>
    <row r="989" spans="1:9" ht="15" x14ac:dyDescent="0.25">
      <c r="A989" s="379"/>
      <c r="B989" s="379" t="s">
        <v>1703</v>
      </c>
      <c r="C989" s="379" t="s">
        <v>1443</v>
      </c>
      <c r="D989" s="379" t="s">
        <v>59</v>
      </c>
      <c r="E989" s="379" t="s">
        <v>1469</v>
      </c>
      <c r="F989" s="379">
        <v>0</v>
      </c>
      <c r="G989" s="379">
        <v>0</v>
      </c>
      <c r="I989" s="359">
        <f t="shared" si="15"/>
        <v>558</v>
      </c>
    </row>
    <row r="990" spans="1:9" ht="15" x14ac:dyDescent="0.25">
      <c r="A990" s="379"/>
      <c r="B990" s="379" t="s">
        <v>51</v>
      </c>
      <c r="C990" s="379" t="s">
        <v>1155</v>
      </c>
      <c r="D990" s="379" t="s">
        <v>58</v>
      </c>
      <c r="E990" s="379" t="s">
        <v>1469</v>
      </c>
      <c r="F990" s="379">
        <v>0</v>
      </c>
      <c r="G990" s="379">
        <v>0</v>
      </c>
      <c r="I990" s="359">
        <f t="shared" si="15"/>
        <v>22</v>
      </c>
    </row>
    <row r="991" spans="1:9" ht="15" x14ac:dyDescent="0.25">
      <c r="A991" s="379"/>
      <c r="B991" s="379" t="s">
        <v>51</v>
      </c>
      <c r="C991" s="379" t="s">
        <v>1322</v>
      </c>
      <c r="D991" s="379" t="s">
        <v>67</v>
      </c>
      <c r="E991" s="379" t="s">
        <v>1469</v>
      </c>
      <c r="F991" s="379">
        <v>0</v>
      </c>
      <c r="G991" s="379">
        <v>0</v>
      </c>
      <c r="I991" s="359">
        <f t="shared" si="15"/>
        <v>598</v>
      </c>
    </row>
    <row r="992" spans="1:9" ht="15" x14ac:dyDescent="0.25">
      <c r="A992" s="379"/>
      <c r="B992" s="379" t="s">
        <v>1698</v>
      </c>
      <c r="C992" s="379" t="s">
        <v>1156</v>
      </c>
      <c r="D992" s="379" t="s">
        <v>59</v>
      </c>
      <c r="E992" s="379" t="s">
        <v>1469</v>
      </c>
      <c r="F992" s="379">
        <v>0</v>
      </c>
      <c r="G992" s="379">
        <v>0</v>
      </c>
      <c r="I992" s="359">
        <f t="shared" si="15"/>
        <v>822</v>
      </c>
    </row>
    <row r="993" spans="1:9" ht="15" x14ac:dyDescent="0.25">
      <c r="A993" s="379"/>
      <c r="B993" s="379" t="s">
        <v>51</v>
      </c>
      <c r="C993" s="379" t="s">
        <v>1157</v>
      </c>
      <c r="D993" s="379" t="s">
        <v>59</v>
      </c>
      <c r="E993" s="379" t="s">
        <v>1469</v>
      </c>
      <c r="F993" s="379">
        <v>0</v>
      </c>
      <c r="G993" s="379">
        <v>0</v>
      </c>
      <c r="I993" s="359">
        <f t="shared" si="15"/>
        <v>830</v>
      </c>
    </row>
    <row r="994" spans="1:9" ht="15" x14ac:dyDescent="0.25">
      <c r="A994" s="379"/>
      <c r="B994" s="379" t="s">
        <v>51</v>
      </c>
      <c r="C994" s="379" t="s">
        <v>1158</v>
      </c>
      <c r="D994" s="379" t="s">
        <v>59</v>
      </c>
      <c r="E994" s="379" t="s">
        <v>1469</v>
      </c>
      <c r="F994" s="379">
        <v>0</v>
      </c>
      <c r="G994" s="379">
        <v>0</v>
      </c>
      <c r="I994" s="359">
        <f t="shared" si="15"/>
        <v>897</v>
      </c>
    </row>
    <row r="995" spans="1:9" ht="15" x14ac:dyDescent="0.25">
      <c r="A995" s="379"/>
      <c r="B995" s="379" t="s">
        <v>51</v>
      </c>
      <c r="C995" s="379" t="s">
        <v>433</v>
      </c>
      <c r="D995" s="379" t="s">
        <v>61</v>
      </c>
      <c r="E995" s="379" t="s">
        <v>1469</v>
      </c>
      <c r="F995" s="379">
        <v>0</v>
      </c>
      <c r="G995" s="379">
        <v>0</v>
      </c>
      <c r="I995" s="359">
        <f t="shared" si="15"/>
        <v>377</v>
      </c>
    </row>
    <row r="996" spans="1:9" ht="15" x14ac:dyDescent="0.25">
      <c r="A996" s="379"/>
      <c r="B996" s="379" t="s">
        <v>51</v>
      </c>
      <c r="C996" s="379" t="s">
        <v>1159</v>
      </c>
      <c r="D996" s="379" t="s">
        <v>61</v>
      </c>
      <c r="E996" s="379" t="s">
        <v>1470</v>
      </c>
      <c r="F996" s="379">
        <v>0</v>
      </c>
      <c r="G996" s="379">
        <v>0</v>
      </c>
      <c r="I996" s="359">
        <f t="shared" si="15"/>
        <v>699</v>
      </c>
    </row>
    <row r="997" spans="1:9" ht="15" x14ac:dyDescent="0.25">
      <c r="A997" s="379"/>
      <c r="B997" s="379" t="s">
        <v>51</v>
      </c>
      <c r="C997" s="379" t="s">
        <v>755</v>
      </c>
      <c r="D997" s="379" t="s">
        <v>61</v>
      </c>
      <c r="E997" s="379" t="s">
        <v>1469</v>
      </c>
      <c r="F997" s="379">
        <v>0</v>
      </c>
      <c r="G997" s="379">
        <v>0</v>
      </c>
      <c r="I997" s="359">
        <f t="shared" si="15"/>
        <v>165</v>
      </c>
    </row>
    <row r="998" spans="1:9" ht="15" x14ac:dyDescent="0.25">
      <c r="A998" s="379"/>
      <c r="B998" s="379" t="s">
        <v>51</v>
      </c>
      <c r="C998" s="379" t="s">
        <v>1160</v>
      </c>
      <c r="D998" s="379" t="s">
        <v>64</v>
      </c>
      <c r="E998" s="379" t="s">
        <v>1470</v>
      </c>
      <c r="F998" s="379">
        <v>0</v>
      </c>
      <c r="G998" s="379">
        <v>0</v>
      </c>
      <c r="I998" s="359">
        <f t="shared" si="15"/>
        <v>15</v>
      </c>
    </row>
    <row r="999" spans="1:9" ht="15" x14ac:dyDescent="0.25">
      <c r="A999" s="379"/>
      <c r="B999" s="379" t="s">
        <v>51</v>
      </c>
      <c r="C999" s="379" t="s">
        <v>490</v>
      </c>
      <c r="D999" s="379" t="s">
        <v>61</v>
      </c>
      <c r="E999" s="379" t="s">
        <v>1469</v>
      </c>
      <c r="F999" s="379">
        <v>0</v>
      </c>
      <c r="G999" s="379">
        <v>0</v>
      </c>
      <c r="I999" s="359">
        <f t="shared" si="15"/>
        <v>776</v>
      </c>
    </row>
    <row r="1000" spans="1:9" ht="15" x14ac:dyDescent="0.25">
      <c r="A1000" s="379"/>
      <c r="B1000" s="379" t="s">
        <v>51</v>
      </c>
      <c r="C1000" s="379" t="s">
        <v>1161</v>
      </c>
      <c r="D1000" s="379" t="s">
        <v>61</v>
      </c>
      <c r="E1000" s="379" t="s">
        <v>1469</v>
      </c>
      <c r="F1000" s="379">
        <v>0</v>
      </c>
      <c r="G1000" s="379">
        <v>0</v>
      </c>
      <c r="I1000" s="359">
        <f t="shared" si="15"/>
        <v>696</v>
      </c>
    </row>
    <row r="1001" spans="1:9" ht="15" x14ac:dyDescent="0.25">
      <c r="A1001" s="379"/>
      <c r="B1001" s="379" t="s">
        <v>51</v>
      </c>
      <c r="C1001" s="379" t="s">
        <v>1162</v>
      </c>
      <c r="D1001" s="379" t="s">
        <v>61</v>
      </c>
      <c r="E1001" s="379" t="s">
        <v>1470</v>
      </c>
      <c r="F1001" s="379">
        <v>0</v>
      </c>
      <c r="G1001" s="379">
        <v>0</v>
      </c>
    </row>
    <row r="1002" spans="1:9" ht="15" x14ac:dyDescent="0.25">
      <c r="A1002" s="379"/>
      <c r="B1002" s="379" t="s">
        <v>51</v>
      </c>
      <c r="C1002" s="379" t="s">
        <v>1163</v>
      </c>
      <c r="D1002" s="379" t="s">
        <v>61</v>
      </c>
      <c r="E1002" s="379" t="s">
        <v>1469</v>
      </c>
      <c r="F1002" s="379">
        <v>0</v>
      </c>
      <c r="G1002" s="379">
        <v>0</v>
      </c>
    </row>
    <row r="1003" spans="1:9" ht="15" x14ac:dyDescent="0.25">
      <c r="A1003" s="379"/>
      <c r="B1003" s="379" t="s">
        <v>51</v>
      </c>
      <c r="C1003" s="379" t="s">
        <v>1164</v>
      </c>
      <c r="D1003" s="379" t="s">
        <v>61</v>
      </c>
      <c r="E1003" s="379" t="s">
        <v>1469</v>
      </c>
      <c r="F1003" s="379">
        <v>0</v>
      </c>
      <c r="G1003" s="379">
        <v>0</v>
      </c>
    </row>
    <row r="1004" spans="1:9" ht="15" x14ac:dyDescent="0.25">
      <c r="A1004" s="379"/>
      <c r="B1004" s="379" t="s">
        <v>51</v>
      </c>
      <c r="C1004" s="379" t="s">
        <v>1235</v>
      </c>
      <c r="D1004" s="379" t="s">
        <v>62</v>
      </c>
      <c r="E1004" s="379" t="s">
        <v>1469</v>
      </c>
      <c r="F1004" s="379">
        <v>0</v>
      </c>
      <c r="G1004" s="379">
        <v>0</v>
      </c>
    </row>
    <row r="1005" spans="1:9" ht="15" x14ac:dyDescent="0.25">
      <c r="A1005" s="379"/>
      <c r="B1005" s="379" t="s">
        <v>51</v>
      </c>
      <c r="C1005" s="379" t="s">
        <v>1165</v>
      </c>
      <c r="D1005" s="379" t="s">
        <v>61</v>
      </c>
      <c r="E1005" s="379" t="s">
        <v>1469</v>
      </c>
      <c r="F1005" s="379">
        <v>0</v>
      </c>
      <c r="G1005" s="379">
        <v>0</v>
      </c>
    </row>
    <row r="1006" spans="1:9" ht="15" x14ac:dyDescent="0.25">
      <c r="A1006" s="379"/>
      <c r="B1006" s="379" t="s">
        <v>51</v>
      </c>
      <c r="C1006" s="379" t="s">
        <v>1166</v>
      </c>
      <c r="D1006" s="379" t="s">
        <v>66</v>
      </c>
      <c r="E1006" s="379" t="s">
        <v>1469</v>
      </c>
      <c r="F1006" s="379">
        <v>0</v>
      </c>
      <c r="G1006" s="379">
        <v>0</v>
      </c>
    </row>
    <row r="1007" spans="1:9" ht="15" x14ac:dyDescent="0.25">
      <c r="A1007" s="379"/>
      <c r="B1007" s="379" t="s">
        <v>1675</v>
      </c>
      <c r="C1007" s="379" t="s">
        <v>1419</v>
      </c>
      <c r="D1007" s="379" t="s">
        <v>69</v>
      </c>
      <c r="E1007" s="379" t="s">
        <v>1469</v>
      </c>
      <c r="F1007" s="379">
        <v>0</v>
      </c>
      <c r="G1007" s="379">
        <v>0</v>
      </c>
    </row>
    <row r="1008" spans="1:9" ht="15" x14ac:dyDescent="0.25">
      <c r="A1008" s="379"/>
      <c r="B1008" s="379" t="s">
        <v>51</v>
      </c>
      <c r="C1008" s="379" t="s">
        <v>649</v>
      </c>
      <c r="D1008" s="379" t="s">
        <v>59</v>
      </c>
      <c r="E1008" s="379" t="s">
        <v>1469</v>
      </c>
      <c r="F1008" s="379">
        <v>0</v>
      </c>
      <c r="G1008" s="379">
        <v>0</v>
      </c>
    </row>
    <row r="1009" spans="1:7" ht="15" x14ac:dyDescent="0.25">
      <c r="A1009" s="379"/>
      <c r="B1009" s="379" t="s">
        <v>51</v>
      </c>
      <c r="C1009" s="379" t="s">
        <v>756</v>
      </c>
      <c r="D1009" s="379" t="s">
        <v>59</v>
      </c>
      <c r="E1009" s="379" t="s">
        <v>1469</v>
      </c>
      <c r="F1009" s="379">
        <v>0</v>
      </c>
      <c r="G1009" s="379">
        <v>0</v>
      </c>
    </row>
    <row r="1010" spans="1:7" ht="15" x14ac:dyDescent="0.25">
      <c r="A1010" s="379"/>
      <c r="B1010" s="379" t="s">
        <v>51</v>
      </c>
      <c r="C1010" s="379" t="s">
        <v>586</v>
      </c>
      <c r="D1010" s="379" t="s">
        <v>59</v>
      </c>
      <c r="E1010" s="379" t="s">
        <v>1469</v>
      </c>
      <c r="F1010" s="379">
        <v>0</v>
      </c>
      <c r="G1010" s="379">
        <v>0</v>
      </c>
    </row>
    <row r="1011" spans="1:7" ht="15" x14ac:dyDescent="0.25">
      <c r="A1011" s="379"/>
      <c r="B1011" s="379" t="s">
        <v>51</v>
      </c>
      <c r="C1011" s="379" t="s">
        <v>1167</v>
      </c>
      <c r="D1011" s="379" t="s">
        <v>59</v>
      </c>
      <c r="E1011" s="379" t="s">
        <v>1469</v>
      </c>
      <c r="F1011" s="379">
        <v>0</v>
      </c>
      <c r="G1011" s="379">
        <v>0</v>
      </c>
    </row>
    <row r="1012" spans="1:7" ht="15" x14ac:dyDescent="0.25">
      <c r="A1012" s="379"/>
      <c r="B1012" s="379" t="s">
        <v>51</v>
      </c>
      <c r="C1012" s="379" t="s">
        <v>668</v>
      </c>
      <c r="D1012" s="379" t="s">
        <v>69</v>
      </c>
      <c r="E1012" s="379" t="s">
        <v>1469</v>
      </c>
      <c r="F1012" s="379">
        <v>0</v>
      </c>
      <c r="G1012" s="379">
        <v>0</v>
      </c>
    </row>
    <row r="1013" spans="1:7" ht="15" x14ac:dyDescent="0.25">
      <c r="A1013" s="379"/>
      <c r="B1013" s="379" t="s">
        <v>51</v>
      </c>
      <c r="C1013" s="379" t="s">
        <v>1168</v>
      </c>
      <c r="D1013" s="379" t="s">
        <v>59</v>
      </c>
      <c r="E1013" s="379" t="s">
        <v>1469</v>
      </c>
      <c r="F1013" s="379">
        <v>0</v>
      </c>
      <c r="G1013" s="379">
        <v>0</v>
      </c>
    </row>
    <row r="1014" spans="1:7" ht="15" x14ac:dyDescent="0.25">
      <c r="A1014" s="379"/>
      <c r="B1014" s="379" t="s">
        <v>51</v>
      </c>
      <c r="C1014" s="379" t="s">
        <v>1169</v>
      </c>
      <c r="D1014" s="379" t="s">
        <v>59</v>
      </c>
      <c r="E1014" s="379" t="s">
        <v>1469</v>
      </c>
      <c r="F1014" s="379">
        <v>0</v>
      </c>
      <c r="G1014" s="379">
        <v>0</v>
      </c>
    </row>
    <row r="1015" spans="1:7" ht="15" x14ac:dyDescent="0.25">
      <c r="A1015" s="379"/>
      <c r="B1015" s="379" t="s">
        <v>51</v>
      </c>
      <c r="C1015" s="379" t="s">
        <v>1170</v>
      </c>
      <c r="D1015" s="379" t="s">
        <v>63</v>
      </c>
      <c r="E1015" s="379" t="s">
        <v>1469</v>
      </c>
      <c r="F1015" s="379">
        <v>0</v>
      </c>
      <c r="G1015" s="379">
        <v>0</v>
      </c>
    </row>
    <row r="1016" spans="1:7" ht="15" x14ac:dyDescent="0.25">
      <c r="A1016" s="379"/>
      <c r="B1016" s="379" t="s">
        <v>51</v>
      </c>
      <c r="C1016" s="379" t="s">
        <v>1171</v>
      </c>
      <c r="D1016" s="379" t="s">
        <v>61</v>
      </c>
      <c r="E1016" s="379" t="s">
        <v>1469</v>
      </c>
      <c r="F1016" s="379">
        <v>0</v>
      </c>
      <c r="G1016" s="379">
        <v>0</v>
      </c>
    </row>
    <row r="1017" spans="1:7" ht="15" x14ac:dyDescent="0.25">
      <c r="A1017" s="379"/>
      <c r="B1017" s="379" t="s">
        <v>51</v>
      </c>
      <c r="C1017" s="379" t="s">
        <v>456</v>
      </c>
      <c r="D1017" s="379" t="s">
        <v>61</v>
      </c>
      <c r="E1017" s="379" t="s">
        <v>1469</v>
      </c>
      <c r="F1017" s="379">
        <v>0</v>
      </c>
      <c r="G1017" s="379">
        <v>0</v>
      </c>
    </row>
    <row r="1018" spans="1:7" ht="15" x14ac:dyDescent="0.25">
      <c r="A1018" s="379"/>
      <c r="B1018" s="379" t="s">
        <v>51</v>
      </c>
      <c r="C1018" s="379" t="s">
        <v>1172</v>
      </c>
      <c r="D1018" s="379" t="s">
        <v>62</v>
      </c>
      <c r="E1018" s="379" t="s">
        <v>1469</v>
      </c>
      <c r="F1018" s="379">
        <v>0</v>
      </c>
      <c r="G1018" s="379">
        <v>0</v>
      </c>
    </row>
    <row r="1019" spans="1:7" ht="15" x14ac:dyDescent="0.25">
      <c r="A1019" s="379"/>
      <c r="B1019" s="379" t="s">
        <v>51</v>
      </c>
      <c r="C1019" s="379" t="s">
        <v>1173</v>
      </c>
      <c r="D1019" s="379" t="s">
        <v>59</v>
      </c>
      <c r="E1019" s="379" t="s">
        <v>1469</v>
      </c>
      <c r="F1019" s="379">
        <v>0</v>
      </c>
      <c r="G1019" s="379">
        <v>0</v>
      </c>
    </row>
    <row r="1020" spans="1:7" ht="15" x14ac:dyDescent="0.25">
      <c r="A1020" s="379"/>
      <c r="B1020" s="379" t="s">
        <v>51</v>
      </c>
      <c r="C1020" s="379" t="s">
        <v>1174</v>
      </c>
      <c r="D1020" s="379" t="s">
        <v>70</v>
      </c>
      <c r="E1020" s="379" t="s">
        <v>1469</v>
      </c>
      <c r="F1020" s="379">
        <v>0</v>
      </c>
      <c r="G1020" s="379">
        <v>0</v>
      </c>
    </row>
    <row r="1021" spans="1:7" ht="15" x14ac:dyDescent="0.25">
      <c r="A1021" s="379"/>
      <c r="B1021" s="379" t="s">
        <v>51</v>
      </c>
      <c r="C1021" s="379" t="s">
        <v>1175</v>
      </c>
      <c r="D1021" s="379" t="s">
        <v>59</v>
      </c>
      <c r="E1021" s="379" t="s">
        <v>1469</v>
      </c>
      <c r="F1021" s="379">
        <v>0</v>
      </c>
      <c r="G1021" s="379">
        <v>0</v>
      </c>
    </row>
    <row r="1022" spans="1:7" ht="15" x14ac:dyDescent="0.25">
      <c r="A1022" s="379"/>
      <c r="B1022" s="379" t="s">
        <v>51</v>
      </c>
      <c r="C1022" s="379" t="s">
        <v>1302</v>
      </c>
      <c r="D1022" s="379" t="s">
        <v>59</v>
      </c>
      <c r="E1022" s="379" t="s">
        <v>1469</v>
      </c>
      <c r="F1022" s="379">
        <v>0</v>
      </c>
      <c r="G1022" s="379">
        <v>0</v>
      </c>
    </row>
    <row r="1023" spans="1:7" ht="15" x14ac:dyDescent="0.25">
      <c r="A1023" s="379"/>
      <c r="B1023" s="379" t="s">
        <v>51</v>
      </c>
      <c r="C1023" s="379" t="s">
        <v>1223</v>
      </c>
      <c r="D1023" s="379" t="s">
        <v>59</v>
      </c>
      <c r="E1023" s="379" t="s">
        <v>1469</v>
      </c>
      <c r="F1023" s="379">
        <v>0</v>
      </c>
      <c r="G1023" s="379">
        <v>0</v>
      </c>
    </row>
    <row r="1024" spans="1:7" ht="15" x14ac:dyDescent="0.25">
      <c r="A1024" s="379"/>
      <c r="B1024" s="379" t="s">
        <v>1698</v>
      </c>
      <c r="C1024" s="379" t="s">
        <v>560</v>
      </c>
      <c r="D1024" s="379" t="s">
        <v>72</v>
      </c>
      <c r="E1024" s="379" t="s">
        <v>1469</v>
      </c>
      <c r="F1024" s="379">
        <v>0</v>
      </c>
      <c r="G1024" s="379">
        <v>0</v>
      </c>
    </row>
    <row r="1025" spans="1:7" ht="15" x14ac:dyDescent="0.25">
      <c r="A1025" s="379"/>
      <c r="B1025" s="379" t="s">
        <v>51</v>
      </c>
      <c r="C1025" s="379" t="s">
        <v>1176</v>
      </c>
      <c r="D1025" s="379" t="s">
        <v>59</v>
      </c>
      <c r="E1025" s="379" t="s">
        <v>1469</v>
      </c>
      <c r="F1025" s="379">
        <v>0</v>
      </c>
      <c r="G1025" s="379">
        <v>0</v>
      </c>
    </row>
    <row r="1026" spans="1:7" ht="15" x14ac:dyDescent="0.25">
      <c r="A1026" s="379"/>
      <c r="B1026" s="379" t="s">
        <v>51</v>
      </c>
      <c r="C1026" s="379" t="s">
        <v>1177</v>
      </c>
      <c r="D1026" s="379" t="s">
        <v>59</v>
      </c>
      <c r="E1026" s="379" t="s">
        <v>1470</v>
      </c>
      <c r="F1026" s="379">
        <v>0</v>
      </c>
      <c r="G1026" s="379">
        <v>0</v>
      </c>
    </row>
    <row r="1027" spans="1:7" ht="15" x14ac:dyDescent="0.25">
      <c r="A1027" s="379"/>
      <c r="B1027" s="379" t="s">
        <v>51</v>
      </c>
      <c r="C1027" s="379" t="s">
        <v>446</v>
      </c>
      <c r="D1027" s="379" t="s">
        <v>61</v>
      </c>
      <c r="E1027" s="379" t="s">
        <v>1470</v>
      </c>
      <c r="F1027" s="379">
        <v>0</v>
      </c>
      <c r="G1027" s="379">
        <v>0</v>
      </c>
    </row>
    <row r="1028" spans="1:7" ht="15" x14ac:dyDescent="0.25">
      <c r="A1028" s="379"/>
      <c r="B1028" s="379" t="s">
        <v>51</v>
      </c>
      <c r="C1028" s="379" t="s">
        <v>773</v>
      </c>
      <c r="D1028" s="379" t="s">
        <v>59</v>
      </c>
      <c r="E1028" s="379" t="s">
        <v>1470</v>
      </c>
      <c r="F1028" s="379">
        <v>0</v>
      </c>
      <c r="G1028" s="379">
        <v>0</v>
      </c>
    </row>
    <row r="1029" spans="1:7" ht="15" x14ac:dyDescent="0.25">
      <c r="A1029" s="379"/>
      <c r="B1029" s="379" t="s">
        <v>51</v>
      </c>
      <c r="C1029" s="379" t="s">
        <v>1178</v>
      </c>
      <c r="D1029" s="379" t="s">
        <v>61</v>
      </c>
      <c r="E1029" s="379" t="s">
        <v>1469</v>
      </c>
      <c r="F1029" s="379">
        <v>0</v>
      </c>
      <c r="G1029" s="379">
        <v>0</v>
      </c>
    </row>
    <row r="1030" spans="1:7" ht="15" x14ac:dyDescent="0.25">
      <c r="A1030" s="379"/>
      <c r="B1030" s="379" t="s">
        <v>51</v>
      </c>
      <c r="C1030" s="379" t="s">
        <v>1179</v>
      </c>
      <c r="D1030" s="379" t="s">
        <v>59</v>
      </c>
      <c r="E1030" s="379" t="s">
        <v>1469</v>
      </c>
      <c r="F1030" s="379">
        <v>0</v>
      </c>
      <c r="G1030" s="379">
        <v>0</v>
      </c>
    </row>
    <row r="1031" spans="1:7" ht="15" x14ac:dyDescent="0.25">
      <c r="A1031" s="379"/>
      <c r="B1031" s="379" t="s">
        <v>51</v>
      </c>
      <c r="C1031" s="379" t="s">
        <v>1303</v>
      </c>
      <c r="D1031" s="379" t="s">
        <v>59</v>
      </c>
      <c r="E1031" s="379" t="s">
        <v>1470</v>
      </c>
      <c r="F1031" s="379">
        <v>0</v>
      </c>
      <c r="G1031" s="379">
        <v>0</v>
      </c>
    </row>
    <row r="1032" spans="1:7" ht="15" x14ac:dyDescent="0.25">
      <c r="A1032" s="379"/>
      <c r="B1032" s="379" t="s">
        <v>51</v>
      </c>
      <c r="C1032" s="379" t="s">
        <v>1269</v>
      </c>
      <c r="D1032" s="379" t="s">
        <v>61</v>
      </c>
      <c r="E1032" s="379" t="s">
        <v>1469</v>
      </c>
      <c r="F1032" s="379">
        <v>0</v>
      </c>
      <c r="G1032" s="379">
        <v>0</v>
      </c>
    </row>
    <row r="1033" spans="1:7" ht="15" x14ac:dyDescent="0.25">
      <c r="A1033" s="379"/>
      <c r="B1033" s="379" t="s">
        <v>51</v>
      </c>
      <c r="C1033" s="379" t="s">
        <v>1180</v>
      </c>
      <c r="D1033" s="379" t="s">
        <v>59</v>
      </c>
      <c r="E1033" s="379" t="s">
        <v>1469</v>
      </c>
      <c r="F1033" s="379">
        <v>0</v>
      </c>
      <c r="G1033" s="379">
        <v>0</v>
      </c>
    </row>
    <row r="1034" spans="1:7" ht="15" x14ac:dyDescent="0.25">
      <c r="A1034" s="379"/>
      <c r="B1034" s="379" t="s">
        <v>51</v>
      </c>
      <c r="C1034" s="379" t="s">
        <v>1181</v>
      </c>
      <c r="D1034" s="379" t="s">
        <v>69</v>
      </c>
      <c r="E1034" s="379" t="s">
        <v>1470</v>
      </c>
      <c r="F1034" s="379">
        <v>0</v>
      </c>
      <c r="G1034" s="379">
        <v>0</v>
      </c>
    </row>
    <row r="1035" spans="1:7" ht="15" x14ac:dyDescent="0.25">
      <c r="A1035" s="379"/>
      <c r="B1035" s="379" t="s">
        <v>51</v>
      </c>
      <c r="C1035" s="379" t="s">
        <v>692</v>
      </c>
      <c r="D1035" s="379" t="s">
        <v>69</v>
      </c>
      <c r="E1035" s="379" t="s">
        <v>1469</v>
      </c>
      <c r="F1035" s="379">
        <v>0</v>
      </c>
      <c r="G1035" s="379">
        <v>0</v>
      </c>
    </row>
    <row r="1036" spans="1:7" ht="15" x14ac:dyDescent="0.25">
      <c r="A1036" s="379"/>
      <c r="B1036" s="379" t="s">
        <v>51</v>
      </c>
      <c r="C1036" s="379" t="s">
        <v>1182</v>
      </c>
      <c r="D1036" s="379" t="s">
        <v>65</v>
      </c>
      <c r="E1036" s="379" t="s">
        <v>1469</v>
      </c>
      <c r="F1036" s="379">
        <v>0</v>
      </c>
      <c r="G1036" s="379">
        <v>0</v>
      </c>
    </row>
    <row r="1037" spans="1:7" ht="15" x14ac:dyDescent="0.25">
      <c r="A1037" s="379"/>
      <c r="B1037" s="379" t="s">
        <v>51</v>
      </c>
      <c r="C1037" s="379" t="s">
        <v>1183</v>
      </c>
      <c r="D1037" s="379" t="s">
        <v>59</v>
      </c>
      <c r="E1037" s="379" t="s">
        <v>1470</v>
      </c>
      <c r="F1037" s="379">
        <v>0</v>
      </c>
      <c r="G1037" s="379">
        <v>0</v>
      </c>
    </row>
    <row r="1038" spans="1:7" ht="15" x14ac:dyDescent="0.25">
      <c r="A1038" s="379"/>
      <c r="B1038" s="379" t="s">
        <v>51</v>
      </c>
      <c r="C1038" s="379" t="s">
        <v>1186</v>
      </c>
      <c r="D1038" s="379" t="s">
        <v>60</v>
      </c>
      <c r="E1038" s="379" t="s">
        <v>1469</v>
      </c>
      <c r="F1038" s="379">
        <v>0</v>
      </c>
      <c r="G1038" s="379">
        <v>0</v>
      </c>
    </row>
    <row r="1039" spans="1:7" ht="15" x14ac:dyDescent="0.25">
      <c r="A1039" s="379"/>
      <c r="B1039" s="379" t="s">
        <v>51</v>
      </c>
      <c r="C1039" s="379" t="s">
        <v>727</v>
      </c>
      <c r="D1039" s="379" t="s">
        <v>58</v>
      </c>
      <c r="E1039" s="379" t="s">
        <v>1469</v>
      </c>
      <c r="F1039" s="379">
        <v>0</v>
      </c>
      <c r="G1039" s="379">
        <v>0</v>
      </c>
    </row>
    <row r="1040" spans="1:7" ht="15" x14ac:dyDescent="0.25">
      <c r="A1040" s="379"/>
      <c r="B1040" s="379" t="s">
        <v>51</v>
      </c>
      <c r="C1040" s="379" t="s">
        <v>757</v>
      </c>
      <c r="D1040" s="379" t="s">
        <v>58</v>
      </c>
      <c r="E1040" s="379" t="s">
        <v>1469</v>
      </c>
      <c r="F1040" s="379">
        <v>0</v>
      </c>
      <c r="G1040" s="379">
        <v>0</v>
      </c>
    </row>
    <row r="1041" spans="1:7" ht="15" x14ac:dyDescent="0.25">
      <c r="A1041" s="379"/>
      <c r="B1041" s="379" t="s">
        <v>51</v>
      </c>
      <c r="C1041" s="379" t="s">
        <v>1187</v>
      </c>
      <c r="D1041" s="379" t="s">
        <v>61</v>
      </c>
      <c r="E1041" s="379" t="s">
        <v>1469</v>
      </c>
      <c r="F1041" s="379">
        <v>0</v>
      </c>
      <c r="G1041" s="379">
        <v>0</v>
      </c>
    </row>
    <row r="1042" spans="1:7" ht="15" x14ac:dyDescent="0.25">
      <c r="A1042" s="379"/>
      <c r="B1042" s="379" t="s">
        <v>51</v>
      </c>
      <c r="C1042" s="379" t="s">
        <v>1188</v>
      </c>
      <c r="D1042" s="379" t="s">
        <v>61</v>
      </c>
      <c r="E1042" s="379" t="s">
        <v>1470</v>
      </c>
      <c r="F1042" s="379">
        <v>0</v>
      </c>
      <c r="G1042" s="379">
        <v>0</v>
      </c>
    </row>
    <row r="1043" spans="1:7" ht="15" x14ac:dyDescent="0.25">
      <c r="A1043" s="379"/>
      <c r="B1043" s="379" t="s">
        <v>51</v>
      </c>
      <c r="C1043" s="379" t="s">
        <v>1189</v>
      </c>
      <c r="D1043" s="379" t="s">
        <v>61</v>
      </c>
      <c r="E1043" s="379" t="s">
        <v>1470</v>
      </c>
      <c r="F1043" s="379">
        <v>0</v>
      </c>
      <c r="G1043" s="379">
        <v>0</v>
      </c>
    </row>
    <row r="1044" spans="1:7" ht="15" x14ac:dyDescent="0.25">
      <c r="A1044" s="379"/>
      <c r="B1044" s="379" t="s">
        <v>51</v>
      </c>
      <c r="C1044" s="379" t="s">
        <v>1190</v>
      </c>
      <c r="D1044" s="379" t="s">
        <v>61</v>
      </c>
      <c r="E1044" s="379" t="s">
        <v>1469</v>
      </c>
      <c r="F1044" s="379">
        <v>0</v>
      </c>
      <c r="G1044" s="379">
        <v>0</v>
      </c>
    </row>
    <row r="1045" spans="1:7" ht="15" x14ac:dyDescent="0.25">
      <c r="A1045" s="379"/>
      <c r="B1045" s="379" t="s">
        <v>51</v>
      </c>
      <c r="C1045" s="379" t="s">
        <v>440</v>
      </c>
      <c r="D1045" s="379" t="s">
        <v>63</v>
      </c>
      <c r="E1045" s="379" t="s">
        <v>1469</v>
      </c>
      <c r="F1045" s="379">
        <v>0</v>
      </c>
      <c r="G1045" s="379">
        <v>0</v>
      </c>
    </row>
    <row r="1046" spans="1:7" ht="15" x14ac:dyDescent="0.25">
      <c r="A1046" s="379"/>
      <c r="B1046" s="379" t="s">
        <v>51</v>
      </c>
      <c r="C1046" s="379" t="s">
        <v>650</v>
      </c>
      <c r="D1046" s="379" t="s">
        <v>59</v>
      </c>
      <c r="E1046" s="379" t="s">
        <v>1469</v>
      </c>
      <c r="F1046" s="379">
        <v>0</v>
      </c>
      <c r="G1046" s="379">
        <v>0</v>
      </c>
    </row>
    <row r="1047" spans="1:7" ht="15" x14ac:dyDescent="0.25">
      <c r="A1047" s="379"/>
      <c r="B1047" s="379" t="s">
        <v>51</v>
      </c>
      <c r="C1047" s="379" t="s">
        <v>1192</v>
      </c>
      <c r="D1047" s="379" t="s">
        <v>59</v>
      </c>
      <c r="E1047" s="379" t="s">
        <v>1470</v>
      </c>
      <c r="F1047" s="379">
        <v>0</v>
      </c>
      <c r="G1047" s="379">
        <v>0</v>
      </c>
    </row>
    <row r="1048" spans="1:7" ht="15" x14ac:dyDescent="0.25">
      <c r="A1048" s="379" t="s">
        <v>1703</v>
      </c>
      <c r="B1048" s="379" t="s">
        <v>1528</v>
      </c>
      <c r="C1048" s="379" t="s">
        <v>1246</v>
      </c>
      <c r="D1048" s="379" t="s">
        <v>62</v>
      </c>
      <c r="E1048" s="379" t="s">
        <v>1470</v>
      </c>
      <c r="F1048" s="379">
        <v>0</v>
      </c>
      <c r="G1048" s="379">
        <v>1</v>
      </c>
    </row>
    <row r="1049" spans="1:7" ht="15" x14ac:dyDescent="0.25">
      <c r="A1049" s="379" t="s">
        <v>1703</v>
      </c>
      <c r="B1049" s="379" t="s">
        <v>1717</v>
      </c>
      <c r="C1049" s="379" t="s">
        <v>1444</v>
      </c>
      <c r="D1049" s="379" t="s">
        <v>73</v>
      </c>
      <c r="E1049" s="379" t="s">
        <v>1470</v>
      </c>
      <c r="F1049" s="379">
        <v>0</v>
      </c>
      <c r="G1049" s="379">
        <v>1</v>
      </c>
    </row>
    <row r="1050" spans="1:7" ht="15" x14ac:dyDescent="0.25">
      <c r="A1050" s="379" t="s">
        <v>1703</v>
      </c>
      <c r="B1050" s="379" t="s">
        <v>1717</v>
      </c>
      <c r="C1050" s="379" t="s">
        <v>1445</v>
      </c>
      <c r="D1050" s="379" t="s">
        <v>58</v>
      </c>
      <c r="E1050" s="379" t="s">
        <v>1470</v>
      </c>
      <c r="F1050" s="379">
        <v>0</v>
      </c>
      <c r="G1050" s="379">
        <v>1</v>
      </c>
    </row>
    <row r="1051" spans="1:7" ht="15" x14ac:dyDescent="0.25">
      <c r="A1051" s="379" t="s">
        <v>1703</v>
      </c>
      <c r="B1051" s="379" t="s">
        <v>1717</v>
      </c>
      <c r="C1051" s="379" t="s">
        <v>849</v>
      </c>
      <c r="D1051" s="379" t="s">
        <v>58</v>
      </c>
      <c r="E1051" s="379" t="s">
        <v>1470</v>
      </c>
      <c r="F1051" s="379">
        <v>0</v>
      </c>
      <c r="G1051" s="379">
        <v>1</v>
      </c>
    </row>
    <row r="1052" spans="1:7" ht="15" x14ac:dyDescent="0.25">
      <c r="A1052" s="379" t="s">
        <v>1703</v>
      </c>
      <c r="B1052" s="379" t="s">
        <v>1717</v>
      </c>
      <c r="C1052" s="379" t="s">
        <v>1323</v>
      </c>
      <c r="D1052" s="379" t="s">
        <v>64</v>
      </c>
      <c r="E1052" s="379" t="s">
        <v>1470</v>
      </c>
      <c r="F1052" s="379">
        <v>0</v>
      </c>
      <c r="G1052" s="379">
        <v>1</v>
      </c>
    </row>
    <row r="1053" spans="1:7" ht="15" x14ac:dyDescent="0.25">
      <c r="A1053" s="379" t="s">
        <v>1703</v>
      </c>
      <c r="B1053" s="379" t="s">
        <v>1528</v>
      </c>
      <c r="C1053" s="379" t="s">
        <v>1247</v>
      </c>
      <c r="D1053" s="379" t="s">
        <v>62</v>
      </c>
      <c r="E1053" s="379" t="s">
        <v>1470</v>
      </c>
      <c r="F1053" s="379">
        <v>0</v>
      </c>
      <c r="G1053" s="379">
        <v>1</v>
      </c>
    </row>
    <row r="1054" spans="1:7" ht="15" x14ac:dyDescent="0.25">
      <c r="A1054" s="379" t="s">
        <v>1703</v>
      </c>
      <c r="B1054" s="379" t="s">
        <v>1717</v>
      </c>
      <c r="C1054" s="379" t="s">
        <v>1586</v>
      </c>
      <c r="D1054" s="379" t="s">
        <v>1240</v>
      </c>
      <c r="E1054" s="379" t="s">
        <v>1470</v>
      </c>
      <c r="F1054" s="379">
        <v>0</v>
      </c>
      <c r="G1054" s="379">
        <v>1</v>
      </c>
    </row>
    <row r="1055" spans="1:7" ht="15" x14ac:dyDescent="0.25">
      <c r="A1055" s="379" t="s">
        <v>1703</v>
      </c>
      <c r="B1055" s="379" t="s">
        <v>1717</v>
      </c>
      <c r="C1055" s="379" t="s">
        <v>1587</v>
      </c>
      <c r="D1055" s="379" t="s">
        <v>1367</v>
      </c>
      <c r="E1055" s="379" t="s">
        <v>1469</v>
      </c>
      <c r="F1055" s="379">
        <v>0</v>
      </c>
      <c r="G1055" s="379">
        <v>1</v>
      </c>
    </row>
    <row r="1056" spans="1:7" ht="15" x14ac:dyDescent="0.25">
      <c r="A1056" s="379" t="s">
        <v>1703</v>
      </c>
      <c r="B1056" s="379" t="s">
        <v>1717</v>
      </c>
      <c r="C1056" s="379" t="s">
        <v>652</v>
      </c>
      <c r="D1056" s="379" t="s">
        <v>62</v>
      </c>
      <c r="E1056" s="379" t="s">
        <v>1470</v>
      </c>
      <c r="F1056" s="379">
        <v>0</v>
      </c>
      <c r="G1056" s="379">
        <v>1</v>
      </c>
    </row>
    <row r="1057" spans="1:7" ht="15" x14ac:dyDescent="0.25">
      <c r="A1057" s="379" t="s">
        <v>1703</v>
      </c>
      <c r="B1057" s="379" t="s">
        <v>1717</v>
      </c>
      <c r="C1057" s="379" t="s">
        <v>746</v>
      </c>
      <c r="D1057" s="379" t="s">
        <v>1585</v>
      </c>
      <c r="E1057" s="379" t="s">
        <v>1469</v>
      </c>
      <c r="F1057" s="379">
        <v>0</v>
      </c>
      <c r="G1057" s="379">
        <v>1</v>
      </c>
    </row>
    <row r="1058" spans="1:7" ht="15" x14ac:dyDescent="0.25">
      <c r="A1058" s="379" t="s">
        <v>1703</v>
      </c>
      <c r="B1058" s="379" t="s">
        <v>1717</v>
      </c>
      <c r="C1058" s="379" t="s">
        <v>1589</v>
      </c>
      <c r="D1058" s="379" t="s">
        <v>1240</v>
      </c>
      <c r="E1058" s="379" t="s">
        <v>1470</v>
      </c>
      <c r="F1058" s="379">
        <v>0</v>
      </c>
      <c r="G1058" s="379">
        <v>1</v>
      </c>
    </row>
    <row r="1059" spans="1:7" ht="15" x14ac:dyDescent="0.25">
      <c r="A1059" s="379"/>
      <c r="B1059" s="379"/>
      <c r="C1059" s="379"/>
      <c r="D1059" s="379"/>
      <c r="E1059" s="379"/>
      <c r="F1059" s="379"/>
      <c r="G1059" s="379"/>
    </row>
    <row r="1060" spans="1:7" ht="15" x14ac:dyDescent="0.25">
      <c r="A1060" s="379" t="s">
        <v>1590</v>
      </c>
      <c r="B1060" s="379"/>
      <c r="C1060" s="379"/>
      <c r="D1060" s="379"/>
      <c r="E1060" s="379"/>
      <c r="F1060" s="379"/>
      <c r="G1060" s="379"/>
    </row>
    <row r="1061" spans="1:7" ht="15" x14ac:dyDescent="0.25">
      <c r="A1061" s="379"/>
      <c r="B1061" s="379"/>
      <c r="C1061" s="379"/>
      <c r="D1061" s="379"/>
      <c r="E1061" s="379"/>
      <c r="F1061" s="379"/>
      <c r="G1061" s="379"/>
    </row>
    <row r="1062" spans="1:7" ht="15" x14ac:dyDescent="0.25">
      <c r="A1062" s="379" t="s">
        <v>1718</v>
      </c>
      <c r="B1062" s="379"/>
      <c r="C1062" s="379"/>
      <c r="D1062" s="379"/>
      <c r="E1062" s="379"/>
      <c r="F1062" s="379"/>
      <c r="G1062" s="379"/>
    </row>
    <row r="1063" spans="1:7" ht="15" x14ac:dyDescent="0.25">
      <c r="A1063" s="379" t="s">
        <v>1719</v>
      </c>
      <c r="B1063" s="379"/>
      <c r="C1063" s="379"/>
      <c r="D1063" s="379"/>
      <c r="E1063" s="379"/>
      <c r="F1063" s="379"/>
      <c r="G1063" s="379"/>
    </row>
    <row r="1064" spans="1:7" ht="15" x14ac:dyDescent="0.25">
      <c r="A1064" s="379" t="s">
        <v>1720</v>
      </c>
      <c r="B1064" s="379"/>
      <c r="C1064" s="379"/>
      <c r="D1064" s="379"/>
      <c r="E1064" s="379"/>
      <c r="F1064" s="379"/>
      <c r="G1064" s="379"/>
    </row>
    <row r="1065" spans="1:7" ht="15" x14ac:dyDescent="0.25">
      <c r="A1065" s="379" t="s">
        <v>1721</v>
      </c>
      <c r="B1065" s="379"/>
      <c r="C1065" s="379"/>
      <c r="D1065" s="379"/>
      <c r="E1065" s="379"/>
      <c r="F1065" s="379"/>
      <c r="G1065" s="379"/>
    </row>
    <row r="1066" spans="1:7" ht="15" x14ac:dyDescent="0.25">
      <c r="A1066" s="379" t="s">
        <v>1722</v>
      </c>
      <c r="B1066" s="379"/>
      <c r="C1066" s="379"/>
      <c r="D1066" s="379"/>
      <c r="E1066" s="379"/>
      <c r="F1066" s="379"/>
      <c r="G1066" s="379"/>
    </row>
    <row r="1067" spans="1:7" ht="15" x14ac:dyDescent="0.25">
      <c r="A1067" s="379" t="s">
        <v>1723</v>
      </c>
      <c r="B1067" s="379"/>
      <c r="C1067" s="379"/>
      <c r="D1067" s="379"/>
      <c r="E1067" s="379"/>
      <c r="F1067" s="379"/>
      <c r="G1067" s="379"/>
    </row>
    <row r="1068" spans="1:7" ht="15" x14ac:dyDescent="0.25">
      <c r="A1068" s="379" t="s">
        <v>1724</v>
      </c>
      <c r="B1068" s="379"/>
      <c r="C1068" s="379"/>
      <c r="D1068" s="379"/>
      <c r="E1068" s="379"/>
      <c r="F1068" s="379"/>
      <c r="G1068" s="379"/>
    </row>
    <row r="1069" spans="1:7" ht="15" x14ac:dyDescent="0.25">
      <c r="A1069" s="379" t="s">
        <v>1725</v>
      </c>
      <c r="B1069" s="379"/>
      <c r="C1069" s="379"/>
      <c r="D1069" s="379"/>
      <c r="E1069" s="379"/>
      <c r="F1069" s="379"/>
      <c r="G1069" s="379"/>
    </row>
    <row r="1070" spans="1:7" ht="15" x14ac:dyDescent="0.25">
      <c r="A1070" s="379" t="s">
        <v>1726</v>
      </c>
      <c r="B1070" s="379"/>
      <c r="C1070" s="379"/>
      <c r="D1070" s="379"/>
      <c r="E1070" s="379"/>
      <c r="F1070" s="379"/>
      <c r="G1070" s="379"/>
    </row>
    <row r="1071" spans="1:7" ht="15" x14ac:dyDescent="0.25">
      <c r="A1071" s="379"/>
      <c r="B1071" s="379"/>
      <c r="C1071" s="379"/>
      <c r="D1071" s="379"/>
      <c r="E1071" s="379"/>
      <c r="F1071" s="379"/>
      <c r="G1071" s="379"/>
    </row>
    <row r="1072" spans="1:7" ht="15" x14ac:dyDescent="0.25">
      <c r="A1072" s="379" t="s">
        <v>1591</v>
      </c>
      <c r="B1072" s="379"/>
      <c r="C1072" s="379"/>
      <c r="D1072" s="379"/>
      <c r="E1072" s="379"/>
      <c r="F1072" s="379"/>
      <c r="G1072" s="379"/>
    </row>
    <row r="1073" spans="1:7" ht="15" x14ac:dyDescent="0.25">
      <c r="A1073" s="379"/>
      <c r="B1073" s="379"/>
      <c r="C1073" s="379"/>
      <c r="D1073" s="379"/>
      <c r="E1073" s="379"/>
      <c r="F1073" s="379"/>
      <c r="G1073" s="379"/>
    </row>
    <row r="1074" spans="1:7" ht="15" x14ac:dyDescent="0.25">
      <c r="A1074" s="379" t="s">
        <v>1718</v>
      </c>
      <c r="B1074" s="379"/>
      <c r="C1074" s="379"/>
      <c r="D1074" s="379"/>
      <c r="E1074" s="379"/>
      <c r="F1074" s="379"/>
      <c r="G1074" s="379"/>
    </row>
    <row r="1075" spans="1:7" ht="15" x14ac:dyDescent="0.25">
      <c r="A1075" s="379" t="s">
        <v>1719</v>
      </c>
      <c r="B1075" s="379"/>
      <c r="C1075" s="379"/>
      <c r="D1075" s="379"/>
      <c r="E1075" s="379"/>
      <c r="F1075" s="379"/>
      <c r="G1075" s="379"/>
    </row>
    <row r="1076" spans="1:7" ht="15" x14ac:dyDescent="0.25">
      <c r="A1076" s="379" t="s">
        <v>1720</v>
      </c>
      <c r="B1076" s="379"/>
      <c r="C1076" s="379"/>
      <c r="D1076" s="379"/>
      <c r="E1076" s="379"/>
      <c r="F1076" s="379"/>
      <c r="G1076" s="379"/>
    </row>
    <row r="1077" spans="1:7" ht="15" x14ac:dyDescent="0.25">
      <c r="A1077" s="379" t="s">
        <v>1721</v>
      </c>
      <c r="B1077" s="379"/>
      <c r="C1077" s="379"/>
      <c r="D1077" s="379"/>
      <c r="E1077" s="379"/>
      <c r="F1077" s="379"/>
      <c r="G1077" s="379"/>
    </row>
    <row r="1078" spans="1:7" ht="15" x14ac:dyDescent="0.25">
      <c r="A1078" s="379" t="s">
        <v>1722</v>
      </c>
      <c r="B1078" s="379"/>
      <c r="C1078" s="379"/>
      <c r="D1078" s="379"/>
      <c r="E1078" s="379"/>
      <c r="F1078" s="379"/>
      <c r="G1078" s="379"/>
    </row>
    <row r="1079" spans="1:7" ht="15" x14ac:dyDescent="0.25">
      <c r="A1079" s="379" t="s">
        <v>1723</v>
      </c>
      <c r="B1079" s="379"/>
      <c r="C1079" s="379"/>
      <c r="D1079" s="379"/>
      <c r="E1079" s="379"/>
      <c r="F1079" s="379"/>
      <c r="G1079" s="379"/>
    </row>
    <row r="1080" spans="1:7" ht="15" x14ac:dyDescent="0.25">
      <c r="A1080" s="379" t="s">
        <v>1724</v>
      </c>
      <c r="B1080" s="379"/>
      <c r="C1080" s="379"/>
      <c r="D1080" s="379"/>
      <c r="E1080" s="379"/>
      <c r="F1080" s="379"/>
      <c r="G1080" s="379"/>
    </row>
    <row r="1081" spans="1:7" ht="15" x14ac:dyDescent="0.25">
      <c r="A1081" s="379" t="s">
        <v>1725</v>
      </c>
      <c r="B1081" s="379"/>
      <c r="C1081" s="379"/>
      <c r="D1081" s="379"/>
      <c r="E1081" s="379"/>
      <c r="F1081" s="379"/>
      <c r="G1081" s="379"/>
    </row>
    <row r="1082" spans="1:7" ht="15" x14ac:dyDescent="0.25">
      <c r="A1082" s="379" t="s">
        <v>1726</v>
      </c>
      <c r="B1082" s="379"/>
      <c r="C1082" s="379"/>
      <c r="D1082" s="379"/>
      <c r="E1082" s="379"/>
      <c r="F1082" s="379"/>
      <c r="G1082" s="379"/>
    </row>
    <row r="1083" spans="1:7" ht="15" x14ac:dyDescent="0.25">
      <c r="A1083" s="379" t="s">
        <v>1727</v>
      </c>
      <c r="B1083" s="379"/>
      <c r="C1083" s="379"/>
      <c r="D1083" s="379"/>
      <c r="E1083" s="379"/>
      <c r="F1083" s="379"/>
      <c r="G1083" s="379"/>
    </row>
    <row r="1084" spans="1:7" ht="15" x14ac:dyDescent="0.25">
      <c r="A1084" s="379" t="s">
        <v>1728</v>
      </c>
      <c r="B1084" s="379"/>
      <c r="C1084" s="379"/>
      <c r="D1084" s="379"/>
      <c r="E1084" s="379"/>
      <c r="F1084" s="379"/>
      <c r="G1084" s="379"/>
    </row>
    <row r="1085" spans="1:7" ht="15" x14ac:dyDescent="0.25">
      <c r="A1085" s="379" t="s">
        <v>1729</v>
      </c>
      <c r="B1085" s="379"/>
      <c r="C1085" s="379"/>
      <c r="D1085" s="379"/>
      <c r="E1085" s="379"/>
      <c r="F1085" s="379"/>
      <c r="G1085" s="379"/>
    </row>
    <row r="1086" spans="1:7" ht="15" x14ac:dyDescent="0.25">
      <c r="A1086" s="379" t="s">
        <v>1730</v>
      </c>
      <c r="B1086" s="379"/>
      <c r="C1086" s="379"/>
      <c r="D1086" s="379"/>
      <c r="E1086" s="379"/>
      <c r="F1086" s="379"/>
      <c r="G1086" s="379"/>
    </row>
    <row r="1087" spans="1:7" ht="15" x14ac:dyDescent="0.25">
      <c r="A1087" s="379" t="s">
        <v>1731</v>
      </c>
      <c r="B1087" s="379"/>
      <c r="C1087" s="379"/>
      <c r="D1087" s="379"/>
      <c r="E1087" s="379"/>
      <c r="F1087" s="379"/>
      <c r="G1087" s="379"/>
    </row>
    <row r="1088" spans="1:7" ht="15" x14ac:dyDescent="0.25">
      <c r="A1088" s="379" t="s">
        <v>1732</v>
      </c>
      <c r="B1088" s="379"/>
      <c r="C1088" s="379"/>
      <c r="D1088" s="379"/>
      <c r="E1088" s="379"/>
      <c r="F1088" s="379"/>
      <c r="G1088" s="379"/>
    </row>
    <row r="1089" spans="1:7" ht="15" x14ac:dyDescent="0.25">
      <c r="A1089" s="379" t="s">
        <v>1733</v>
      </c>
      <c r="B1089" s="379"/>
      <c r="C1089" s="379"/>
      <c r="D1089" s="379"/>
      <c r="E1089" s="379"/>
      <c r="F1089" s="379"/>
      <c r="G1089" s="379"/>
    </row>
    <row r="1090" spans="1:7" ht="15" x14ac:dyDescent="0.25">
      <c r="A1090" s="379" t="s">
        <v>1734</v>
      </c>
      <c r="B1090" s="379"/>
      <c r="C1090" s="379"/>
      <c r="D1090" s="379"/>
      <c r="E1090" s="379"/>
      <c r="F1090" s="379"/>
      <c r="G1090" s="379"/>
    </row>
    <row r="1091" spans="1:7" ht="15" x14ac:dyDescent="0.25">
      <c r="A1091" s="379" t="s">
        <v>1735</v>
      </c>
      <c r="B1091" s="379"/>
      <c r="C1091" s="379"/>
      <c r="D1091" s="379"/>
      <c r="E1091" s="379"/>
      <c r="F1091" s="379"/>
      <c r="G1091" s="379"/>
    </row>
    <row r="1092" spans="1:7" ht="15" x14ac:dyDescent="0.25">
      <c r="A1092" s="379" t="s">
        <v>1736</v>
      </c>
      <c r="B1092" s="379"/>
      <c r="C1092" s="379"/>
      <c r="D1092" s="379"/>
      <c r="E1092" s="379"/>
      <c r="F1092" s="379"/>
      <c r="G1092" s="379"/>
    </row>
    <row r="1093" spans="1:7" ht="15" x14ac:dyDescent="0.25">
      <c r="A1093" s="379" t="s">
        <v>1737</v>
      </c>
      <c r="B1093" s="379"/>
      <c r="C1093" s="379"/>
      <c r="D1093" s="379"/>
      <c r="E1093" s="379"/>
      <c r="F1093" s="379"/>
      <c r="G1093" s="379"/>
    </row>
    <row r="1094" spans="1:7" ht="15" x14ac:dyDescent="0.25">
      <c r="A1094" s="379" t="s">
        <v>1738</v>
      </c>
      <c r="B1094" s="379"/>
      <c r="C1094" s="379"/>
      <c r="D1094" s="379"/>
      <c r="E1094" s="379"/>
      <c r="F1094" s="379"/>
      <c r="G1094" s="379"/>
    </row>
    <row r="1095" spans="1:7" ht="15" x14ac:dyDescent="0.25">
      <c r="A1095" s="379" t="s">
        <v>1739</v>
      </c>
      <c r="B1095" s="379"/>
      <c r="C1095" s="379"/>
      <c r="D1095" s="379"/>
      <c r="E1095" s="379"/>
      <c r="F1095" s="379"/>
      <c r="G1095" s="379"/>
    </row>
    <row r="1096" spans="1:7" ht="15" x14ac:dyDescent="0.25">
      <c r="A1096" s="379" t="s">
        <v>1740</v>
      </c>
      <c r="B1096" s="379"/>
      <c r="C1096" s="379"/>
      <c r="D1096" s="379"/>
      <c r="E1096" s="379"/>
      <c r="F1096" s="379"/>
      <c r="G1096" s="379"/>
    </row>
    <row r="1097" spans="1:7" ht="15" x14ac:dyDescent="0.25">
      <c r="A1097" s="379" t="s">
        <v>1741</v>
      </c>
      <c r="B1097" s="379"/>
      <c r="C1097" s="379"/>
      <c r="D1097" s="379"/>
      <c r="E1097" s="379"/>
      <c r="F1097" s="379"/>
      <c r="G1097" s="379"/>
    </row>
    <row r="1098" spans="1:7" ht="15" x14ac:dyDescent="0.25">
      <c r="A1098" s="379" t="s">
        <v>1742</v>
      </c>
      <c r="B1098" s="379"/>
      <c r="C1098" s="379"/>
      <c r="D1098" s="379"/>
      <c r="E1098" s="379"/>
      <c r="F1098" s="379"/>
      <c r="G1098" s="379"/>
    </row>
    <row r="1099" spans="1:7" ht="15" x14ac:dyDescent="0.25">
      <c r="A1099" s="379" t="s">
        <v>1743</v>
      </c>
      <c r="B1099" s="379"/>
      <c r="C1099" s="379"/>
      <c r="D1099" s="379"/>
      <c r="E1099" s="379"/>
      <c r="F1099" s="379"/>
      <c r="G1099" s="379"/>
    </row>
    <row r="1100" spans="1:7" ht="15" x14ac:dyDescent="0.25">
      <c r="A1100" s="379" t="s">
        <v>1744</v>
      </c>
      <c r="B1100" s="379"/>
      <c r="C1100" s="379"/>
      <c r="D1100" s="379"/>
      <c r="E1100" s="379"/>
      <c r="F1100" s="379"/>
      <c r="G1100" s="379"/>
    </row>
    <row r="1101" spans="1:7" ht="15" x14ac:dyDescent="0.25">
      <c r="A1101" s="379" t="s">
        <v>1745</v>
      </c>
      <c r="B1101" s="379"/>
      <c r="C1101" s="379"/>
      <c r="D1101" s="379"/>
      <c r="E1101" s="379"/>
      <c r="F1101" s="379"/>
      <c r="G1101" s="379"/>
    </row>
    <row r="1102" spans="1:7" ht="15" x14ac:dyDescent="0.25">
      <c r="A1102" s="379" t="s">
        <v>1746</v>
      </c>
      <c r="B1102" s="379"/>
      <c r="C1102" s="379"/>
      <c r="D1102" s="379"/>
      <c r="E1102" s="379"/>
      <c r="F1102" s="379"/>
      <c r="G1102" s="379"/>
    </row>
    <row r="1103" spans="1:7" ht="15" x14ac:dyDescent="0.25">
      <c r="A1103" s="379" t="s">
        <v>1747</v>
      </c>
      <c r="B1103" s="379"/>
      <c r="C1103" s="379"/>
      <c r="D1103" s="379"/>
      <c r="E1103" s="379"/>
      <c r="F1103" s="379"/>
      <c r="G1103" s="379"/>
    </row>
    <row r="1104" spans="1:7" ht="15" x14ac:dyDescent="0.25">
      <c r="A1104" s="379" t="s">
        <v>1592</v>
      </c>
      <c r="B1104" s="379"/>
      <c r="C1104" s="379"/>
      <c r="D1104" s="379"/>
      <c r="E1104" s="379"/>
      <c r="F1104" s="379"/>
      <c r="G1104" s="379"/>
    </row>
    <row r="1105" spans="1:7" ht="15" x14ac:dyDescent="0.25">
      <c r="A1105" s="379" t="s">
        <v>1593</v>
      </c>
      <c r="B1105" s="379"/>
      <c r="C1105" s="379"/>
      <c r="D1105" s="379"/>
      <c r="E1105" s="379"/>
      <c r="F1105" s="379"/>
      <c r="G1105" s="379"/>
    </row>
    <row r="1106" spans="1:7" ht="15" x14ac:dyDescent="0.25">
      <c r="A1106" s="379" t="s">
        <v>1594</v>
      </c>
      <c r="B1106" s="379"/>
      <c r="C1106" s="379"/>
      <c r="D1106" s="379"/>
      <c r="E1106" s="379"/>
      <c r="F1106" s="379"/>
      <c r="G1106" s="379"/>
    </row>
    <row r="1107" spans="1:7" ht="15" x14ac:dyDescent="0.25">
      <c r="A1107" s="379" t="s">
        <v>1595</v>
      </c>
      <c r="B1107" s="379"/>
      <c r="C1107" s="379"/>
      <c r="D1107" s="379"/>
      <c r="E1107" s="379"/>
      <c r="F1107" s="379"/>
      <c r="G1107" s="379"/>
    </row>
    <row r="1108" spans="1:7" ht="15" x14ac:dyDescent="0.25">
      <c r="A1108" s="379" t="s">
        <v>1596</v>
      </c>
      <c r="B1108" s="379"/>
      <c r="C1108" s="379"/>
      <c r="D1108" s="379"/>
      <c r="E1108" s="379"/>
      <c r="F1108" s="379"/>
      <c r="G1108" s="379"/>
    </row>
    <row r="1109" spans="1:7" ht="15" x14ac:dyDescent="0.25">
      <c r="A1109" s="379" t="s">
        <v>1597</v>
      </c>
      <c r="B1109" s="379"/>
      <c r="C1109" s="379"/>
      <c r="D1109" s="379"/>
      <c r="E1109" s="379"/>
      <c r="F1109" s="379"/>
      <c r="G1109" s="379"/>
    </row>
    <row r="1110" spans="1:7" ht="15" x14ac:dyDescent="0.25">
      <c r="A1110" s="379" t="s">
        <v>1598</v>
      </c>
      <c r="B1110" s="379"/>
      <c r="C1110" s="379"/>
      <c r="D1110" s="379"/>
      <c r="E1110" s="379"/>
      <c r="F1110" s="379"/>
      <c r="G1110" s="379"/>
    </row>
    <row r="1111" spans="1:7" ht="15" x14ac:dyDescent="0.25">
      <c r="A1111" s="379" t="s">
        <v>1599</v>
      </c>
      <c r="B1111" s="379"/>
      <c r="C1111" s="379"/>
      <c r="D1111" s="379"/>
      <c r="E1111" s="379"/>
      <c r="F1111" s="379"/>
      <c r="G1111" s="379"/>
    </row>
    <row r="1112" spans="1:7" ht="15" x14ac:dyDescent="0.25">
      <c r="A1112" s="379" t="s">
        <v>1600</v>
      </c>
      <c r="B1112" s="379"/>
      <c r="C1112" s="379"/>
      <c r="D1112" s="379"/>
      <c r="E1112" s="379"/>
      <c r="F1112" s="379"/>
      <c r="G1112" s="379"/>
    </row>
    <row r="1113" spans="1:7" ht="15" x14ac:dyDescent="0.25">
      <c r="A1113" s="379" t="s">
        <v>1601</v>
      </c>
      <c r="B1113" s="379"/>
      <c r="C1113" s="379"/>
      <c r="D1113" s="379"/>
      <c r="E1113" s="379"/>
      <c r="F1113" s="379"/>
      <c r="G1113" s="379"/>
    </row>
    <row r="1114" spans="1:7" ht="15" x14ac:dyDescent="0.25">
      <c r="A1114" s="379" t="s">
        <v>1602</v>
      </c>
      <c r="B1114" s="379"/>
      <c r="C1114" s="379"/>
      <c r="D1114" s="379"/>
      <c r="E1114" s="379"/>
      <c r="F1114" s="379"/>
      <c r="G1114" s="379"/>
    </row>
    <row r="1115" spans="1:7" ht="15" x14ac:dyDescent="0.25">
      <c r="A1115" s="379" t="s">
        <v>1603</v>
      </c>
      <c r="B1115" s="379"/>
      <c r="C1115" s="379"/>
      <c r="D1115" s="379"/>
      <c r="E1115" s="379"/>
      <c r="F1115" s="379"/>
      <c r="G1115" s="379"/>
    </row>
    <row r="1116" spans="1:7" ht="15" x14ac:dyDescent="0.25">
      <c r="A1116" s="379" t="s">
        <v>1604</v>
      </c>
      <c r="B1116" s="379"/>
      <c r="C1116" s="379"/>
      <c r="D1116" s="379"/>
      <c r="E1116" s="379"/>
      <c r="F1116" s="379"/>
      <c r="G1116" s="379"/>
    </row>
    <row r="1117" spans="1:7" ht="15" x14ac:dyDescent="0.25">
      <c r="A1117" s="379" t="s">
        <v>1605</v>
      </c>
      <c r="B1117" s="379"/>
      <c r="C1117" s="379"/>
      <c r="D1117" s="379"/>
      <c r="E1117" s="379"/>
      <c r="F1117" s="379"/>
      <c r="G1117" s="379"/>
    </row>
    <row r="1118" spans="1:7" ht="15" x14ac:dyDescent="0.25">
      <c r="A1118" s="379" t="s">
        <v>1606</v>
      </c>
      <c r="B1118" s="379"/>
      <c r="C1118" s="379"/>
      <c r="D1118" s="379"/>
      <c r="E1118" s="379"/>
      <c r="F1118" s="379"/>
      <c r="G1118" s="379"/>
    </row>
    <row r="1119" spans="1:7" ht="15" x14ac:dyDescent="0.25">
      <c r="A1119" s="379" t="s">
        <v>1607</v>
      </c>
      <c r="B1119" s="379"/>
      <c r="C1119" s="379"/>
      <c r="D1119" s="379"/>
      <c r="E1119" s="379"/>
      <c r="F1119" s="379"/>
      <c r="G1119" s="379"/>
    </row>
    <row r="1120" spans="1:7" ht="15" x14ac:dyDescent="0.25">
      <c r="A1120" s="379" t="s">
        <v>1608</v>
      </c>
      <c r="B1120" s="379"/>
      <c r="C1120" s="379"/>
      <c r="D1120" s="379"/>
      <c r="E1120" s="379"/>
      <c r="F1120" s="379"/>
      <c r="G1120" s="379"/>
    </row>
    <row r="1121" spans="1:7" ht="15" x14ac:dyDescent="0.25">
      <c r="A1121" s="379" t="s">
        <v>1609</v>
      </c>
      <c r="B1121" s="379"/>
      <c r="C1121" s="379"/>
      <c r="D1121" s="379"/>
      <c r="E1121" s="379"/>
      <c r="F1121" s="379"/>
      <c r="G1121" s="379"/>
    </row>
    <row r="1122" spans="1:7" ht="15" x14ac:dyDescent="0.25">
      <c r="A1122" s="379" t="s">
        <v>1610</v>
      </c>
      <c r="B1122" s="379"/>
      <c r="C1122" s="379"/>
      <c r="D1122" s="379"/>
      <c r="E1122" s="379"/>
      <c r="F1122" s="379"/>
      <c r="G1122" s="379"/>
    </row>
    <row r="1123" spans="1:7" ht="15" x14ac:dyDescent="0.25">
      <c r="A1123" s="379" t="s">
        <v>1611</v>
      </c>
      <c r="B1123" s="379"/>
      <c r="C1123" s="379"/>
      <c r="D1123" s="379"/>
      <c r="E1123" s="379"/>
      <c r="F1123" s="379"/>
      <c r="G1123" s="379"/>
    </row>
    <row r="1124" spans="1:7" ht="15" x14ac:dyDescent="0.25">
      <c r="A1124" s="379" t="s">
        <v>1612</v>
      </c>
      <c r="B1124" s="379"/>
      <c r="C1124" s="379"/>
      <c r="D1124" s="379"/>
      <c r="E1124" s="379"/>
      <c r="F1124" s="379"/>
      <c r="G1124" s="379"/>
    </row>
    <row r="1125" spans="1:7" ht="15" x14ac:dyDescent="0.25">
      <c r="A1125" s="379" t="s">
        <v>1613</v>
      </c>
      <c r="B1125" s="379"/>
      <c r="C1125" s="379"/>
      <c r="D1125" s="379"/>
      <c r="E1125" s="379"/>
      <c r="F1125" s="379"/>
      <c r="G1125" s="379"/>
    </row>
    <row r="1126" spans="1:7" ht="15" x14ac:dyDescent="0.25">
      <c r="A1126" s="379" t="s">
        <v>1614</v>
      </c>
      <c r="B1126" s="379"/>
      <c r="C1126" s="379"/>
      <c r="D1126" s="379"/>
      <c r="E1126" s="379"/>
      <c r="F1126" s="379"/>
      <c r="G1126" s="379"/>
    </row>
    <row r="1127" spans="1:7" ht="15" x14ac:dyDescent="0.25">
      <c r="A1127" s="379" t="s">
        <v>1615</v>
      </c>
      <c r="B1127" s="379"/>
      <c r="C1127" s="379"/>
      <c r="D1127" s="379"/>
      <c r="E1127" s="379"/>
      <c r="F1127" s="379"/>
      <c r="G1127" s="379"/>
    </row>
    <row r="1128" spans="1:7" ht="15" x14ac:dyDescent="0.25">
      <c r="A1128" s="379" t="s">
        <v>1616</v>
      </c>
      <c r="B1128" s="379"/>
      <c r="C1128" s="379"/>
      <c r="D1128" s="379"/>
      <c r="E1128" s="379"/>
      <c r="F1128" s="379"/>
      <c r="G1128" s="379"/>
    </row>
    <row r="1129" spans="1:7" ht="15" x14ac:dyDescent="0.25">
      <c r="A1129" s="379" t="s">
        <v>1617</v>
      </c>
      <c r="B1129" s="379"/>
      <c r="C1129" s="379"/>
      <c r="D1129" s="379"/>
      <c r="E1129" s="379"/>
      <c r="F1129" s="379"/>
      <c r="G1129" s="379"/>
    </row>
    <row r="1130" spans="1:7" ht="15" x14ac:dyDescent="0.25">
      <c r="A1130" s="379" t="s">
        <v>1618</v>
      </c>
      <c r="B1130" s="379"/>
      <c r="C1130" s="379"/>
      <c r="D1130" s="379"/>
      <c r="E1130" s="379"/>
      <c r="F1130" s="379"/>
      <c r="G1130" s="379"/>
    </row>
    <row r="1131" spans="1:7" ht="15" x14ac:dyDescent="0.25">
      <c r="A1131" s="379" t="s">
        <v>1619</v>
      </c>
      <c r="B1131" s="379"/>
      <c r="C1131" s="379"/>
      <c r="D1131" s="379"/>
      <c r="E1131" s="379"/>
      <c r="F1131" s="379"/>
      <c r="G1131" s="379"/>
    </row>
    <row r="1132" spans="1:7" ht="15" x14ac:dyDescent="0.25">
      <c r="A1132" s="379" t="s">
        <v>1620</v>
      </c>
      <c r="B1132" s="379"/>
      <c r="C1132" s="379"/>
      <c r="D1132" s="379"/>
      <c r="E1132" s="379"/>
      <c r="F1132" s="379"/>
      <c r="G1132" s="379"/>
    </row>
    <row r="1133" spans="1:7" ht="15" x14ac:dyDescent="0.25">
      <c r="A1133" s="379" t="s">
        <v>1621</v>
      </c>
      <c r="B1133" s="379"/>
      <c r="C1133" s="379"/>
      <c r="D1133" s="379"/>
      <c r="E1133" s="379"/>
      <c r="F1133" s="379"/>
      <c r="G1133" s="379"/>
    </row>
    <row r="1134" spans="1:7" ht="15" x14ac:dyDescent="0.25">
      <c r="A1134" s="379" t="s">
        <v>1622</v>
      </c>
      <c r="B1134" s="379"/>
      <c r="C1134" s="379"/>
      <c r="D1134" s="379"/>
      <c r="E1134" s="379"/>
      <c r="F1134" s="379"/>
      <c r="G1134" s="379"/>
    </row>
    <row r="1135" spans="1:7" ht="15" x14ac:dyDescent="0.25">
      <c r="A1135" s="379" t="s">
        <v>1623</v>
      </c>
      <c r="B1135" s="379"/>
      <c r="C1135" s="379"/>
      <c r="D1135" s="379"/>
      <c r="E1135" s="379"/>
      <c r="F1135" s="379"/>
      <c r="G1135" s="379"/>
    </row>
    <row r="1136" spans="1:7" ht="15" x14ac:dyDescent="0.25">
      <c r="A1136" s="379" t="s">
        <v>1624</v>
      </c>
      <c r="B1136" s="379"/>
      <c r="C1136" s="379"/>
      <c r="D1136" s="379"/>
      <c r="E1136" s="379"/>
      <c r="F1136" s="379"/>
      <c r="G1136" s="379"/>
    </row>
    <row r="1137" spans="1:7" ht="15" x14ac:dyDescent="0.25">
      <c r="A1137" s="379" t="s">
        <v>1625</v>
      </c>
      <c r="B1137" s="379"/>
      <c r="C1137" s="379"/>
      <c r="D1137" s="379"/>
      <c r="E1137" s="379"/>
      <c r="F1137" s="379"/>
      <c r="G1137" s="379"/>
    </row>
    <row r="1138" spans="1:7" ht="15" x14ac:dyDescent="0.25">
      <c r="A1138" s="379" t="s">
        <v>1626</v>
      </c>
      <c r="B1138" s="379"/>
      <c r="C1138" s="379"/>
      <c r="D1138" s="379"/>
      <c r="E1138" s="379"/>
      <c r="F1138" s="379"/>
      <c r="G1138" s="379"/>
    </row>
    <row r="1139" spans="1:7" ht="15" x14ac:dyDescent="0.25">
      <c r="A1139" s="379" t="s">
        <v>1627</v>
      </c>
      <c r="B1139" s="379"/>
      <c r="C1139" s="379"/>
      <c r="D1139" s="379"/>
      <c r="E1139" s="379"/>
      <c r="F1139" s="379"/>
      <c r="G1139" s="379"/>
    </row>
    <row r="1140" spans="1:7" ht="15" x14ac:dyDescent="0.25">
      <c r="A1140" s="379" t="s">
        <v>1628</v>
      </c>
      <c r="B1140" s="379"/>
      <c r="C1140" s="379"/>
      <c r="D1140" s="379"/>
      <c r="E1140" s="379"/>
      <c r="F1140" s="379"/>
      <c r="G1140" s="379"/>
    </row>
    <row r="1141" spans="1:7" ht="15" x14ac:dyDescent="0.25">
      <c r="A1141" s="379" t="s">
        <v>1629</v>
      </c>
      <c r="B1141" s="379"/>
      <c r="C1141" s="379"/>
      <c r="D1141" s="379"/>
      <c r="E1141" s="379"/>
      <c r="F1141" s="379"/>
      <c r="G1141" s="379"/>
    </row>
    <row r="1142" spans="1:7" ht="15" x14ac:dyDescent="0.25">
      <c r="A1142" s="379" t="s">
        <v>1630</v>
      </c>
      <c r="B1142" s="379"/>
      <c r="C1142" s="379"/>
      <c r="D1142" s="379"/>
      <c r="E1142" s="379"/>
      <c r="F1142" s="379"/>
      <c r="G1142" s="379"/>
    </row>
    <row r="1143" spans="1:7" ht="15" x14ac:dyDescent="0.25">
      <c r="A1143" s="379" t="s">
        <v>1631</v>
      </c>
      <c r="B1143" s="379"/>
      <c r="C1143" s="379"/>
      <c r="D1143" s="379"/>
      <c r="E1143" s="379"/>
      <c r="F1143" s="379"/>
      <c r="G1143" s="379"/>
    </row>
    <row r="1144" spans="1:7" ht="15" x14ac:dyDescent="0.25">
      <c r="A1144" s="379" t="s">
        <v>1632</v>
      </c>
      <c r="B1144" s="379"/>
      <c r="C1144" s="379"/>
      <c r="D1144" s="379"/>
      <c r="E1144" s="379"/>
      <c r="F1144" s="379"/>
      <c r="G1144" s="379"/>
    </row>
    <row r="1145" spans="1:7" ht="15" x14ac:dyDescent="0.25">
      <c r="A1145" s="379" t="s">
        <v>1633</v>
      </c>
      <c r="B1145" s="379"/>
      <c r="C1145" s="379"/>
      <c r="D1145" s="379"/>
      <c r="E1145" s="379"/>
      <c r="F1145" s="379"/>
      <c r="G1145" s="379"/>
    </row>
    <row r="1146" spans="1:7" ht="15" x14ac:dyDescent="0.25">
      <c r="A1146" s="379" t="s">
        <v>1634</v>
      </c>
      <c r="B1146" s="379"/>
      <c r="C1146" s="379"/>
      <c r="D1146" s="379"/>
      <c r="E1146" s="379"/>
      <c r="F1146" s="379"/>
      <c r="G1146" s="379"/>
    </row>
    <row r="1147" spans="1:7" ht="15" x14ac:dyDescent="0.25">
      <c r="A1147" s="379" t="s">
        <v>1635</v>
      </c>
      <c r="B1147" s="379"/>
      <c r="C1147" s="379"/>
      <c r="D1147" s="379"/>
      <c r="E1147" s="379"/>
      <c r="F1147" s="379"/>
      <c r="G1147" s="379"/>
    </row>
    <row r="1148" spans="1:7" ht="15" x14ac:dyDescent="0.25">
      <c r="A1148" s="379" t="s">
        <v>1636</v>
      </c>
      <c r="B1148" s="379"/>
      <c r="C1148" s="379"/>
      <c r="D1148" s="379"/>
      <c r="E1148" s="379"/>
      <c r="F1148" s="379"/>
      <c r="G1148" s="379"/>
    </row>
    <row r="1149" spans="1:7" ht="15" x14ac:dyDescent="0.25">
      <c r="A1149" s="379" t="s">
        <v>1446</v>
      </c>
      <c r="B1149" s="379"/>
      <c r="C1149" s="379"/>
      <c r="D1149" s="379"/>
      <c r="E1149" s="379"/>
      <c r="F1149" s="379"/>
      <c r="G1149" s="379"/>
    </row>
    <row r="1150" spans="1:7" ht="15" x14ac:dyDescent="0.25">
      <c r="A1150" s="379" t="s">
        <v>1447</v>
      </c>
      <c r="B1150" s="379"/>
      <c r="C1150" s="379"/>
      <c r="D1150" s="379"/>
      <c r="E1150" s="379"/>
      <c r="F1150" s="379"/>
      <c r="G1150" s="379"/>
    </row>
    <row r="1151" spans="1:7" ht="15" x14ac:dyDescent="0.25">
      <c r="A1151" s="379" t="s">
        <v>1448</v>
      </c>
      <c r="B1151" s="379"/>
      <c r="C1151" s="379"/>
      <c r="D1151" s="379"/>
      <c r="E1151" s="379"/>
      <c r="F1151" s="379"/>
      <c r="G1151" s="379"/>
    </row>
    <row r="1152" spans="1:7" ht="15" x14ac:dyDescent="0.25">
      <c r="A1152" s="379" t="s">
        <v>1449</v>
      </c>
      <c r="B1152" s="379"/>
      <c r="C1152" s="379"/>
      <c r="D1152" s="379"/>
      <c r="E1152" s="379"/>
      <c r="F1152" s="379"/>
      <c r="G1152" s="379"/>
    </row>
    <row r="1153" spans="1:7" ht="15" x14ac:dyDescent="0.25">
      <c r="A1153" s="379" t="s">
        <v>1450</v>
      </c>
      <c r="B1153" s="379"/>
      <c r="C1153" s="379"/>
      <c r="D1153" s="379"/>
      <c r="E1153" s="379"/>
      <c r="F1153" s="379"/>
      <c r="G1153" s="379"/>
    </row>
    <row r="1154" spans="1:7" ht="15" x14ac:dyDescent="0.25">
      <c r="A1154" s="379" t="s">
        <v>1451</v>
      </c>
      <c r="B1154" s="379"/>
      <c r="C1154" s="379"/>
      <c r="D1154" s="379"/>
      <c r="E1154" s="379"/>
      <c r="F1154" s="379"/>
      <c r="G1154" s="379"/>
    </row>
    <row r="1155" spans="1:7" ht="15" x14ac:dyDescent="0.25">
      <c r="A1155" s="379" t="s">
        <v>1452</v>
      </c>
      <c r="B1155" s="379"/>
      <c r="C1155" s="379"/>
      <c r="D1155" s="379"/>
      <c r="E1155" s="379"/>
      <c r="F1155" s="379"/>
      <c r="G1155" s="379"/>
    </row>
    <row r="1156" spans="1:7" ht="15" x14ac:dyDescent="0.25">
      <c r="A1156" s="379" t="s">
        <v>1453</v>
      </c>
      <c r="B1156" s="379"/>
      <c r="C1156" s="379"/>
      <c r="D1156" s="379"/>
      <c r="E1156" s="379"/>
      <c r="F1156" s="379"/>
      <c r="G1156" s="379"/>
    </row>
    <row r="1157" spans="1:7" ht="15" x14ac:dyDescent="0.25">
      <c r="A1157" s="379" t="s">
        <v>1454</v>
      </c>
      <c r="B1157" s="379"/>
      <c r="C1157" s="379"/>
      <c r="D1157" s="379"/>
      <c r="E1157" s="379"/>
      <c r="F1157" s="379"/>
      <c r="G1157" s="379"/>
    </row>
    <row r="1158" spans="1:7" ht="15" x14ac:dyDescent="0.25">
      <c r="A1158" s="379" t="s">
        <v>1455</v>
      </c>
      <c r="B1158" s="379"/>
      <c r="C1158" s="379"/>
      <c r="D1158" s="379"/>
      <c r="E1158" s="379"/>
      <c r="F1158" s="379"/>
      <c r="G1158" s="379"/>
    </row>
    <row r="1159" spans="1:7" ht="15" x14ac:dyDescent="0.25">
      <c r="A1159" s="379" t="s">
        <v>1456</v>
      </c>
      <c r="B1159" s="379"/>
      <c r="C1159" s="379"/>
      <c r="D1159" s="379"/>
      <c r="E1159" s="379"/>
      <c r="F1159" s="379"/>
      <c r="G1159" s="379"/>
    </row>
    <row r="1160" spans="1:7" ht="15" x14ac:dyDescent="0.25">
      <c r="A1160" s="379" t="s">
        <v>1457</v>
      </c>
      <c r="B1160" s="379"/>
      <c r="C1160" s="379"/>
      <c r="D1160" s="379"/>
      <c r="E1160" s="379"/>
      <c r="F1160" s="379"/>
      <c r="G1160" s="379"/>
    </row>
    <row r="1161" spans="1:7" ht="15" x14ac:dyDescent="0.25">
      <c r="A1161" s="379" t="s">
        <v>1458</v>
      </c>
      <c r="B1161" s="379"/>
      <c r="C1161" s="379"/>
      <c r="D1161" s="379"/>
      <c r="E1161" s="379"/>
      <c r="F1161" s="379"/>
      <c r="G1161" s="379"/>
    </row>
    <row r="1162" spans="1:7" ht="15" x14ac:dyDescent="0.25">
      <c r="A1162" s="379" t="s">
        <v>1459</v>
      </c>
      <c r="B1162" s="379"/>
      <c r="C1162" s="379"/>
      <c r="D1162" s="379"/>
      <c r="E1162" s="379"/>
      <c r="F1162" s="379"/>
      <c r="G1162" s="379"/>
    </row>
    <row r="1163" spans="1:7" ht="15" x14ac:dyDescent="0.25">
      <c r="A1163" s="379" t="s">
        <v>1460</v>
      </c>
      <c r="B1163" s="379"/>
      <c r="C1163" s="379"/>
      <c r="D1163" s="379"/>
      <c r="E1163" s="379"/>
      <c r="F1163" s="379"/>
      <c r="G1163" s="379"/>
    </row>
    <row r="1164" spans="1:7" ht="15" x14ac:dyDescent="0.25">
      <c r="A1164" s="379" t="s">
        <v>1461</v>
      </c>
      <c r="B1164" s="379"/>
      <c r="C1164" s="379"/>
      <c r="D1164" s="379"/>
      <c r="E1164" s="379"/>
      <c r="F1164" s="379"/>
      <c r="G1164" s="379"/>
    </row>
    <row r="1165" spans="1:7" ht="15" x14ac:dyDescent="0.25">
      <c r="A1165" s="379" t="s">
        <v>1462</v>
      </c>
      <c r="B1165" s="379"/>
      <c r="C1165" s="379"/>
      <c r="D1165" s="379"/>
      <c r="E1165" s="379"/>
      <c r="F1165" s="379"/>
      <c r="G1165" s="379"/>
    </row>
    <row r="1166" spans="1:7" ht="15" x14ac:dyDescent="0.25">
      <c r="A1166" s="379"/>
      <c r="B1166" s="379"/>
      <c r="C1166" s="379"/>
      <c r="D1166" s="379"/>
      <c r="E1166" s="379"/>
      <c r="F1166" s="379"/>
      <c r="G1166" s="379"/>
    </row>
    <row r="1167" spans="1:7" ht="15" x14ac:dyDescent="0.25">
      <c r="A1167" s="379" t="s">
        <v>1637</v>
      </c>
      <c r="B1167" s="379"/>
      <c r="C1167" s="379"/>
      <c r="D1167" s="379"/>
      <c r="E1167" s="379"/>
      <c r="F1167" s="379"/>
      <c r="G1167" s="379"/>
    </row>
    <row r="1168" spans="1:7" ht="15" x14ac:dyDescent="0.25">
      <c r="A1168" s="379"/>
      <c r="B1168" s="379"/>
      <c r="C1168" s="379"/>
      <c r="D1168" s="379"/>
      <c r="E1168" s="379"/>
      <c r="F1168" s="379"/>
      <c r="G1168" s="379"/>
    </row>
    <row r="1169" spans="1:7" ht="15" x14ac:dyDescent="0.25">
      <c r="A1169" s="379" t="s">
        <v>1463</v>
      </c>
      <c r="B1169" s="379"/>
      <c r="C1169" s="379"/>
      <c r="D1169" s="379"/>
      <c r="E1169" s="379"/>
      <c r="F1169" s="379"/>
      <c r="G1169" s="379"/>
    </row>
    <row r="1170" spans="1:7" ht="15" x14ac:dyDescent="0.25">
      <c r="A1170" s="379" t="s">
        <v>1464</v>
      </c>
      <c r="B1170" s="379"/>
      <c r="C1170" s="379"/>
      <c r="D1170" s="379"/>
      <c r="E1170" s="379"/>
      <c r="F1170" s="379"/>
      <c r="G1170" s="379"/>
    </row>
    <row r="1171" spans="1:7" ht="15" x14ac:dyDescent="0.25">
      <c r="A1171" s="379" t="s">
        <v>1465</v>
      </c>
      <c r="B1171" s="379"/>
      <c r="C1171" s="379"/>
      <c r="D1171" s="379"/>
      <c r="E1171" s="379"/>
      <c r="F1171" s="379"/>
      <c r="G1171" s="379"/>
    </row>
    <row r="1172" spans="1:7" ht="15" x14ac:dyDescent="0.25">
      <c r="A1172" s="379" t="s">
        <v>1466</v>
      </c>
      <c r="B1172" s="379"/>
      <c r="C1172" s="379"/>
      <c r="D1172" s="379"/>
      <c r="E1172" s="379"/>
      <c r="F1172" s="379"/>
      <c r="G1172" s="379"/>
    </row>
    <row r="1173" spans="1:7" ht="15" x14ac:dyDescent="0.25">
      <c r="A1173" s="379" t="s">
        <v>1467</v>
      </c>
      <c r="B1173" s="379"/>
      <c r="C1173" s="379"/>
      <c r="D1173" s="379"/>
      <c r="E1173" s="379"/>
      <c r="F1173" s="379"/>
      <c r="G1173" s="379"/>
    </row>
    <row r="1174" spans="1:7" ht="15" x14ac:dyDescent="0.25">
      <c r="A1174" s="379"/>
      <c r="B1174" s="379"/>
      <c r="C1174" s="379"/>
      <c r="D1174" s="379"/>
      <c r="E1174" s="379"/>
      <c r="F1174" s="379"/>
      <c r="G1174" s="379"/>
    </row>
  </sheetData>
  <sortState ref="A2:F1050">
    <sortCondition ref="A1"/>
  </sortState>
  <phoneticPr fontId="18" type="noConversion"/>
  <pageMargins left="0.7" right="0.7" top="0.78740157499999996" bottom="0.78740157499999996" header="0.3" footer="0.3"/>
  <pageSetup paperSize="9" scale="96" orientation="portrait" r:id="rId1"/>
  <headerFooter>
    <oddHeader>&amp;C&amp;18Current World Ranking List</oddHead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Tabelle8"/>
  <dimension ref="A1:B32"/>
  <sheetViews>
    <sheetView zoomScale="55" zoomScaleNormal="55" workbookViewId="0">
      <selection activeCell="E3" sqref="E3"/>
    </sheetView>
  </sheetViews>
  <sheetFormatPr defaultColWidth="10.85546875" defaultRowHeight="15" x14ac:dyDescent="0.25"/>
  <cols>
    <col min="2" max="2" width="22.28515625" bestFit="1" customWidth="1"/>
    <col min="3" max="3" width="10" customWidth="1"/>
  </cols>
  <sheetData>
    <row r="1" spans="1:2" ht="30.75" customHeight="1" x14ac:dyDescent="0.25">
      <c r="A1" t="s">
        <v>61</v>
      </c>
      <c r="B1" t="s">
        <v>1357</v>
      </c>
    </row>
    <row r="2" spans="1:2" ht="30.75" customHeight="1" x14ac:dyDescent="0.25">
      <c r="A2" t="s">
        <v>73</v>
      </c>
      <c r="B2" t="s">
        <v>1358</v>
      </c>
    </row>
    <row r="3" spans="1:2" ht="30.75" customHeight="1" x14ac:dyDescent="0.25">
      <c r="A3" t="s">
        <v>71</v>
      </c>
      <c r="B3" t="s">
        <v>1359</v>
      </c>
    </row>
    <row r="4" spans="1:2" ht="30.75" customHeight="1" x14ac:dyDescent="0.25">
      <c r="A4" t="s">
        <v>74</v>
      </c>
      <c r="B4" t="s">
        <v>1360</v>
      </c>
    </row>
    <row r="5" spans="1:2" ht="30.75" customHeight="1" x14ac:dyDescent="0.25">
      <c r="A5" t="s">
        <v>189</v>
      </c>
      <c r="B5" t="s">
        <v>1361</v>
      </c>
    </row>
    <row r="6" spans="1:2" ht="30.75" customHeight="1" x14ac:dyDescent="0.25">
      <c r="A6" t="s">
        <v>1362</v>
      </c>
      <c r="B6" t="s">
        <v>1363</v>
      </c>
    </row>
    <row r="7" spans="1:2" ht="30.75" customHeight="1" x14ac:dyDescent="0.25">
      <c r="A7" t="s">
        <v>63</v>
      </c>
      <c r="B7" t="s">
        <v>1364</v>
      </c>
    </row>
    <row r="8" spans="1:2" ht="30.75" customHeight="1" x14ac:dyDescent="0.25">
      <c r="A8" t="s">
        <v>1365</v>
      </c>
      <c r="B8" t="s">
        <v>1366</v>
      </c>
    </row>
    <row r="9" spans="1:2" ht="30.75" customHeight="1" x14ac:dyDescent="0.25">
      <c r="A9" t="s">
        <v>1367</v>
      </c>
      <c r="B9" t="s">
        <v>1368</v>
      </c>
    </row>
    <row r="10" spans="1:2" ht="30.75" customHeight="1" x14ac:dyDescent="0.25">
      <c r="A10" t="s">
        <v>191</v>
      </c>
      <c r="B10" t="s">
        <v>1369</v>
      </c>
    </row>
    <row r="11" spans="1:2" ht="30.75" customHeight="1" x14ac:dyDescent="0.25">
      <c r="A11" t="s">
        <v>1370</v>
      </c>
      <c r="B11" t="s">
        <v>1371</v>
      </c>
    </row>
    <row r="12" spans="1:2" ht="30.75" customHeight="1" x14ac:dyDescent="0.25">
      <c r="A12" t="s">
        <v>1372</v>
      </c>
      <c r="B12" t="s">
        <v>1373</v>
      </c>
    </row>
    <row r="13" spans="1:2" ht="30.75" customHeight="1" x14ac:dyDescent="0.25">
      <c r="A13" t="s">
        <v>1374</v>
      </c>
      <c r="B13" t="s">
        <v>1375</v>
      </c>
    </row>
    <row r="14" spans="1:2" ht="30.75" customHeight="1" x14ac:dyDescent="0.25">
      <c r="A14" t="s">
        <v>59</v>
      </c>
      <c r="B14" t="s">
        <v>1376</v>
      </c>
    </row>
    <row r="15" spans="1:2" ht="30.75" customHeight="1" x14ac:dyDescent="0.25">
      <c r="A15" t="s">
        <v>1220</v>
      </c>
      <c r="B15" t="s">
        <v>1377</v>
      </c>
    </row>
    <row r="16" spans="1:2" ht="30.75" customHeight="1" x14ac:dyDescent="0.25">
      <c r="A16" t="s">
        <v>1378</v>
      </c>
      <c r="B16" t="s">
        <v>1379</v>
      </c>
    </row>
    <row r="17" spans="1:2" ht="30.75" customHeight="1" x14ac:dyDescent="0.25">
      <c r="A17" t="s">
        <v>1380</v>
      </c>
      <c r="B17" t="s">
        <v>1381</v>
      </c>
    </row>
    <row r="18" spans="1:2" ht="30.75" customHeight="1" x14ac:dyDescent="0.25">
      <c r="A18" t="s">
        <v>1382</v>
      </c>
      <c r="B18" t="s">
        <v>1383</v>
      </c>
    </row>
    <row r="19" spans="1:2" ht="30.75" customHeight="1" x14ac:dyDescent="0.25">
      <c r="A19" t="s">
        <v>1384</v>
      </c>
      <c r="B19" t="s">
        <v>1385</v>
      </c>
    </row>
    <row r="20" spans="1:2" ht="30.75" customHeight="1" x14ac:dyDescent="0.25">
      <c r="A20" t="s">
        <v>1386</v>
      </c>
      <c r="B20" t="s">
        <v>1387</v>
      </c>
    </row>
    <row r="21" spans="1:2" ht="30.75" customHeight="1" x14ac:dyDescent="0.25">
      <c r="A21" t="s">
        <v>1388</v>
      </c>
      <c r="B21" t="s">
        <v>1389</v>
      </c>
    </row>
    <row r="22" spans="1:2" ht="30.75" customHeight="1" x14ac:dyDescent="0.25">
      <c r="A22" t="s">
        <v>1390</v>
      </c>
      <c r="B22" t="s">
        <v>1391</v>
      </c>
    </row>
    <row r="23" spans="1:2" ht="30.75" customHeight="1" x14ac:dyDescent="0.25">
      <c r="A23" t="s">
        <v>1392</v>
      </c>
      <c r="B23" t="s">
        <v>1393</v>
      </c>
    </row>
    <row r="24" spans="1:2" ht="30.75" customHeight="1" x14ac:dyDescent="0.25">
      <c r="A24" t="s">
        <v>1394</v>
      </c>
      <c r="B24" t="s">
        <v>1395</v>
      </c>
    </row>
    <row r="25" spans="1:2" ht="30.75" customHeight="1" x14ac:dyDescent="0.25">
      <c r="A25" t="s">
        <v>1396</v>
      </c>
      <c r="B25" t="s">
        <v>1397</v>
      </c>
    </row>
    <row r="26" spans="1:2" ht="30.75" customHeight="1" x14ac:dyDescent="0.25">
      <c r="A26" t="s">
        <v>58</v>
      </c>
      <c r="B26" t="s">
        <v>1398</v>
      </c>
    </row>
    <row r="27" spans="1:2" ht="30.75" customHeight="1" x14ac:dyDescent="0.25">
      <c r="A27" t="s">
        <v>1399</v>
      </c>
      <c r="B27" t="s">
        <v>1400</v>
      </c>
    </row>
    <row r="28" spans="1:2" ht="30.75" customHeight="1" x14ac:dyDescent="0.25">
      <c r="A28" t="s">
        <v>779</v>
      </c>
      <c r="B28" t="s">
        <v>1401</v>
      </c>
    </row>
    <row r="29" spans="1:2" ht="30.75" customHeight="1" x14ac:dyDescent="0.25">
      <c r="A29" t="s">
        <v>69</v>
      </c>
      <c r="B29" t="s">
        <v>1402</v>
      </c>
    </row>
    <row r="30" spans="1:2" ht="30.75" customHeight="1" x14ac:dyDescent="0.25">
      <c r="A30" t="s">
        <v>1403</v>
      </c>
      <c r="B30" t="s">
        <v>1404</v>
      </c>
    </row>
    <row r="31" spans="1:2" ht="30.75" customHeight="1" x14ac:dyDescent="0.25">
      <c r="A31" t="s">
        <v>1405</v>
      </c>
      <c r="B31" t="s">
        <v>1406</v>
      </c>
    </row>
    <row r="32" spans="1:2" ht="30.75" customHeight="1" x14ac:dyDescent="0.25">
      <c r="A32" t="s">
        <v>1407</v>
      </c>
      <c r="B32" t="s">
        <v>1408</v>
      </c>
    </row>
  </sheetData>
  <pageMargins left="0.7" right="0.7" top="0.78740157499999996" bottom="0.78740157499999996"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Tabelle6"/>
  <dimension ref="A1:A20"/>
  <sheetViews>
    <sheetView showRowColHeaders="0" workbookViewId="0">
      <selection activeCell="A12" sqref="A12"/>
    </sheetView>
  </sheetViews>
  <sheetFormatPr defaultColWidth="9.140625" defaultRowHeight="15" x14ac:dyDescent="0.25"/>
  <cols>
    <col min="1" max="1" width="83.140625" style="128" customWidth="1"/>
    <col min="2" max="256" width="11.42578125" style="128" customWidth="1"/>
    <col min="257" max="16384" width="9.140625" style="128"/>
  </cols>
  <sheetData>
    <row r="1" spans="1:1" x14ac:dyDescent="0.25">
      <c r="A1" s="128" t="s">
        <v>165</v>
      </c>
    </row>
    <row r="3" spans="1:1" x14ac:dyDescent="0.25">
      <c r="A3" s="128" t="s">
        <v>166</v>
      </c>
    </row>
    <row r="5" spans="1:1" x14ac:dyDescent="0.25">
      <c r="A5" s="128" t="s">
        <v>381</v>
      </c>
    </row>
    <row r="6" spans="1:1" x14ac:dyDescent="0.25">
      <c r="A6" s="128" t="s">
        <v>382</v>
      </c>
    </row>
    <row r="7" spans="1:1" x14ac:dyDescent="0.25">
      <c r="A7" s="128" t="s">
        <v>385</v>
      </c>
    </row>
    <row r="8" spans="1:1" x14ac:dyDescent="0.25">
      <c r="A8" s="128" t="s">
        <v>387</v>
      </c>
    </row>
    <row r="9" spans="1:1" x14ac:dyDescent="0.25">
      <c r="A9" s="128" t="s">
        <v>388</v>
      </c>
    </row>
    <row r="10" spans="1:1" x14ac:dyDescent="0.25">
      <c r="A10" s="128" t="s">
        <v>389</v>
      </c>
    </row>
    <row r="11" spans="1:1" x14ac:dyDescent="0.25">
      <c r="A11" s="128" t="s">
        <v>390</v>
      </c>
    </row>
    <row r="12" spans="1:1" x14ac:dyDescent="0.25">
      <c r="A12" s="128" t="s">
        <v>391</v>
      </c>
    </row>
    <row r="18" spans="1:1" x14ac:dyDescent="0.25">
      <c r="A18" s="128" t="s">
        <v>383</v>
      </c>
    </row>
    <row r="20" spans="1:1" x14ac:dyDescent="0.25">
      <c r="A20" s="128" t="s">
        <v>384</v>
      </c>
    </row>
  </sheetData>
  <pageMargins left="0.7" right="0.7" top="0.78740157499999996" bottom="0.78740157499999996" header="0.3" footer="0.3"/>
  <pageSetup paperSize="9" orientation="portrait" verticalDpi="599"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23</vt:i4>
      </vt:variant>
      <vt:variant>
        <vt:lpstr>Named Ranges</vt:lpstr>
      </vt:variant>
      <vt:variant>
        <vt:i4>19</vt:i4>
      </vt:variant>
    </vt:vector>
  </HeadingPairs>
  <TitlesOfParts>
    <vt:vector size="42" baseType="lpstr">
      <vt:lpstr>Settings</vt:lpstr>
      <vt:lpstr>Starterlist</vt:lpstr>
      <vt:lpstr>EX 1</vt:lpstr>
      <vt:lpstr>EX 2</vt:lpstr>
      <vt:lpstr>EX 3</vt:lpstr>
      <vt:lpstr>AI 1</vt:lpstr>
      <vt:lpstr>AI 2</vt:lpstr>
      <vt:lpstr>AI 3</vt:lpstr>
      <vt:lpstr>DIF 1</vt:lpstr>
      <vt:lpstr>DIF 2</vt:lpstr>
      <vt:lpstr>DIF 3</vt:lpstr>
      <vt:lpstr>Anouncer</vt:lpstr>
      <vt:lpstr>Competitors</vt:lpstr>
      <vt:lpstr>Variety Checklist</vt:lpstr>
      <vt:lpstr>Point Scale</vt:lpstr>
      <vt:lpstr>Teams</vt:lpstr>
      <vt:lpstr>Export</vt:lpstr>
      <vt:lpstr>Results (Rankings)</vt:lpstr>
      <vt:lpstr>Results</vt:lpstr>
      <vt:lpstr>Results (Text)</vt:lpstr>
      <vt:lpstr>Rankings</vt:lpstr>
      <vt:lpstr>Countries</vt:lpstr>
      <vt:lpstr>TODOS</vt:lpstr>
      <vt:lpstr>Points</vt:lpstr>
      <vt:lpstr>'Point Scale'!pointscales_1</vt:lpstr>
      <vt:lpstr>'AI 1'!Print_Area</vt:lpstr>
      <vt:lpstr>'AI 2'!Print_Area</vt:lpstr>
      <vt:lpstr>'AI 3'!Print_Area</vt:lpstr>
      <vt:lpstr>Anouncer!Print_Area</vt:lpstr>
      <vt:lpstr>'DIF 1'!Print_Area</vt:lpstr>
      <vt:lpstr>'DIF 2'!Print_Area</vt:lpstr>
      <vt:lpstr>'DIF 3'!Print_Area</vt:lpstr>
      <vt:lpstr>'EX 1'!Print_Area</vt:lpstr>
      <vt:lpstr>'EX 2'!Print_Area</vt:lpstr>
      <vt:lpstr>'EX 3'!Print_Area</vt:lpstr>
      <vt:lpstr>Export!Print_Area</vt:lpstr>
      <vt:lpstr>Results!Print_Area</vt:lpstr>
      <vt:lpstr>Settings!Print_Area</vt:lpstr>
      <vt:lpstr>Starterlist!Print_Area</vt:lpstr>
      <vt:lpstr>'Variety Checklist'!Print_Area</vt:lpstr>
      <vt:lpstr>Rankings!rankopen</vt:lpstr>
      <vt:lpstr>ResultEntryRange</vt:lpstr>
    </vt:vector>
  </TitlesOfParts>
  <Company>FPA - Freestyle Players Assiciation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FPA Scoresheets</dc:title>
  <dc:creator>Florian Hess</dc:creator>
  <cp:lastModifiedBy>Ryan</cp:lastModifiedBy>
  <cp:lastPrinted>2016-06-23T11:46:55Z</cp:lastPrinted>
  <dcterms:created xsi:type="dcterms:W3CDTF">2007-03-29T19:15:15Z</dcterms:created>
  <dcterms:modified xsi:type="dcterms:W3CDTF">2019-06-18T03:35:40Z</dcterms:modified>
</cp:coreProperties>
</file>